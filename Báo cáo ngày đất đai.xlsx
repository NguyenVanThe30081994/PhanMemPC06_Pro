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thenhung/Documents/GitHub/PhanMemPC06_Pro/"/>
    </mc:Choice>
  </mc:AlternateContent>
  <xr:revisionPtr revIDLastSave="0" documentId="13_ncr:1_{BBCDA077-6C62-BE4F-B946-2E9686C11A43}" xr6:coauthVersionLast="47" xr6:coauthVersionMax="47" xr10:uidLastSave="{00000000-0000-0000-0000-000000000000}"/>
  <bookViews>
    <workbookView xWindow="0" yWindow="600" windowWidth="29040" windowHeight="15720" tabRatio="795" xr2:uid="{1E4BB7DC-80F8-4E68-8B73-1BD47C8D94ED}"/>
  </bookViews>
  <sheets>
    <sheet name="Báo cáo ngày" sheetId="7" r:id="rId1"/>
  </sheets>
  <definedNames>
    <definedName name="_xlnm._FilterDatabase" localSheetId="0" hidden="1">'Báo cáo ngày'!$A$12:$AJ$136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3" i="7" l="1"/>
  <c r="W14" i="7"/>
  <c r="W15" i="7"/>
  <c r="W16" i="7"/>
  <c r="W17" i="7"/>
  <c r="W18" i="7"/>
  <c r="W19" i="7"/>
  <c r="W20" i="7"/>
  <c r="W21" i="7"/>
  <c r="W22" i="7"/>
  <c r="W23" i="7"/>
  <c r="W24" i="7"/>
  <c r="W25" i="7"/>
  <c r="W26" i="7"/>
  <c r="W27" i="7"/>
  <c r="W28" i="7"/>
  <c r="W29" i="7"/>
  <c r="W30" i="7"/>
  <c r="W31" i="7"/>
  <c r="W32" i="7"/>
  <c r="W33" i="7"/>
  <c r="W34" i="7"/>
  <c r="W35" i="7"/>
  <c r="W36" i="7"/>
  <c r="W37" i="7"/>
  <c r="W38" i="7"/>
  <c r="W39" i="7"/>
  <c r="W40" i="7"/>
  <c r="W41" i="7"/>
  <c r="W42" i="7"/>
  <c r="W43" i="7"/>
  <c r="W44" i="7"/>
  <c r="W45" i="7"/>
  <c r="W46" i="7"/>
  <c r="W47" i="7"/>
  <c r="W48" i="7"/>
  <c r="W49" i="7"/>
  <c r="W50" i="7"/>
  <c r="W51" i="7"/>
  <c r="W52" i="7"/>
  <c r="W53" i="7"/>
  <c r="W54" i="7"/>
  <c r="W55" i="7"/>
  <c r="W56" i="7"/>
  <c r="W57" i="7"/>
  <c r="W58" i="7"/>
  <c r="W59" i="7"/>
  <c r="W60" i="7"/>
  <c r="W61" i="7"/>
  <c r="W62" i="7"/>
  <c r="W63" i="7"/>
  <c r="W64" i="7"/>
  <c r="W65" i="7"/>
  <c r="W66" i="7"/>
  <c r="W67" i="7"/>
  <c r="W68" i="7"/>
  <c r="W69" i="7"/>
  <c r="W70" i="7"/>
  <c r="W71" i="7"/>
  <c r="W72" i="7"/>
  <c r="W73" i="7"/>
  <c r="W74" i="7"/>
  <c r="W75" i="7"/>
  <c r="W76" i="7"/>
  <c r="W77" i="7"/>
  <c r="W78" i="7"/>
  <c r="W79" i="7"/>
  <c r="W80" i="7"/>
  <c r="W81" i="7"/>
  <c r="W82" i="7"/>
  <c r="W83" i="7"/>
  <c r="W84" i="7"/>
  <c r="W85" i="7"/>
  <c r="W86" i="7"/>
  <c r="W87" i="7"/>
  <c r="W88" i="7"/>
  <c r="W89" i="7"/>
  <c r="W90" i="7"/>
  <c r="W91" i="7"/>
  <c r="W92" i="7"/>
  <c r="W93" i="7"/>
  <c r="W94" i="7"/>
  <c r="W95" i="7"/>
  <c r="W96" i="7"/>
  <c r="W97" i="7"/>
  <c r="W98" i="7"/>
  <c r="W99" i="7"/>
  <c r="W100" i="7"/>
  <c r="W101" i="7"/>
  <c r="W102" i="7"/>
  <c r="W103" i="7"/>
  <c r="W104" i="7"/>
  <c r="W105" i="7"/>
  <c r="W106" i="7"/>
  <c r="W107" i="7"/>
  <c r="W108" i="7"/>
  <c r="W109" i="7"/>
  <c r="W110" i="7"/>
  <c r="W111" i="7"/>
  <c r="W112" i="7"/>
  <c r="W113" i="7"/>
  <c r="W114" i="7"/>
  <c r="W115" i="7"/>
  <c r="W116" i="7"/>
  <c r="W117" i="7"/>
  <c r="W118" i="7"/>
  <c r="W119" i="7"/>
  <c r="W120" i="7"/>
  <c r="W121" i="7"/>
  <c r="W122" i="7"/>
  <c r="W123" i="7"/>
  <c r="W124" i="7"/>
  <c r="W125" i="7"/>
  <c r="W126" i="7"/>
  <c r="W127" i="7"/>
  <c r="W128" i="7"/>
  <c r="W129" i="7"/>
  <c r="W130" i="7"/>
  <c r="W131" i="7"/>
  <c r="W132" i="7"/>
  <c r="W133" i="7"/>
  <c r="W134" i="7"/>
  <c r="W135" i="7"/>
  <c r="W136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T37" i="7"/>
  <c r="T38" i="7"/>
  <c r="T39" i="7"/>
  <c r="T40" i="7"/>
  <c r="T41" i="7"/>
  <c r="T42" i="7"/>
  <c r="T43" i="7"/>
  <c r="T44" i="7"/>
  <c r="T45" i="7"/>
  <c r="T46" i="7"/>
  <c r="T47" i="7"/>
  <c r="T48" i="7"/>
  <c r="T49" i="7"/>
  <c r="T50" i="7"/>
  <c r="T51" i="7"/>
  <c r="T52" i="7"/>
  <c r="T53" i="7"/>
  <c r="T54" i="7"/>
  <c r="T55" i="7"/>
  <c r="T56" i="7"/>
  <c r="T57" i="7"/>
  <c r="T58" i="7"/>
  <c r="T59" i="7"/>
  <c r="T60" i="7"/>
  <c r="T61" i="7"/>
  <c r="T62" i="7"/>
  <c r="T63" i="7"/>
  <c r="T64" i="7"/>
  <c r="T65" i="7"/>
  <c r="T66" i="7"/>
  <c r="T67" i="7"/>
  <c r="T68" i="7"/>
  <c r="T69" i="7"/>
  <c r="T70" i="7"/>
  <c r="T71" i="7"/>
  <c r="T72" i="7"/>
  <c r="T73" i="7"/>
  <c r="T74" i="7"/>
  <c r="T75" i="7"/>
  <c r="T76" i="7"/>
  <c r="T77" i="7"/>
  <c r="T78" i="7"/>
  <c r="T79" i="7"/>
  <c r="T80" i="7"/>
  <c r="T81" i="7"/>
  <c r="T82" i="7"/>
  <c r="T83" i="7"/>
  <c r="T84" i="7"/>
  <c r="T85" i="7"/>
  <c r="T86" i="7"/>
  <c r="T87" i="7"/>
  <c r="T88" i="7"/>
  <c r="T89" i="7"/>
  <c r="T90" i="7"/>
  <c r="T91" i="7"/>
  <c r="T92" i="7"/>
  <c r="T93" i="7"/>
  <c r="T94" i="7"/>
  <c r="T95" i="7"/>
  <c r="T96" i="7"/>
  <c r="T97" i="7"/>
  <c r="T98" i="7"/>
  <c r="T99" i="7"/>
  <c r="T100" i="7"/>
  <c r="T101" i="7"/>
  <c r="T102" i="7"/>
  <c r="T103" i="7"/>
  <c r="T104" i="7"/>
  <c r="T105" i="7"/>
  <c r="T106" i="7"/>
  <c r="T107" i="7"/>
  <c r="T108" i="7"/>
  <c r="T109" i="7"/>
  <c r="T110" i="7"/>
  <c r="T111" i="7"/>
  <c r="T112" i="7"/>
  <c r="T113" i="7"/>
  <c r="T114" i="7"/>
  <c r="T115" i="7"/>
  <c r="T116" i="7"/>
  <c r="T117" i="7"/>
  <c r="T118" i="7"/>
  <c r="T119" i="7"/>
  <c r="T120" i="7"/>
  <c r="T121" i="7"/>
  <c r="T122" i="7"/>
  <c r="T123" i="7"/>
  <c r="T124" i="7"/>
  <c r="T125" i="7"/>
  <c r="T126" i="7"/>
  <c r="T127" i="7"/>
  <c r="T128" i="7"/>
  <c r="T129" i="7"/>
  <c r="T130" i="7"/>
  <c r="T131" i="7"/>
  <c r="T132" i="7"/>
  <c r="T133" i="7"/>
  <c r="T134" i="7"/>
  <c r="T135" i="7"/>
  <c r="T136" i="7"/>
  <c r="Q13" i="7"/>
  <c r="Q14" i="7"/>
  <c r="Q15" i="7"/>
  <c r="Q16" i="7"/>
  <c r="Q17" i="7"/>
  <c r="Q18" i="7"/>
  <c r="Q19" i="7"/>
  <c r="Q20" i="7"/>
  <c r="Q21" i="7"/>
  <c r="Q22" i="7"/>
  <c r="Q23" i="7"/>
  <c r="Q24" i="7"/>
  <c r="Q25" i="7"/>
  <c r="Q26" i="7"/>
  <c r="Q27" i="7"/>
  <c r="Q28" i="7"/>
  <c r="Q29" i="7"/>
  <c r="Q30" i="7"/>
  <c r="Q31" i="7"/>
  <c r="Q32" i="7"/>
  <c r="Q33" i="7"/>
  <c r="Q34" i="7"/>
  <c r="Q35" i="7"/>
  <c r="Q36" i="7"/>
  <c r="Q37" i="7"/>
  <c r="Q38" i="7"/>
  <c r="Q39" i="7"/>
  <c r="Q40" i="7"/>
  <c r="Q41" i="7"/>
  <c r="Q42" i="7"/>
  <c r="Q43" i="7"/>
  <c r="Q44" i="7"/>
  <c r="Q45" i="7"/>
  <c r="Q46" i="7"/>
  <c r="Q47" i="7"/>
  <c r="Q48" i="7"/>
  <c r="Q49" i="7"/>
  <c r="Q50" i="7"/>
  <c r="Q51" i="7"/>
  <c r="Q52" i="7"/>
  <c r="Q53" i="7"/>
  <c r="Q54" i="7"/>
  <c r="Q55" i="7"/>
  <c r="Q56" i="7"/>
  <c r="Q57" i="7"/>
  <c r="Q58" i="7"/>
  <c r="Q59" i="7"/>
  <c r="Q60" i="7"/>
  <c r="Q61" i="7"/>
  <c r="Q62" i="7"/>
  <c r="Q63" i="7"/>
  <c r="Q64" i="7"/>
  <c r="Q65" i="7"/>
  <c r="Q66" i="7"/>
  <c r="Q67" i="7"/>
  <c r="Q68" i="7"/>
  <c r="Q69" i="7"/>
  <c r="Q70" i="7"/>
  <c r="Q71" i="7"/>
  <c r="Q72" i="7"/>
  <c r="Q73" i="7"/>
  <c r="Q74" i="7"/>
  <c r="Q75" i="7"/>
  <c r="Q76" i="7"/>
  <c r="Q77" i="7"/>
  <c r="Q78" i="7"/>
  <c r="Q79" i="7"/>
  <c r="Q80" i="7"/>
  <c r="Q81" i="7"/>
  <c r="Q82" i="7"/>
  <c r="Q83" i="7"/>
  <c r="Q84" i="7"/>
  <c r="Q85" i="7"/>
  <c r="Q86" i="7"/>
  <c r="Q87" i="7"/>
  <c r="Q88" i="7"/>
  <c r="Q89" i="7"/>
  <c r="Q90" i="7"/>
  <c r="Q91" i="7"/>
  <c r="Q92" i="7"/>
  <c r="Q93" i="7"/>
  <c r="Q94" i="7"/>
  <c r="Q95" i="7"/>
  <c r="Q96" i="7"/>
  <c r="Q97" i="7"/>
  <c r="Q98" i="7"/>
  <c r="Q99" i="7"/>
  <c r="Q100" i="7"/>
  <c r="Q101" i="7"/>
  <c r="Q102" i="7"/>
  <c r="Q103" i="7"/>
  <c r="Q104" i="7"/>
  <c r="Q105" i="7"/>
  <c r="Q106" i="7"/>
  <c r="Q107" i="7"/>
  <c r="Q108" i="7"/>
  <c r="Q109" i="7"/>
  <c r="Q110" i="7"/>
  <c r="Q111" i="7"/>
  <c r="Q112" i="7"/>
  <c r="Q113" i="7"/>
  <c r="Q114" i="7"/>
  <c r="Q115" i="7"/>
  <c r="Q116" i="7"/>
  <c r="Q117" i="7"/>
  <c r="Q118" i="7"/>
  <c r="Q119" i="7"/>
  <c r="Q120" i="7"/>
  <c r="Q121" i="7"/>
  <c r="Q122" i="7"/>
  <c r="Q123" i="7"/>
  <c r="Q124" i="7"/>
  <c r="Q125" i="7"/>
  <c r="Q126" i="7"/>
  <c r="Q127" i="7"/>
  <c r="Q128" i="7"/>
  <c r="Q129" i="7"/>
  <c r="Q130" i="7"/>
  <c r="Q131" i="7"/>
  <c r="Q132" i="7"/>
  <c r="Q133" i="7"/>
  <c r="Q134" i="7"/>
  <c r="Q135" i="7"/>
  <c r="Q136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4" i="7"/>
  <c r="N45" i="7"/>
  <c r="N46" i="7"/>
  <c r="N47" i="7"/>
  <c r="N48" i="7"/>
  <c r="N49" i="7"/>
  <c r="N50" i="7"/>
  <c r="N51" i="7"/>
  <c r="N52" i="7"/>
  <c r="N53" i="7"/>
  <c r="N54" i="7"/>
  <c r="N55" i="7"/>
  <c r="N56" i="7"/>
  <c r="N57" i="7"/>
  <c r="N58" i="7"/>
  <c r="N59" i="7"/>
  <c r="N60" i="7"/>
  <c r="N61" i="7"/>
  <c r="N62" i="7"/>
  <c r="N63" i="7"/>
  <c r="N64" i="7"/>
  <c r="N65" i="7"/>
  <c r="N66" i="7"/>
  <c r="N67" i="7"/>
  <c r="N68" i="7"/>
  <c r="N69" i="7"/>
  <c r="N70" i="7"/>
  <c r="N71" i="7"/>
  <c r="N72" i="7"/>
  <c r="N73" i="7"/>
  <c r="N74" i="7"/>
  <c r="N75" i="7"/>
  <c r="N76" i="7"/>
  <c r="N77" i="7"/>
  <c r="N78" i="7"/>
  <c r="N79" i="7"/>
  <c r="N80" i="7"/>
  <c r="N81" i="7"/>
  <c r="N82" i="7"/>
  <c r="N83" i="7"/>
  <c r="N84" i="7"/>
  <c r="N85" i="7"/>
  <c r="N86" i="7"/>
  <c r="N87" i="7"/>
  <c r="N88" i="7"/>
  <c r="N89" i="7"/>
  <c r="N90" i="7"/>
  <c r="N91" i="7"/>
  <c r="N92" i="7"/>
  <c r="N93" i="7"/>
  <c r="N94" i="7"/>
  <c r="N95" i="7"/>
  <c r="N96" i="7"/>
  <c r="N97" i="7"/>
  <c r="N98" i="7"/>
  <c r="N99" i="7"/>
  <c r="N100" i="7"/>
  <c r="N101" i="7"/>
  <c r="N102" i="7"/>
  <c r="N103" i="7"/>
  <c r="N104" i="7"/>
  <c r="N105" i="7"/>
  <c r="N106" i="7"/>
  <c r="N107" i="7"/>
  <c r="N108" i="7"/>
  <c r="N109" i="7"/>
  <c r="N110" i="7"/>
  <c r="N111" i="7"/>
  <c r="N112" i="7"/>
  <c r="N113" i="7"/>
  <c r="N114" i="7"/>
  <c r="N115" i="7"/>
  <c r="N116" i="7"/>
  <c r="N117" i="7"/>
  <c r="N118" i="7"/>
  <c r="N119" i="7"/>
  <c r="N120" i="7"/>
  <c r="N121" i="7"/>
  <c r="N122" i="7"/>
  <c r="N123" i="7"/>
  <c r="N124" i="7"/>
  <c r="N125" i="7"/>
  <c r="N126" i="7"/>
  <c r="N127" i="7"/>
  <c r="N128" i="7"/>
  <c r="N129" i="7"/>
  <c r="N130" i="7"/>
  <c r="N131" i="7"/>
  <c r="N132" i="7"/>
  <c r="N133" i="7"/>
  <c r="N134" i="7"/>
  <c r="N135" i="7"/>
  <c r="N136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47" i="7"/>
  <c r="K48" i="7"/>
  <c r="K49" i="7"/>
  <c r="K50" i="7"/>
  <c r="K51" i="7"/>
  <c r="K52" i="7"/>
  <c r="K53" i="7"/>
  <c r="K54" i="7"/>
  <c r="K55" i="7"/>
  <c r="K56" i="7"/>
  <c r="K57" i="7"/>
  <c r="K58" i="7"/>
  <c r="K59" i="7"/>
  <c r="K60" i="7"/>
  <c r="K61" i="7"/>
  <c r="K62" i="7"/>
  <c r="K63" i="7"/>
  <c r="K64" i="7"/>
  <c r="K65" i="7"/>
  <c r="K66" i="7"/>
  <c r="K67" i="7"/>
  <c r="K68" i="7"/>
  <c r="K69" i="7"/>
  <c r="K70" i="7"/>
  <c r="K71" i="7"/>
  <c r="K72" i="7"/>
  <c r="K73" i="7"/>
  <c r="K74" i="7"/>
  <c r="K75" i="7"/>
  <c r="K76" i="7"/>
  <c r="K77" i="7"/>
  <c r="K78" i="7"/>
  <c r="K79" i="7"/>
  <c r="K80" i="7"/>
  <c r="K81" i="7"/>
  <c r="K82" i="7"/>
  <c r="K83" i="7"/>
  <c r="K84" i="7"/>
  <c r="K85" i="7"/>
  <c r="K86" i="7"/>
  <c r="K87" i="7"/>
  <c r="K88" i="7"/>
  <c r="K89" i="7"/>
  <c r="K90" i="7"/>
  <c r="K91" i="7"/>
  <c r="K92" i="7"/>
  <c r="K93" i="7"/>
  <c r="K94" i="7"/>
  <c r="K95" i="7"/>
  <c r="K96" i="7"/>
  <c r="K97" i="7"/>
  <c r="K98" i="7"/>
  <c r="K99" i="7"/>
  <c r="K100" i="7"/>
  <c r="K101" i="7"/>
  <c r="K102" i="7"/>
  <c r="K103" i="7"/>
  <c r="K104" i="7"/>
  <c r="K105" i="7"/>
  <c r="K106" i="7"/>
  <c r="K107" i="7"/>
  <c r="K108" i="7"/>
  <c r="K109" i="7"/>
  <c r="K110" i="7"/>
  <c r="K111" i="7"/>
  <c r="K112" i="7"/>
  <c r="K113" i="7"/>
  <c r="K114" i="7"/>
  <c r="K115" i="7"/>
  <c r="K116" i="7"/>
  <c r="K117" i="7"/>
  <c r="K118" i="7"/>
  <c r="K119" i="7"/>
  <c r="K120" i="7"/>
  <c r="K121" i="7"/>
  <c r="K122" i="7"/>
  <c r="K123" i="7"/>
  <c r="K124" i="7"/>
  <c r="K125" i="7"/>
  <c r="K126" i="7"/>
  <c r="K127" i="7"/>
  <c r="K128" i="7"/>
  <c r="K129" i="7"/>
  <c r="K130" i="7"/>
  <c r="K131" i="7"/>
  <c r="K132" i="7"/>
  <c r="K133" i="7"/>
  <c r="K134" i="7"/>
  <c r="K135" i="7"/>
  <c r="K136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39" i="7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53" i="7"/>
  <c r="E54" i="7"/>
  <c r="E55" i="7"/>
  <c r="E56" i="7"/>
  <c r="E57" i="7"/>
  <c r="E58" i="7"/>
  <c r="E59" i="7"/>
  <c r="E60" i="7"/>
  <c r="E61" i="7"/>
  <c r="E62" i="7"/>
  <c r="E63" i="7"/>
  <c r="E64" i="7"/>
  <c r="E65" i="7"/>
  <c r="E66" i="7"/>
  <c r="E67" i="7"/>
  <c r="E68" i="7"/>
  <c r="E69" i="7"/>
  <c r="E70" i="7"/>
  <c r="E71" i="7"/>
  <c r="E72" i="7"/>
  <c r="E73" i="7"/>
  <c r="E74" i="7"/>
  <c r="E75" i="7"/>
  <c r="E76" i="7"/>
  <c r="E77" i="7"/>
  <c r="E78" i="7"/>
  <c r="E79" i="7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E100" i="7"/>
  <c r="E101" i="7"/>
  <c r="E102" i="7"/>
  <c r="E103" i="7"/>
  <c r="E104" i="7"/>
  <c r="E105" i="7"/>
  <c r="E106" i="7"/>
  <c r="E107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E131" i="7"/>
  <c r="E132" i="7"/>
  <c r="E133" i="7"/>
  <c r="E134" i="7"/>
  <c r="E135" i="7"/>
  <c r="E136" i="7"/>
  <c r="E13" i="7"/>
  <c r="D12" i="7" l="1"/>
  <c r="G12" i="7"/>
  <c r="J12" i="7"/>
  <c r="L12" i="7"/>
  <c r="M12" i="7"/>
  <c r="O12" i="7"/>
  <c r="P12" i="7"/>
  <c r="R12" i="7"/>
  <c r="S12" i="7"/>
  <c r="U12" i="7"/>
  <c r="V12" i="7"/>
  <c r="W12" i="7" l="1"/>
  <c r="T12" i="7"/>
  <c r="Q12" i="7"/>
  <c r="N12" i="7"/>
  <c r="C12" i="7"/>
  <c r="E12" i="7" s="1"/>
  <c r="F12" i="7" l="1"/>
  <c r="H12" i="7" s="1"/>
  <c r="I12" i="7"/>
  <c r="K12" i="7" s="1"/>
</calcChain>
</file>

<file path=xl/sharedStrings.xml><?xml version="1.0" encoding="utf-8"?>
<sst xmlns="http://schemas.openxmlformats.org/spreadsheetml/2006/main" count="163" uniqueCount="145">
  <si>
    <t>PHỤ LỤC SỐ 01:</t>
  </si>
  <si>
    <t>(Kèm theo Đề án số: …....../ĐA-UBND ngày …... tháng ….. năm 2026 của UBND tỉnh)</t>
  </si>
  <si>
    <t>STT</t>
  </si>
  <si>
    <t>Tên đơn vị hành chính</t>
  </si>
  <si>
    <t>Đo đạc lập bản đồ địa chính</t>
  </si>
  <si>
    <t>Cấp Giấy chứng nhận</t>
  </si>
  <si>
    <t>Xây dựng CSDL đất đai</t>
  </si>
  <si>
    <t>Lưới địa chính</t>
  </si>
  <si>
    <t>Đo đạc lập mới bản đồ địa chính (ha)</t>
  </si>
  <si>
    <t>Đo đạc chỉnh lý bản đồ địa chính (ha/thửa)</t>
  </si>
  <si>
    <t>Cấp mới (số thửa)</t>
  </si>
  <si>
    <t>Cấp đổi (số thửa)</t>
  </si>
  <si>
    <t>Xã Tân Trào</t>
  </si>
  <si>
    <t>Xã Minh Thanh</t>
  </si>
  <si>
    <t>Xã Sơn Dương</t>
  </si>
  <si>
    <t>Xã Bình Ca</t>
  </si>
  <si>
    <t>Xã Tân Thanh</t>
  </si>
  <si>
    <t>Xã Sơn Thủy</t>
  </si>
  <si>
    <t>Xã Phú Lương</t>
  </si>
  <si>
    <t>Xã Trường Sinh</t>
  </si>
  <si>
    <t>Xã Hồng Sơn</t>
  </si>
  <si>
    <t>Xã Đông Thọ</t>
  </si>
  <si>
    <t>Xã Lâm Bình</t>
  </si>
  <si>
    <t>Xã Hàm Yên</t>
  </si>
  <si>
    <t>Xã Yên Sơn</t>
  </si>
  <si>
    <t>Xã Chiêm Hóa</t>
  </si>
  <si>
    <t>Xã Nà Hang</t>
  </si>
  <si>
    <t>Phường An Tường</t>
  </si>
  <si>
    <t>Phường Bình Thuận</t>
  </si>
  <si>
    <t>Xã Kim Bình</t>
  </si>
  <si>
    <t>Xã Yên Lập</t>
  </si>
  <si>
    <t>Xã Hòa An</t>
  </si>
  <si>
    <t>Xã Yên Nguyên</t>
  </si>
  <si>
    <t>Xã Tân Mỹ</t>
  </si>
  <si>
    <t>Xã Tân An</t>
  </si>
  <si>
    <t>Xã Trung Hà</t>
  </si>
  <si>
    <t>Xã Tri Phú</t>
  </si>
  <si>
    <t>Xã Kiên Đài</t>
  </si>
  <si>
    <t>Xã Yên Phú</t>
  </si>
  <si>
    <t>Xã Bình Xa</t>
  </si>
  <si>
    <t>Xã Thái Hòa</t>
  </si>
  <si>
    <t>Xã Hùng Đức</t>
  </si>
  <si>
    <t>Xã Thái Sơn</t>
  </si>
  <si>
    <t>Xã Phù Lưu</t>
  </si>
  <si>
    <t>Xã Bạch Xa</t>
  </si>
  <si>
    <t>Xã Lực Hành</t>
  </si>
  <si>
    <t>Xã Xuân Vân</t>
  </si>
  <si>
    <t>Xã Tân Long</t>
  </si>
  <si>
    <t>Xã Thái Bình</t>
  </si>
  <si>
    <t>Xã Nhữ Khê</t>
  </si>
  <si>
    <t>Xã Trung Sơn</t>
  </si>
  <si>
    <t>Xã Hùng Lợi</t>
  </si>
  <si>
    <t>Phường Hà Giang 1</t>
  </si>
  <si>
    <t>Phường Hà Giang 2</t>
  </si>
  <si>
    <t>Xã Ngọc Đường</t>
  </si>
  <si>
    <t>Xã Lũng Cú</t>
  </si>
  <si>
    <t>Xã Đồng Văn</t>
  </si>
  <si>
    <t>Xã Sà Phìn</t>
  </si>
  <si>
    <t>Xã Phố Bảng</t>
  </si>
  <si>
    <t xml:space="preserve">Xã Lũng Phìn </t>
  </si>
  <si>
    <t xml:space="preserve">Xã Sủng Máng </t>
  </si>
  <si>
    <t>Xã Tát Ngà</t>
  </si>
  <si>
    <t>Xã Niêm Sơn</t>
  </si>
  <si>
    <t>Xã Khâu Vai</t>
  </si>
  <si>
    <t>Xã Mèo Vạc</t>
  </si>
  <si>
    <t>Xã Sơn Vĩ</t>
  </si>
  <si>
    <t>Xã Bạch Đích</t>
  </si>
  <si>
    <t>Xã Thắng Mố</t>
  </si>
  <si>
    <t>Xã Yên Minh</t>
  </si>
  <si>
    <t>Xã Mậu Duệ</t>
  </si>
  <si>
    <t>Xã Ngọc Long</t>
  </si>
  <si>
    <t>Xã Du Già</t>
  </si>
  <si>
    <t>Xã Đường Thượng</t>
  </si>
  <si>
    <t>Xã Lùng Tám</t>
  </si>
  <si>
    <t>Xã Cán Tỷ</t>
  </si>
  <si>
    <t>Xã Quản Bạ</t>
  </si>
  <si>
    <t>Xã Nghĩa Thuận</t>
  </si>
  <si>
    <t>Xã Tùng Vài</t>
  </si>
  <si>
    <t>Xã Yên Cường</t>
  </si>
  <si>
    <t>Xã Đường Hồng</t>
  </si>
  <si>
    <t>Xã Bắc Mê</t>
  </si>
  <si>
    <t>Xã Giáp Trung</t>
  </si>
  <si>
    <t>Xã Minh Sơn</t>
  </si>
  <si>
    <t>Xã Minh Ngọc</t>
  </si>
  <si>
    <t xml:space="preserve">Xã Cao Bồ  </t>
  </si>
  <si>
    <t>Xã Minh Tân</t>
  </si>
  <si>
    <t>Xã Thuận Hòa</t>
  </si>
  <si>
    <t xml:space="preserve">Xã Tùng Bá </t>
  </si>
  <si>
    <t>Xã Lao Chải</t>
  </si>
  <si>
    <t>Xã Thanh Thủy</t>
  </si>
  <si>
    <t>Xã Phú Linh</t>
  </si>
  <si>
    <t>Xã Bạch Ngọc</t>
  </si>
  <si>
    <t>Xã Linh Hồ</t>
  </si>
  <si>
    <t>Xã Vị Xuyên</t>
  </si>
  <si>
    <t>Xã Việt Lâm</t>
  </si>
  <si>
    <t>Xã Tân Quang</t>
  </si>
  <si>
    <t>Xã Đồng Tâm</t>
  </si>
  <si>
    <t>Xã Liên Hiệp</t>
  </si>
  <si>
    <t>Xã Bằng Hành</t>
  </si>
  <si>
    <t>Xã Vĩnh Tuy</t>
  </si>
  <si>
    <t>Xã Đồng Yên</t>
  </si>
  <si>
    <t>Xã Hùng An</t>
  </si>
  <si>
    <t>Xã Tân Trịnh</t>
  </si>
  <si>
    <t>Xã Tiên Nguyên</t>
  </si>
  <si>
    <t>Xã Tiên Yên</t>
  </si>
  <si>
    <t>Xã Xuân Giang</t>
  </si>
  <si>
    <t>Xã Bằng Lang</t>
  </si>
  <si>
    <t>Xã Yên Thành</t>
  </si>
  <si>
    <t>Xã Quang Bình</t>
  </si>
  <si>
    <t>Xã Trung Thịnh</t>
  </si>
  <si>
    <t>Xã Pà Vầy Sủ</t>
  </si>
  <si>
    <t>Xã Nấm Dẩn</t>
  </si>
  <si>
    <t>Xã Quảng Nguyên</t>
  </si>
  <si>
    <t>Xã Khuôn Lùng</t>
  </si>
  <si>
    <t>Xã Pờ Ly Ngài</t>
  </si>
  <si>
    <t>Xã Thông Nguyên</t>
  </si>
  <si>
    <t>Xã Hồ Thầu</t>
  </si>
  <si>
    <t>Xã Nậm Dịch</t>
  </si>
  <si>
    <t>Xã Hoàng Su Phì</t>
  </si>
  <si>
    <t>Xã Tân Tiến</t>
  </si>
  <si>
    <t>Xã Thàng Tín</t>
  </si>
  <si>
    <t>Xã Bản Máy</t>
  </si>
  <si>
    <t>Phường Mỹ Lâm</t>
  </si>
  <si>
    <t>Phường Minh Xuân</t>
  </si>
  <si>
    <t>Phường Nông Tiến</t>
  </si>
  <si>
    <t>TỔNG HỢP KẾT QUẢ VÀ NHU CẦU KHỐI LƯỢNG THỰC HIỆN ĐO ĐẠC LẬP BẢN ĐỒ ĐỊA CHÍNH, CẤP GCN VÀ XÂY DỰNG CSDL ĐẤT ĐAI</t>
  </si>
  <si>
    <t>Xã Bình An</t>
  </si>
  <si>
    <t>Xã Kiến Thiết</t>
  </si>
  <si>
    <t>Xã Minh Quang</t>
  </si>
  <si>
    <t>Xã Thượng Lâm</t>
  </si>
  <si>
    <t xml:space="preserve">Xã Thượng Sơn </t>
  </si>
  <si>
    <t>Xã Côn Lôn</t>
  </si>
  <si>
    <t>Xã Yên Hoa</t>
  </si>
  <si>
    <t>Xã Thượng Nông</t>
  </si>
  <si>
    <t>Xã Hồng Thái</t>
  </si>
  <si>
    <t>Xã Bắc Quang</t>
  </si>
  <si>
    <t>Xã Xín Mần</t>
  </si>
  <si>
    <t>Kết quả ngày</t>
  </si>
  <si>
    <t>Chỉ tiêu</t>
  </si>
  <si>
    <t>Hoàn thiện CSDL đất đai
(thời hạn: Tháng 6/2026)</t>
  </si>
  <si>
    <t>Toàn tỉnh</t>
  </si>
  <si>
    <t>Xây dựng mới 
(thời hạn: Tháng 12/2026)</t>
  </si>
  <si>
    <t>Tỉ lệ hoàn thành</t>
  </si>
  <si>
    <t>BÁO CÁO NGÀY</t>
  </si>
  <si>
    <t>Đo đạc, lập bản đồ địa chính, lập hồ sơ địa chính, hoàn thành cơ sở dữ liệu đất đai trên địa bàn tỉnh Tuyên Quang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</si>
</sst>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;[Red]#,##0"/>
  </numFmts>
  <fonts count="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name val="Times New Roman"/>
      <family val="1"/>
    </font>
    <font>
      <sz val="12"/>
      <name val="Times New Roman"/>
      <family val="1"/>
    </font>
    <font>
      <i/>
      <sz val="12"/>
      <name val="Times New Roman"/>
      <family val="1"/>
    </font>
    <font>
      <sz val="12"/>
      <name val=".VnTime"/>
      <family val="2"/>
    </font>
    <font>
      <sz val="10"/>
      <name val="Arial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</cellStyleXfs>
  <cellXfs count="33">
    <xf numFmtId="0" fontId="0" fillId="0" borderId="0" xfId="0"/>
    <xf numFmtId="0" fontId="3" fillId="0" borderId="0" xfId="0" applyFont="1"/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 vertical="center" wrapText="1"/>
    </xf>
    <xf numFmtId="0" fontId="2" fillId="0" borderId="0" xfId="0" applyFont="1"/>
    <xf numFmtId="0" fontId="3" fillId="0" borderId="1" xfId="0" applyFont="1" applyBorder="1"/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 vertical="center"/>
    </xf>
    <xf numFmtId="164" fontId="3" fillId="0" borderId="0" xfId="0" applyNumberFormat="1" applyFont="1"/>
    <xf numFmtId="0" fontId="2" fillId="0" borderId="0" xfId="0" applyFont="1" applyAlignment="1">
      <alignment horizontal="left" vertical="center"/>
    </xf>
    <xf numFmtId="0" fontId="4" fillId="0" borderId="1" xfId="0" applyFont="1" applyBorder="1" applyAlignment="1">
      <alignment horizontal="center"/>
    </xf>
    <xf numFmtId="0" fontId="4" fillId="0" borderId="0" xfId="0" applyFont="1"/>
    <xf numFmtId="0" fontId="3" fillId="0" borderId="0" xfId="0" applyFont="1" applyAlignment="1">
      <alignment horizontal="center"/>
    </xf>
    <xf numFmtId="10" fontId="3" fillId="0" borderId="1" xfId="0" applyNumberFormat="1" applyFont="1" applyBorder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0" xfId="0" applyFont="1" applyAlignment="1">
      <alignment vertical="center"/>
    </xf>
    <xf numFmtId="1" fontId="3" fillId="0" borderId="0" xfId="0" applyNumberFormat="1" applyFont="1" applyAlignment="1">
      <alignment horizontal="center"/>
    </xf>
    <xf numFmtId="1" fontId="2" fillId="0" borderId="1" xfId="0" applyNumberFormat="1" applyFont="1" applyBorder="1" applyAlignment="1">
      <alignment horizontal="center" vertical="center" wrapText="1"/>
    </xf>
    <xf numFmtId="1" fontId="4" fillId="0" borderId="1" xfId="0" applyNumberFormat="1" applyFont="1" applyBorder="1" applyAlignment="1">
      <alignment horizontal="center"/>
    </xf>
    <xf numFmtId="1" fontId="2" fillId="0" borderId="1" xfId="0" applyNumberFormat="1" applyFont="1" applyBorder="1" applyAlignment="1">
      <alignment horizontal="center" vertical="center"/>
    </xf>
    <xf numFmtId="1" fontId="3" fillId="0" borderId="1" xfId="1" applyNumberFormat="1" applyFont="1" applyFill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1" fontId="3" fillId="0" borderId="1" xfId="1" applyNumberFormat="1" applyFont="1" applyFill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</cellXfs>
  <cellStyles count="7">
    <cellStyle name="Comma" xfId="1" builtinId="3"/>
    <cellStyle name="Comma 2 10" xfId="2" xr:uid="{8DD38D50-609C-4578-AC7C-654EE3165B82}"/>
    <cellStyle name="Comma 7" xfId="3" xr:uid="{343D2587-03E1-4406-9EF9-07D498727A3E}"/>
    <cellStyle name="Normal" xfId="0" builtinId="0"/>
    <cellStyle name="Normal 10" xfId="6" xr:uid="{821AF2D2-E61C-4662-8262-1DDF47E253CD}"/>
    <cellStyle name="Normal 12" xfId="4" xr:uid="{EC66FE1F-64CC-4548-8004-3971389C5797}"/>
    <cellStyle name="Normal 3" xfId="5" xr:uid="{18A8D69C-9A01-4A66-9E21-3ACA4D76B3E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5B4A5-5B57-4B35-9902-5817201CDD11}">
  <dimension ref="A1:W136"/>
  <sheetViews>
    <sheetView tabSelected="1" topLeftCell="A5" zoomScale="90" zoomScaleNormal="90" workbookViewId="0">
      <pane xSplit="2" ySplit="7" topLeftCell="C12" activePane="bottomRight" state="frozen"/>
      <selection activeCell="A5" sqref="A5"/>
      <selection pane="topRight" activeCell="C5" sqref="C5"/>
      <selection pane="bottomLeft" activeCell="A10" sqref="A10"/>
      <selection pane="bottomRight" activeCell="L26" sqref="L26"/>
    </sheetView>
  </sheetViews>
  <sheetFormatPr baseColWidth="10" defaultColWidth="9.83203125" defaultRowHeight="16"/>
  <cols>
    <col min="1" max="1" width="6" style="14" customWidth="1"/>
    <col min="2" max="2" width="22.5" style="1" customWidth="1"/>
    <col min="3" max="4" width="9.33203125" style="18" customWidth="1"/>
    <col min="5" max="5" width="12" style="14" customWidth="1"/>
    <col min="6" max="7" width="12.5" style="18" customWidth="1"/>
    <col min="8" max="8" width="12.5" style="14" customWidth="1"/>
    <col min="9" max="10" width="10" style="18" customWidth="1"/>
    <col min="11" max="11" width="10" style="14" customWidth="1"/>
    <col min="12" max="13" width="10.6640625" style="18" customWidth="1"/>
    <col min="14" max="14" width="10.6640625" style="14" customWidth="1"/>
    <col min="15" max="15" width="11.5" style="18" bestFit="1" customWidth="1"/>
    <col min="16" max="16" width="11.5" style="18" customWidth="1"/>
    <col min="17" max="17" width="11.5" style="14" customWidth="1"/>
    <col min="18" max="18" width="11.6640625" style="18" bestFit="1" customWidth="1"/>
    <col min="19" max="19" width="12" style="18" customWidth="1"/>
    <col min="20" max="20" width="14" style="14" customWidth="1"/>
    <col min="21" max="21" width="13.83203125" style="18" customWidth="1"/>
    <col min="22" max="22" width="13.33203125" style="18" customWidth="1"/>
    <col min="23" max="16384" width="9.83203125" style="1"/>
  </cols>
  <sheetData>
    <row r="1" spans="1:23">
      <c r="A1" s="26" t="s">
        <v>0</v>
      </c>
      <c r="B1" s="26"/>
      <c r="C1" s="26"/>
      <c r="D1" s="26"/>
      <c r="E1" s="26"/>
      <c r="F1" s="26"/>
      <c r="G1" s="26"/>
      <c r="H1" s="11"/>
    </row>
    <row r="2" spans="1:23">
      <c r="A2" s="27" t="s">
        <v>125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</row>
    <row r="3" spans="1:23">
      <c r="A3" s="28" t="s">
        <v>1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</row>
    <row r="5" spans="1:23">
      <c r="A5" s="27" t="s">
        <v>143</v>
      </c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</row>
    <row r="6" spans="1:23" s="5" customFormat="1">
      <c r="A6" s="27" t="s">
        <v>144</v>
      </c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</row>
    <row r="8" spans="1:23" ht="15.75" customHeight="1">
      <c r="A8" s="29" t="s">
        <v>2</v>
      </c>
      <c r="B8" s="29" t="s">
        <v>3</v>
      </c>
      <c r="C8" s="30" t="s">
        <v>4</v>
      </c>
      <c r="D8" s="31"/>
      <c r="E8" s="31"/>
      <c r="F8" s="31"/>
      <c r="G8" s="31"/>
      <c r="H8" s="31"/>
      <c r="I8" s="31"/>
      <c r="J8" s="31"/>
      <c r="K8" s="32"/>
      <c r="L8" s="30" t="s">
        <v>5</v>
      </c>
      <c r="M8" s="31"/>
      <c r="N8" s="31"/>
      <c r="O8" s="31"/>
      <c r="P8" s="31"/>
      <c r="Q8" s="32"/>
      <c r="R8" s="30" t="s">
        <v>6</v>
      </c>
      <c r="S8" s="31"/>
      <c r="T8" s="31"/>
      <c r="U8" s="31"/>
      <c r="V8" s="31"/>
      <c r="W8" s="32"/>
    </row>
    <row r="9" spans="1:23" ht="50.25" customHeight="1">
      <c r="A9" s="29"/>
      <c r="B9" s="29"/>
      <c r="C9" s="29" t="s">
        <v>7</v>
      </c>
      <c r="D9" s="29"/>
      <c r="E9" s="29"/>
      <c r="F9" s="29" t="s">
        <v>8</v>
      </c>
      <c r="G9" s="29"/>
      <c r="H9" s="29"/>
      <c r="I9" s="29" t="s">
        <v>9</v>
      </c>
      <c r="J9" s="29"/>
      <c r="K9" s="29"/>
      <c r="L9" s="29" t="s">
        <v>10</v>
      </c>
      <c r="M9" s="29"/>
      <c r="N9" s="29"/>
      <c r="O9" s="29" t="s">
        <v>11</v>
      </c>
      <c r="P9" s="29"/>
      <c r="Q9" s="29"/>
      <c r="R9" s="29" t="s">
        <v>141</v>
      </c>
      <c r="S9" s="29"/>
      <c r="T9" s="29"/>
      <c r="U9" s="29" t="s">
        <v>139</v>
      </c>
      <c r="V9" s="29"/>
      <c r="W9" s="29"/>
    </row>
    <row r="10" spans="1:23" ht="34">
      <c r="A10" s="29"/>
      <c r="B10" s="29"/>
      <c r="C10" s="19" t="s">
        <v>138</v>
      </c>
      <c r="D10" s="19" t="s">
        <v>137</v>
      </c>
      <c r="E10" s="2" t="s">
        <v>142</v>
      </c>
      <c r="F10" s="19" t="s">
        <v>138</v>
      </c>
      <c r="G10" s="19" t="s">
        <v>137</v>
      </c>
      <c r="H10" s="2" t="s">
        <v>142</v>
      </c>
      <c r="I10" s="19" t="s">
        <v>138</v>
      </c>
      <c r="J10" s="19" t="s">
        <v>137</v>
      </c>
      <c r="K10" s="2" t="s">
        <v>142</v>
      </c>
      <c r="L10" s="19" t="s">
        <v>138</v>
      </c>
      <c r="M10" s="19" t="s">
        <v>137</v>
      </c>
      <c r="N10" s="2" t="s">
        <v>142</v>
      </c>
      <c r="O10" s="19" t="s">
        <v>138</v>
      </c>
      <c r="P10" s="19" t="s">
        <v>137</v>
      </c>
      <c r="Q10" s="2" t="s">
        <v>142</v>
      </c>
      <c r="R10" s="19" t="s">
        <v>138</v>
      </c>
      <c r="S10" s="19" t="s">
        <v>137</v>
      </c>
      <c r="T10" s="2" t="s">
        <v>142</v>
      </c>
      <c r="U10" s="19" t="s">
        <v>138</v>
      </c>
      <c r="V10" s="19" t="s">
        <v>137</v>
      </c>
      <c r="W10" s="2" t="s">
        <v>142</v>
      </c>
    </row>
    <row r="11" spans="1:23" s="13" customFormat="1">
      <c r="A11" s="12">
        <v>1</v>
      </c>
      <c r="B11" s="12">
        <v>2</v>
      </c>
      <c r="C11" s="20">
        <v>3</v>
      </c>
      <c r="D11" s="20">
        <v>4</v>
      </c>
      <c r="E11" s="12">
        <v>5</v>
      </c>
      <c r="F11" s="20">
        <v>6</v>
      </c>
      <c r="G11" s="20">
        <v>7</v>
      </c>
      <c r="H11" s="12">
        <v>8</v>
      </c>
      <c r="I11" s="20">
        <v>9</v>
      </c>
      <c r="J11" s="20">
        <v>10</v>
      </c>
      <c r="K11" s="12">
        <v>11</v>
      </c>
      <c r="L11" s="20">
        <v>12</v>
      </c>
      <c r="M11" s="20">
        <v>13</v>
      </c>
      <c r="N11" s="12">
        <v>14</v>
      </c>
      <c r="O11" s="20">
        <v>15</v>
      </c>
      <c r="P11" s="20">
        <v>16</v>
      </c>
      <c r="Q11" s="12">
        <v>17</v>
      </c>
      <c r="R11" s="20">
        <v>18</v>
      </c>
      <c r="S11" s="20">
        <v>19</v>
      </c>
      <c r="T11" s="12">
        <v>20</v>
      </c>
      <c r="U11" s="20">
        <v>21</v>
      </c>
      <c r="V11" s="20">
        <v>22</v>
      </c>
      <c r="W11" s="12">
        <v>23</v>
      </c>
    </row>
    <row r="12" spans="1:23" s="17" customFormat="1" ht="17">
      <c r="A12" s="9"/>
      <c r="B12" s="4" t="s">
        <v>140</v>
      </c>
      <c r="C12" s="21">
        <f>SUM(C13:C136)</f>
        <v>525</v>
      </c>
      <c r="D12" s="21">
        <f t="shared" ref="D12:V12" si="0">SUM(D13:D136)</f>
        <v>0</v>
      </c>
      <c r="E12" s="16">
        <f>IFERROR(D12/C12,"")</f>
        <v>0</v>
      </c>
      <c r="F12" s="21">
        <f t="shared" si="0"/>
        <v>74843.87999999999</v>
      </c>
      <c r="G12" s="21">
        <f t="shared" si="0"/>
        <v>0</v>
      </c>
      <c r="H12" s="16">
        <f>IFERROR(G12/F12,"")</f>
        <v>0</v>
      </c>
      <c r="I12" s="21">
        <f t="shared" si="0"/>
        <v>4185.7199999999993</v>
      </c>
      <c r="J12" s="21">
        <f t="shared" si="0"/>
        <v>0</v>
      </c>
      <c r="K12" s="16">
        <f>IFERROR(J12/I12,"")</f>
        <v>0</v>
      </c>
      <c r="L12" s="21">
        <f t="shared" si="0"/>
        <v>841300.4</v>
      </c>
      <c r="M12" s="21">
        <f t="shared" si="0"/>
        <v>0</v>
      </c>
      <c r="N12" s="16">
        <f>IFERROR(M12/L12,"")</f>
        <v>0</v>
      </c>
      <c r="O12" s="21">
        <f t="shared" si="0"/>
        <v>1121083</v>
      </c>
      <c r="P12" s="21">
        <f t="shared" si="0"/>
        <v>0</v>
      </c>
      <c r="Q12" s="16">
        <f>IFERROR(P12/O12,"")</f>
        <v>0</v>
      </c>
      <c r="R12" s="21">
        <f t="shared" si="0"/>
        <v>2280475.4</v>
      </c>
      <c r="S12" s="21">
        <f t="shared" si="0"/>
        <v>0</v>
      </c>
      <c r="T12" s="16">
        <f>IFERROR(S12/R12,"")</f>
        <v>0</v>
      </c>
      <c r="U12" s="21">
        <f t="shared" si="0"/>
        <v>639452</v>
      </c>
      <c r="V12" s="21">
        <f t="shared" si="0"/>
        <v>0</v>
      </c>
      <c r="W12" s="16">
        <f>IFERROR(V12/U12,"")</f>
        <v>0</v>
      </c>
    </row>
    <row r="13" spans="1:23" ht="17">
      <c r="A13" s="3">
        <v>1</v>
      </c>
      <c r="B13" s="7" t="s">
        <v>12</v>
      </c>
      <c r="C13" s="23">
        <v>4</v>
      </c>
      <c r="D13" s="23"/>
      <c r="E13" s="15">
        <f>IFERROR(D13/C13,"")</f>
        <v>0</v>
      </c>
      <c r="F13" s="22">
        <v>491.14</v>
      </c>
      <c r="G13" s="22"/>
      <c r="H13" s="15">
        <f t="shared" ref="H13:H76" si="1">IFERROR(G13/F13,"")</f>
        <v>0</v>
      </c>
      <c r="I13" s="23">
        <v>0</v>
      </c>
      <c r="J13" s="23"/>
      <c r="K13" s="15" t="str">
        <f t="shared" ref="K13:K76" si="2">IFERROR(J13/I13,"")</f>
        <v/>
      </c>
      <c r="L13" s="23">
        <v>3973</v>
      </c>
      <c r="M13" s="23"/>
      <c r="N13" s="15">
        <f t="shared" ref="N13:N76" si="3">IFERROR(M13/L13,"")</f>
        <v>0</v>
      </c>
      <c r="O13" s="23">
        <v>16955</v>
      </c>
      <c r="P13" s="23"/>
      <c r="Q13" s="15">
        <f t="shared" ref="Q13:Q76" si="4">IFERROR(P13/O13,"")</f>
        <v>0</v>
      </c>
      <c r="R13" s="23">
        <v>5702</v>
      </c>
      <c r="S13" s="23"/>
      <c r="T13" s="15">
        <f t="shared" ref="T13:T76" si="5">IFERROR(S13/R13,"")</f>
        <v>0</v>
      </c>
      <c r="U13" s="22">
        <v>7738</v>
      </c>
      <c r="V13" s="23"/>
      <c r="W13" s="15">
        <f t="shared" ref="W13:W76" si="6">IFERROR(V13/U13,"")</f>
        <v>0</v>
      </c>
    </row>
    <row r="14" spans="1:23" ht="17">
      <c r="A14" s="3">
        <v>2</v>
      </c>
      <c r="B14" s="7" t="s">
        <v>13</v>
      </c>
      <c r="C14" s="23">
        <v>0</v>
      </c>
      <c r="D14" s="23"/>
      <c r="E14" s="15" t="str">
        <f t="shared" ref="E14:E77" si="7">IFERROR(D14/C14,"")</f>
        <v/>
      </c>
      <c r="F14" s="22">
        <v>0</v>
      </c>
      <c r="G14" s="22"/>
      <c r="H14" s="15" t="str">
        <f t="shared" si="1"/>
        <v/>
      </c>
      <c r="I14" s="23">
        <v>0</v>
      </c>
      <c r="J14" s="23"/>
      <c r="K14" s="15" t="str">
        <f t="shared" si="2"/>
        <v/>
      </c>
      <c r="L14" s="23">
        <v>0</v>
      </c>
      <c r="M14" s="23"/>
      <c r="N14" s="15" t="str">
        <f t="shared" si="3"/>
        <v/>
      </c>
      <c r="O14" s="23">
        <v>0</v>
      </c>
      <c r="P14" s="23"/>
      <c r="Q14" s="15" t="str">
        <f t="shared" si="4"/>
        <v/>
      </c>
      <c r="R14" s="23">
        <v>0</v>
      </c>
      <c r="S14" s="23"/>
      <c r="T14" s="15" t="str">
        <f t="shared" si="5"/>
        <v/>
      </c>
      <c r="U14" s="22">
        <v>12493</v>
      </c>
      <c r="V14" s="23"/>
      <c r="W14" s="15">
        <f t="shared" si="6"/>
        <v>0</v>
      </c>
    </row>
    <row r="15" spans="1:23" ht="17">
      <c r="A15" s="3">
        <v>3</v>
      </c>
      <c r="B15" s="7" t="s">
        <v>14</v>
      </c>
      <c r="C15" s="23">
        <v>0</v>
      </c>
      <c r="D15" s="23"/>
      <c r="E15" s="15" t="str">
        <f t="shared" si="7"/>
        <v/>
      </c>
      <c r="F15" s="22">
        <v>0</v>
      </c>
      <c r="G15" s="22"/>
      <c r="H15" s="15" t="str">
        <f t="shared" si="1"/>
        <v/>
      </c>
      <c r="I15" s="23">
        <v>0</v>
      </c>
      <c r="J15" s="23"/>
      <c r="K15" s="15" t="str">
        <f t="shared" si="2"/>
        <v/>
      </c>
      <c r="L15" s="23">
        <v>0</v>
      </c>
      <c r="M15" s="23"/>
      <c r="N15" s="15" t="str">
        <f t="shared" si="3"/>
        <v/>
      </c>
      <c r="O15" s="23">
        <v>0</v>
      </c>
      <c r="P15" s="23"/>
      <c r="Q15" s="15" t="str">
        <f t="shared" si="4"/>
        <v/>
      </c>
      <c r="R15" s="23">
        <v>0</v>
      </c>
      <c r="S15" s="23"/>
      <c r="T15" s="15" t="str">
        <f t="shared" si="5"/>
        <v/>
      </c>
      <c r="U15" s="22">
        <v>29035</v>
      </c>
      <c r="V15" s="23"/>
      <c r="W15" s="15">
        <f t="shared" si="6"/>
        <v>0</v>
      </c>
    </row>
    <row r="16" spans="1:23" ht="17">
      <c r="A16" s="3">
        <v>4</v>
      </c>
      <c r="B16" s="7" t="s">
        <v>15</v>
      </c>
      <c r="C16" s="23">
        <v>0</v>
      </c>
      <c r="D16" s="23"/>
      <c r="E16" s="15" t="str">
        <f t="shared" si="7"/>
        <v/>
      </c>
      <c r="F16" s="22">
        <v>0</v>
      </c>
      <c r="G16" s="22"/>
      <c r="H16" s="15" t="str">
        <f t="shared" si="1"/>
        <v/>
      </c>
      <c r="I16" s="23">
        <v>0</v>
      </c>
      <c r="J16" s="23"/>
      <c r="K16" s="15" t="str">
        <f t="shared" si="2"/>
        <v/>
      </c>
      <c r="L16" s="23">
        <v>0</v>
      </c>
      <c r="M16" s="23"/>
      <c r="N16" s="15" t="str">
        <f t="shared" si="3"/>
        <v/>
      </c>
      <c r="O16" s="23">
        <v>0</v>
      </c>
      <c r="P16" s="23"/>
      <c r="Q16" s="15" t="str">
        <f t="shared" si="4"/>
        <v/>
      </c>
      <c r="R16" s="23">
        <v>0</v>
      </c>
      <c r="S16" s="23"/>
      <c r="T16" s="15" t="str">
        <f t="shared" si="5"/>
        <v/>
      </c>
      <c r="U16" s="22">
        <v>14515</v>
      </c>
      <c r="V16" s="23"/>
      <c r="W16" s="15">
        <f t="shared" si="6"/>
        <v>0</v>
      </c>
    </row>
    <row r="17" spans="1:23" ht="17">
      <c r="A17" s="3">
        <v>5</v>
      </c>
      <c r="B17" s="7" t="s">
        <v>16</v>
      </c>
      <c r="C17" s="23">
        <v>0</v>
      </c>
      <c r="D17" s="23"/>
      <c r="E17" s="15" t="str">
        <f t="shared" si="7"/>
        <v/>
      </c>
      <c r="F17" s="22">
        <v>0</v>
      </c>
      <c r="G17" s="22"/>
      <c r="H17" s="15" t="str">
        <f t="shared" si="1"/>
        <v/>
      </c>
      <c r="I17" s="23">
        <v>0</v>
      </c>
      <c r="J17" s="23"/>
      <c r="K17" s="15" t="str">
        <f t="shared" si="2"/>
        <v/>
      </c>
      <c r="L17" s="23">
        <v>0</v>
      </c>
      <c r="M17" s="23"/>
      <c r="N17" s="15" t="str">
        <f t="shared" si="3"/>
        <v/>
      </c>
      <c r="O17" s="23">
        <v>0</v>
      </c>
      <c r="P17" s="23"/>
      <c r="Q17" s="15" t="str">
        <f t="shared" si="4"/>
        <v/>
      </c>
      <c r="R17" s="23">
        <v>0</v>
      </c>
      <c r="S17" s="23"/>
      <c r="T17" s="15" t="str">
        <f t="shared" si="5"/>
        <v/>
      </c>
      <c r="U17" s="22">
        <v>16246</v>
      </c>
      <c r="V17" s="23"/>
      <c r="W17" s="15">
        <f t="shared" si="6"/>
        <v>0</v>
      </c>
    </row>
    <row r="18" spans="1:23" ht="17">
      <c r="A18" s="3">
        <v>6</v>
      </c>
      <c r="B18" s="7" t="s">
        <v>17</v>
      </c>
      <c r="C18" s="23">
        <v>0</v>
      </c>
      <c r="D18" s="23"/>
      <c r="E18" s="15" t="str">
        <f t="shared" si="7"/>
        <v/>
      </c>
      <c r="F18" s="22">
        <v>0</v>
      </c>
      <c r="G18" s="22"/>
      <c r="H18" s="15" t="str">
        <f t="shared" si="1"/>
        <v/>
      </c>
      <c r="I18" s="23">
        <v>0</v>
      </c>
      <c r="J18" s="23"/>
      <c r="K18" s="15" t="str">
        <f t="shared" si="2"/>
        <v/>
      </c>
      <c r="L18" s="23">
        <v>0</v>
      </c>
      <c r="M18" s="23"/>
      <c r="N18" s="15" t="str">
        <f t="shared" si="3"/>
        <v/>
      </c>
      <c r="O18" s="23">
        <v>0</v>
      </c>
      <c r="P18" s="23"/>
      <c r="Q18" s="15" t="str">
        <f t="shared" si="4"/>
        <v/>
      </c>
      <c r="R18" s="23">
        <v>0</v>
      </c>
      <c r="S18" s="23"/>
      <c r="T18" s="15" t="str">
        <f t="shared" si="5"/>
        <v/>
      </c>
      <c r="U18" s="22">
        <v>7969</v>
      </c>
      <c r="V18" s="23"/>
      <c r="W18" s="15">
        <f t="shared" si="6"/>
        <v>0</v>
      </c>
    </row>
    <row r="19" spans="1:23" ht="17">
      <c r="A19" s="3">
        <v>7</v>
      </c>
      <c r="B19" s="7" t="s">
        <v>18</v>
      </c>
      <c r="C19" s="23">
        <v>0</v>
      </c>
      <c r="D19" s="23"/>
      <c r="E19" s="15" t="str">
        <f t="shared" si="7"/>
        <v/>
      </c>
      <c r="F19" s="22">
        <v>0</v>
      </c>
      <c r="G19" s="22"/>
      <c r="H19" s="15" t="str">
        <f t="shared" si="1"/>
        <v/>
      </c>
      <c r="I19" s="23">
        <v>0</v>
      </c>
      <c r="J19" s="23"/>
      <c r="K19" s="15" t="str">
        <f t="shared" si="2"/>
        <v/>
      </c>
      <c r="L19" s="23">
        <v>0</v>
      </c>
      <c r="M19" s="23"/>
      <c r="N19" s="15" t="str">
        <f t="shared" si="3"/>
        <v/>
      </c>
      <c r="O19" s="23">
        <v>0</v>
      </c>
      <c r="P19" s="23"/>
      <c r="Q19" s="15" t="str">
        <f t="shared" si="4"/>
        <v/>
      </c>
      <c r="R19" s="23">
        <v>0</v>
      </c>
      <c r="S19" s="23"/>
      <c r="T19" s="15" t="str">
        <f t="shared" si="5"/>
        <v/>
      </c>
      <c r="U19" s="22">
        <v>20030</v>
      </c>
      <c r="V19" s="23"/>
      <c r="W19" s="15">
        <f t="shared" si="6"/>
        <v>0</v>
      </c>
    </row>
    <row r="20" spans="1:23" ht="17">
      <c r="A20" s="3">
        <v>8</v>
      </c>
      <c r="B20" s="7" t="s">
        <v>19</v>
      </c>
      <c r="C20" s="23">
        <v>0</v>
      </c>
      <c r="D20" s="23"/>
      <c r="E20" s="15" t="str">
        <f t="shared" si="7"/>
        <v/>
      </c>
      <c r="F20" s="22">
        <v>0</v>
      </c>
      <c r="G20" s="22"/>
      <c r="H20" s="15" t="str">
        <f t="shared" si="1"/>
        <v/>
      </c>
      <c r="I20" s="23">
        <v>0</v>
      </c>
      <c r="J20" s="23"/>
      <c r="K20" s="15" t="str">
        <f t="shared" si="2"/>
        <v/>
      </c>
      <c r="L20" s="23">
        <v>0</v>
      </c>
      <c r="M20" s="23"/>
      <c r="N20" s="15" t="str">
        <f t="shared" si="3"/>
        <v/>
      </c>
      <c r="O20" s="23">
        <v>0</v>
      </c>
      <c r="P20" s="23"/>
      <c r="Q20" s="15" t="str">
        <f t="shared" si="4"/>
        <v/>
      </c>
      <c r="R20" s="23">
        <v>0</v>
      </c>
      <c r="S20" s="23"/>
      <c r="T20" s="15" t="str">
        <f t="shared" si="5"/>
        <v/>
      </c>
      <c r="U20" s="22">
        <v>11900</v>
      </c>
      <c r="V20" s="23"/>
      <c r="W20" s="15">
        <f t="shared" si="6"/>
        <v>0</v>
      </c>
    </row>
    <row r="21" spans="1:23" ht="17">
      <c r="A21" s="3">
        <v>9</v>
      </c>
      <c r="B21" s="7" t="s">
        <v>20</v>
      </c>
      <c r="C21" s="23">
        <v>0</v>
      </c>
      <c r="D21" s="23"/>
      <c r="E21" s="15" t="str">
        <f t="shared" si="7"/>
        <v/>
      </c>
      <c r="F21" s="22">
        <v>0</v>
      </c>
      <c r="G21" s="22"/>
      <c r="H21" s="15" t="str">
        <f t="shared" si="1"/>
        <v/>
      </c>
      <c r="I21" s="23">
        <v>0</v>
      </c>
      <c r="J21" s="23"/>
      <c r="K21" s="15" t="str">
        <f t="shared" si="2"/>
        <v/>
      </c>
      <c r="L21" s="23">
        <v>0</v>
      </c>
      <c r="M21" s="23"/>
      <c r="N21" s="15" t="str">
        <f t="shared" si="3"/>
        <v/>
      </c>
      <c r="O21" s="23">
        <v>0</v>
      </c>
      <c r="P21" s="23"/>
      <c r="Q21" s="15" t="str">
        <f t="shared" si="4"/>
        <v/>
      </c>
      <c r="R21" s="23">
        <v>0</v>
      </c>
      <c r="S21" s="23"/>
      <c r="T21" s="15" t="str">
        <f t="shared" si="5"/>
        <v/>
      </c>
      <c r="U21" s="22">
        <v>15782</v>
      </c>
      <c r="V21" s="23"/>
      <c r="W21" s="15">
        <f t="shared" si="6"/>
        <v>0</v>
      </c>
    </row>
    <row r="22" spans="1:23" ht="17">
      <c r="A22" s="3">
        <v>10</v>
      </c>
      <c r="B22" s="7" t="s">
        <v>21</v>
      </c>
      <c r="C22" s="23">
        <v>0</v>
      </c>
      <c r="D22" s="23"/>
      <c r="E22" s="15" t="str">
        <f t="shared" si="7"/>
        <v/>
      </c>
      <c r="F22" s="22">
        <v>0</v>
      </c>
      <c r="G22" s="22"/>
      <c r="H22" s="15" t="str">
        <f t="shared" si="1"/>
        <v/>
      </c>
      <c r="I22" s="23">
        <v>0</v>
      </c>
      <c r="J22" s="23"/>
      <c r="K22" s="15" t="str">
        <f t="shared" si="2"/>
        <v/>
      </c>
      <c r="L22" s="23">
        <v>0</v>
      </c>
      <c r="M22" s="23"/>
      <c r="N22" s="15" t="str">
        <f t="shared" si="3"/>
        <v/>
      </c>
      <c r="O22" s="23">
        <v>0</v>
      </c>
      <c r="P22" s="23"/>
      <c r="Q22" s="15" t="str">
        <f t="shared" si="4"/>
        <v/>
      </c>
      <c r="R22" s="23">
        <v>0</v>
      </c>
      <c r="S22" s="22"/>
      <c r="T22" s="15" t="str">
        <f t="shared" si="5"/>
        <v/>
      </c>
      <c r="U22" s="22">
        <v>15459</v>
      </c>
      <c r="V22" s="23"/>
      <c r="W22" s="15">
        <f t="shared" si="6"/>
        <v>0</v>
      </c>
    </row>
    <row r="23" spans="1:23">
      <c r="A23" s="3">
        <v>11</v>
      </c>
      <c r="B23" s="6" t="s">
        <v>22</v>
      </c>
      <c r="C23" s="23">
        <v>6</v>
      </c>
      <c r="D23" s="23"/>
      <c r="E23" s="15">
        <f t="shared" si="7"/>
        <v>0</v>
      </c>
      <c r="F23" s="22">
        <v>543.11</v>
      </c>
      <c r="G23" s="22"/>
      <c r="H23" s="15">
        <f t="shared" si="1"/>
        <v>0</v>
      </c>
      <c r="I23" s="23">
        <v>0</v>
      </c>
      <c r="J23" s="23"/>
      <c r="K23" s="15" t="str">
        <f t="shared" si="2"/>
        <v/>
      </c>
      <c r="L23" s="23">
        <v>985</v>
      </c>
      <c r="M23" s="23"/>
      <c r="N23" s="15">
        <f t="shared" si="3"/>
        <v>0</v>
      </c>
      <c r="O23" s="23">
        <v>13225</v>
      </c>
      <c r="P23" s="23"/>
      <c r="Q23" s="15">
        <f t="shared" si="4"/>
        <v>0</v>
      </c>
      <c r="R23" s="22">
        <v>14210</v>
      </c>
      <c r="S23" s="22"/>
      <c r="T23" s="15">
        <f t="shared" si="5"/>
        <v>0</v>
      </c>
      <c r="U23" s="24">
        <v>14151</v>
      </c>
      <c r="V23" s="23"/>
      <c r="W23" s="15">
        <f t="shared" si="6"/>
        <v>0</v>
      </c>
    </row>
    <row r="24" spans="1:23">
      <c r="A24" s="3">
        <v>12</v>
      </c>
      <c r="B24" s="6" t="s">
        <v>23</v>
      </c>
      <c r="C24" s="23">
        <v>18</v>
      </c>
      <c r="D24" s="23"/>
      <c r="E24" s="15">
        <f t="shared" si="7"/>
        <v>0</v>
      </c>
      <c r="F24" s="22">
        <v>3441.6000000000004</v>
      </c>
      <c r="G24" s="22"/>
      <c r="H24" s="15">
        <f t="shared" si="1"/>
        <v>0</v>
      </c>
      <c r="I24" s="23">
        <v>0</v>
      </c>
      <c r="J24" s="23"/>
      <c r="K24" s="15" t="str">
        <f t="shared" si="2"/>
        <v/>
      </c>
      <c r="L24" s="23">
        <v>2224</v>
      </c>
      <c r="M24" s="23"/>
      <c r="N24" s="15">
        <f t="shared" si="3"/>
        <v>0</v>
      </c>
      <c r="O24" s="23">
        <v>21917</v>
      </c>
      <c r="P24" s="23"/>
      <c r="Q24" s="15">
        <f t="shared" si="4"/>
        <v>0</v>
      </c>
      <c r="R24" s="22">
        <v>29737</v>
      </c>
      <c r="S24" s="22"/>
      <c r="T24" s="15">
        <f t="shared" si="5"/>
        <v>0</v>
      </c>
      <c r="U24" s="24">
        <v>12237</v>
      </c>
      <c r="V24" s="23"/>
      <c r="W24" s="15">
        <f t="shared" si="6"/>
        <v>0</v>
      </c>
    </row>
    <row r="25" spans="1:23">
      <c r="A25" s="3">
        <v>13</v>
      </c>
      <c r="B25" s="6" t="s">
        <v>24</v>
      </c>
      <c r="C25" s="23">
        <v>6</v>
      </c>
      <c r="D25" s="23"/>
      <c r="E25" s="15">
        <f t="shared" si="7"/>
        <v>0</v>
      </c>
      <c r="F25" s="22">
        <v>694.98</v>
      </c>
      <c r="G25" s="22"/>
      <c r="H25" s="15">
        <f t="shared" si="1"/>
        <v>0</v>
      </c>
      <c r="I25" s="23">
        <v>0</v>
      </c>
      <c r="J25" s="23"/>
      <c r="K25" s="15" t="str">
        <f t="shared" si="2"/>
        <v/>
      </c>
      <c r="L25" s="23">
        <v>1339</v>
      </c>
      <c r="M25" s="23"/>
      <c r="N25" s="15">
        <f t="shared" si="3"/>
        <v>0</v>
      </c>
      <c r="O25" s="23">
        <v>4029</v>
      </c>
      <c r="P25" s="23"/>
      <c r="Q25" s="15">
        <f t="shared" si="4"/>
        <v>0</v>
      </c>
      <c r="R25" s="22">
        <v>5368</v>
      </c>
      <c r="S25" s="22"/>
      <c r="T25" s="15">
        <f t="shared" si="5"/>
        <v>0</v>
      </c>
      <c r="U25" s="22">
        <v>7663</v>
      </c>
      <c r="V25" s="23"/>
      <c r="W25" s="15">
        <f t="shared" si="6"/>
        <v>0</v>
      </c>
    </row>
    <row r="26" spans="1:23">
      <c r="A26" s="3">
        <v>14</v>
      </c>
      <c r="B26" s="6" t="s">
        <v>25</v>
      </c>
      <c r="C26" s="23">
        <v>22</v>
      </c>
      <c r="D26" s="23"/>
      <c r="E26" s="15">
        <f t="shared" si="7"/>
        <v>0</v>
      </c>
      <c r="F26" s="22">
        <v>2828.3900000000003</v>
      </c>
      <c r="G26" s="22"/>
      <c r="H26" s="15">
        <f t="shared" si="1"/>
        <v>0</v>
      </c>
      <c r="I26" s="23">
        <v>0</v>
      </c>
      <c r="J26" s="23"/>
      <c r="K26" s="15" t="str">
        <f t="shared" si="2"/>
        <v/>
      </c>
      <c r="L26" s="23">
        <v>2852</v>
      </c>
      <c r="M26" s="23"/>
      <c r="N26" s="15">
        <f t="shared" si="3"/>
        <v>0</v>
      </c>
      <c r="O26" s="23">
        <v>29612</v>
      </c>
      <c r="P26" s="23"/>
      <c r="Q26" s="15">
        <f t="shared" si="4"/>
        <v>0</v>
      </c>
      <c r="R26" s="22">
        <v>32464</v>
      </c>
      <c r="S26" s="22"/>
      <c r="T26" s="15">
        <f t="shared" si="5"/>
        <v>0</v>
      </c>
      <c r="U26" s="22">
        <v>0</v>
      </c>
      <c r="V26" s="23"/>
      <c r="W26" s="15" t="str">
        <f t="shared" si="6"/>
        <v/>
      </c>
    </row>
    <row r="27" spans="1:23">
      <c r="A27" s="3">
        <v>15</v>
      </c>
      <c r="B27" s="6" t="s">
        <v>26</v>
      </c>
      <c r="C27" s="23">
        <v>12</v>
      </c>
      <c r="D27" s="23"/>
      <c r="E27" s="15">
        <f t="shared" si="7"/>
        <v>0</v>
      </c>
      <c r="F27" s="22">
        <v>1037.5700000000002</v>
      </c>
      <c r="G27" s="22"/>
      <c r="H27" s="15">
        <f t="shared" si="1"/>
        <v>0</v>
      </c>
      <c r="I27" s="23">
        <v>0</v>
      </c>
      <c r="J27" s="23"/>
      <c r="K27" s="15" t="str">
        <f t="shared" si="2"/>
        <v/>
      </c>
      <c r="L27" s="23">
        <v>428</v>
      </c>
      <c r="M27" s="23"/>
      <c r="N27" s="15">
        <f t="shared" si="3"/>
        <v>0</v>
      </c>
      <c r="O27" s="23">
        <v>28623</v>
      </c>
      <c r="P27" s="23"/>
      <c r="Q27" s="15">
        <f t="shared" si="4"/>
        <v>0</v>
      </c>
      <c r="R27" s="22">
        <v>29051</v>
      </c>
      <c r="S27" s="22"/>
      <c r="T27" s="15">
        <f t="shared" si="5"/>
        <v>0</v>
      </c>
      <c r="U27" s="22">
        <v>0</v>
      </c>
      <c r="V27" s="23"/>
      <c r="W27" s="15" t="str">
        <f t="shared" si="6"/>
        <v/>
      </c>
    </row>
    <row r="28" spans="1:23">
      <c r="A28" s="3">
        <v>16</v>
      </c>
      <c r="B28" s="6" t="s">
        <v>27</v>
      </c>
      <c r="C28" s="23">
        <v>7</v>
      </c>
      <c r="D28" s="23"/>
      <c r="E28" s="15">
        <f t="shared" si="7"/>
        <v>0</v>
      </c>
      <c r="F28" s="22">
        <v>808.66000000000008</v>
      </c>
      <c r="G28" s="22"/>
      <c r="H28" s="15">
        <f t="shared" si="1"/>
        <v>0</v>
      </c>
      <c r="I28" s="23">
        <v>0</v>
      </c>
      <c r="J28" s="23"/>
      <c r="K28" s="15" t="str">
        <f t="shared" si="2"/>
        <v/>
      </c>
      <c r="L28" s="22">
        <v>2600</v>
      </c>
      <c r="M28" s="22"/>
      <c r="N28" s="15">
        <f t="shared" si="3"/>
        <v>0</v>
      </c>
      <c r="O28" s="22">
        <v>7629</v>
      </c>
      <c r="P28" s="22"/>
      <c r="Q28" s="15">
        <f t="shared" si="4"/>
        <v>0</v>
      </c>
      <c r="R28" s="22">
        <v>10460</v>
      </c>
      <c r="S28" s="22"/>
      <c r="T28" s="15">
        <f t="shared" si="5"/>
        <v>0</v>
      </c>
      <c r="U28" s="22">
        <v>36018</v>
      </c>
      <c r="V28" s="23"/>
      <c r="W28" s="15">
        <f t="shared" si="6"/>
        <v>0</v>
      </c>
    </row>
    <row r="29" spans="1:23" ht="17">
      <c r="A29" s="3">
        <v>17</v>
      </c>
      <c r="B29" s="7" t="s">
        <v>28</v>
      </c>
      <c r="C29" s="23">
        <v>0</v>
      </c>
      <c r="D29" s="23"/>
      <c r="E29" s="15" t="str">
        <f t="shared" si="7"/>
        <v/>
      </c>
      <c r="F29" s="22">
        <v>0</v>
      </c>
      <c r="G29" s="22"/>
      <c r="H29" s="15" t="str">
        <f t="shared" si="1"/>
        <v/>
      </c>
      <c r="I29" s="23">
        <v>0</v>
      </c>
      <c r="J29" s="23"/>
      <c r="K29" s="15" t="str">
        <f t="shared" si="2"/>
        <v/>
      </c>
      <c r="L29" s="23">
        <v>0</v>
      </c>
      <c r="M29" s="22"/>
      <c r="N29" s="15" t="str">
        <f t="shared" si="3"/>
        <v/>
      </c>
      <c r="O29" s="23">
        <v>0</v>
      </c>
      <c r="P29" s="22"/>
      <c r="Q29" s="15" t="str">
        <f t="shared" si="4"/>
        <v/>
      </c>
      <c r="R29" s="22">
        <v>583</v>
      </c>
      <c r="S29" s="22"/>
      <c r="T29" s="15">
        <f t="shared" si="5"/>
        <v>0</v>
      </c>
      <c r="U29" s="22">
        <v>28337</v>
      </c>
      <c r="V29" s="23"/>
      <c r="W29" s="15">
        <f t="shared" si="6"/>
        <v>0</v>
      </c>
    </row>
    <row r="30" spans="1:23">
      <c r="A30" s="3">
        <v>18</v>
      </c>
      <c r="B30" s="6" t="s">
        <v>123</v>
      </c>
      <c r="C30" s="23">
        <v>16</v>
      </c>
      <c r="D30" s="23"/>
      <c r="E30" s="15">
        <f t="shared" si="7"/>
        <v>0</v>
      </c>
      <c r="F30" s="22">
        <v>1575.1100000000001</v>
      </c>
      <c r="G30" s="22"/>
      <c r="H30" s="15">
        <f t="shared" si="1"/>
        <v>0</v>
      </c>
      <c r="I30" s="23">
        <v>0</v>
      </c>
      <c r="J30" s="23"/>
      <c r="K30" s="15" t="str">
        <f t="shared" si="2"/>
        <v/>
      </c>
      <c r="L30" s="22">
        <v>8644</v>
      </c>
      <c r="M30" s="22"/>
      <c r="N30" s="15">
        <f t="shared" si="3"/>
        <v>0</v>
      </c>
      <c r="O30" s="22">
        <v>22581</v>
      </c>
      <c r="P30" s="22"/>
      <c r="Q30" s="15">
        <f t="shared" si="4"/>
        <v>0</v>
      </c>
      <c r="R30" s="22">
        <v>31225</v>
      </c>
      <c r="S30" s="22"/>
      <c r="T30" s="15">
        <f t="shared" si="5"/>
        <v>0</v>
      </c>
      <c r="U30" s="22">
        <v>19</v>
      </c>
      <c r="V30" s="23"/>
      <c r="W30" s="15">
        <f t="shared" si="6"/>
        <v>0</v>
      </c>
    </row>
    <row r="31" spans="1:23">
      <c r="A31" s="3">
        <v>19</v>
      </c>
      <c r="B31" s="6" t="s">
        <v>122</v>
      </c>
      <c r="C31" s="23">
        <v>27</v>
      </c>
      <c r="D31" s="23"/>
      <c r="E31" s="15">
        <f t="shared" si="7"/>
        <v>0</v>
      </c>
      <c r="F31" s="22">
        <v>3548.32</v>
      </c>
      <c r="G31" s="22"/>
      <c r="H31" s="15">
        <f t="shared" si="1"/>
        <v>0</v>
      </c>
      <c r="I31" s="23">
        <v>0</v>
      </c>
      <c r="J31" s="23"/>
      <c r="K31" s="15" t="str">
        <f t="shared" si="2"/>
        <v/>
      </c>
      <c r="L31" s="22">
        <v>3960</v>
      </c>
      <c r="M31" s="22"/>
      <c r="N31" s="15">
        <f t="shared" si="3"/>
        <v>0</v>
      </c>
      <c r="O31" s="22">
        <v>34228</v>
      </c>
      <c r="P31" s="22"/>
      <c r="Q31" s="15">
        <f t="shared" si="4"/>
        <v>0</v>
      </c>
      <c r="R31" s="22">
        <v>38188</v>
      </c>
      <c r="S31" s="22"/>
      <c r="T31" s="15">
        <f t="shared" si="5"/>
        <v>0</v>
      </c>
      <c r="U31" s="22">
        <v>59</v>
      </c>
      <c r="V31" s="23"/>
      <c r="W31" s="15">
        <f t="shared" si="6"/>
        <v>0</v>
      </c>
    </row>
    <row r="32" spans="1:23">
      <c r="A32" s="3">
        <v>20</v>
      </c>
      <c r="B32" s="6" t="s">
        <v>124</v>
      </c>
      <c r="C32" s="23">
        <v>7</v>
      </c>
      <c r="D32" s="23"/>
      <c r="E32" s="15">
        <f t="shared" si="7"/>
        <v>0</v>
      </c>
      <c r="F32" s="22">
        <v>719.82999999999993</v>
      </c>
      <c r="G32" s="22"/>
      <c r="H32" s="15">
        <f t="shared" si="1"/>
        <v>0</v>
      </c>
      <c r="I32" s="23">
        <v>0</v>
      </c>
      <c r="J32" s="23"/>
      <c r="K32" s="15" t="str">
        <f t="shared" si="2"/>
        <v/>
      </c>
      <c r="L32" s="22">
        <v>4419</v>
      </c>
      <c r="M32" s="22"/>
      <c r="N32" s="15">
        <f t="shared" si="3"/>
        <v>0</v>
      </c>
      <c r="O32" s="22">
        <v>5643</v>
      </c>
      <c r="P32" s="22"/>
      <c r="Q32" s="15">
        <f t="shared" si="4"/>
        <v>0</v>
      </c>
      <c r="R32" s="22">
        <v>11994</v>
      </c>
      <c r="S32" s="22"/>
      <c r="T32" s="15">
        <f t="shared" si="5"/>
        <v>0</v>
      </c>
      <c r="U32" s="22">
        <v>0</v>
      </c>
      <c r="V32" s="23"/>
      <c r="W32" s="15" t="str">
        <f t="shared" si="6"/>
        <v/>
      </c>
    </row>
    <row r="33" spans="1:23" s="5" customFormat="1">
      <c r="A33" s="3">
        <v>21</v>
      </c>
      <c r="B33" s="6" t="s">
        <v>29</v>
      </c>
      <c r="C33" s="23">
        <v>15</v>
      </c>
      <c r="D33" s="23"/>
      <c r="E33" s="15">
        <f t="shared" si="7"/>
        <v>0</v>
      </c>
      <c r="F33" s="22">
        <v>1929</v>
      </c>
      <c r="G33" s="22"/>
      <c r="H33" s="15">
        <f t="shared" si="1"/>
        <v>0</v>
      </c>
      <c r="I33" s="23">
        <v>0</v>
      </c>
      <c r="J33" s="23"/>
      <c r="K33" s="15" t="str">
        <f t="shared" si="2"/>
        <v/>
      </c>
      <c r="L33" s="22">
        <v>3738</v>
      </c>
      <c r="M33" s="22"/>
      <c r="N33" s="15">
        <f t="shared" si="3"/>
        <v>0</v>
      </c>
      <c r="O33" s="22">
        <v>22428</v>
      </c>
      <c r="P33" s="22"/>
      <c r="Q33" s="15">
        <f t="shared" si="4"/>
        <v>0</v>
      </c>
      <c r="R33" s="22">
        <v>26166</v>
      </c>
      <c r="S33" s="22"/>
      <c r="T33" s="15">
        <f t="shared" si="5"/>
        <v>0</v>
      </c>
      <c r="U33" s="22">
        <v>0</v>
      </c>
      <c r="V33" s="25"/>
      <c r="W33" s="15" t="str">
        <f t="shared" si="6"/>
        <v/>
      </c>
    </row>
    <row r="34" spans="1:23" s="5" customFormat="1">
      <c r="A34" s="3">
        <v>22</v>
      </c>
      <c r="B34" s="6" t="s">
        <v>30</v>
      </c>
      <c r="C34" s="23">
        <v>10</v>
      </c>
      <c r="D34" s="23"/>
      <c r="E34" s="15">
        <f t="shared" si="7"/>
        <v>0</v>
      </c>
      <c r="F34" s="22">
        <v>1164.32</v>
      </c>
      <c r="G34" s="22"/>
      <c r="H34" s="15">
        <f t="shared" si="1"/>
        <v>0</v>
      </c>
      <c r="I34" s="23">
        <v>0</v>
      </c>
      <c r="J34" s="23"/>
      <c r="K34" s="15" t="str">
        <f t="shared" si="2"/>
        <v/>
      </c>
      <c r="L34" s="22">
        <v>2183</v>
      </c>
      <c r="M34" s="22"/>
      <c r="N34" s="15">
        <f t="shared" si="3"/>
        <v>0</v>
      </c>
      <c r="O34" s="22">
        <v>13098</v>
      </c>
      <c r="P34" s="22"/>
      <c r="Q34" s="15">
        <f t="shared" si="4"/>
        <v>0</v>
      </c>
      <c r="R34" s="22">
        <v>16809</v>
      </c>
      <c r="S34" s="22"/>
      <c r="T34" s="15">
        <f t="shared" si="5"/>
        <v>0</v>
      </c>
      <c r="U34" s="22">
        <v>0</v>
      </c>
      <c r="V34" s="25"/>
      <c r="W34" s="15" t="str">
        <f t="shared" si="6"/>
        <v/>
      </c>
    </row>
    <row r="35" spans="1:23" s="5" customFormat="1">
      <c r="A35" s="3">
        <v>23</v>
      </c>
      <c r="B35" s="6" t="s">
        <v>31</v>
      </c>
      <c r="C35" s="23">
        <v>13</v>
      </c>
      <c r="D35" s="23"/>
      <c r="E35" s="15">
        <f t="shared" si="7"/>
        <v>0</v>
      </c>
      <c r="F35" s="22">
        <v>1813.57</v>
      </c>
      <c r="G35" s="22"/>
      <c r="H35" s="15">
        <f t="shared" si="1"/>
        <v>0</v>
      </c>
      <c r="I35" s="23">
        <v>0</v>
      </c>
      <c r="J35" s="23"/>
      <c r="K35" s="15" t="str">
        <f t="shared" si="2"/>
        <v/>
      </c>
      <c r="L35" s="22">
        <v>2764</v>
      </c>
      <c r="M35" s="22"/>
      <c r="N35" s="15">
        <f t="shared" si="3"/>
        <v>0</v>
      </c>
      <c r="O35" s="22">
        <v>16584</v>
      </c>
      <c r="P35" s="22"/>
      <c r="Q35" s="15">
        <f t="shared" si="4"/>
        <v>0</v>
      </c>
      <c r="R35" s="22">
        <v>21283</v>
      </c>
      <c r="S35" s="22"/>
      <c r="T35" s="15">
        <f t="shared" si="5"/>
        <v>0</v>
      </c>
      <c r="U35" s="22">
        <v>0</v>
      </c>
      <c r="V35" s="25"/>
      <c r="W35" s="15" t="str">
        <f t="shared" si="6"/>
        <v/>
      </c>
    </row>
    <row r="36" spans="1:23" s="5" customFormat="1">
      <c r="A36" s="3">
        <v>24</v>
      </c>
      <c r="B36" s="6" t="s">
        <v>32</v>
      </c>
      <c r="C36" s="23">
        <v>14</v>
      </c>
      <c r="D36" s="23"/>
      <c r="E36" s="15">
        <f t="shared" si="7"/>
        <v>0</v>
      </c>
      <c r="F36" s="22">
        <v>1939.5099999999998</v>
      </c>
      <c r="G36" s="22"/>
      <c r="H36" s="15">
        <f t="shared" si="1"/>
        <v>0</v>
      </c>
      <c r="I36" s="23">
        <v>0</v>
      </c>
      <c r="J36" s="23"/>
      <c r="K36" s="15" t="str">
        <f t="shared" si="2"/>
        <v/>
      </c>
      <c r="L36" s="22">
        <v>3405</v>
      </c>
      <c r="M36" s="22"/>
      <c r="N36" s="15">
        <f t="shared" si="3"/>
        <v>0</v>
      </c>
      <c r="O36" s="22">
        <v>20430</v>
      </c>
      <c r="P36" s="22"/>
      <c r="Q36" s="15">
        <f t="shared" si="4"/>
        <v>0</v>
      </c>
      <c r="R36" s="22">
        <v>23835</v>
      </c>
      <c r="S36" s="22"/>
      <c r="T36" s="15">
        <f t="shared" si="5"/>
        <v>0</v>
      </c>
      <c r="U36" s="22">
        <v>0</v>
      </c>
      <c r="V36" s="25"/>
      <c r="W36" s="15" t="str">
        <f t="shared" si="6"/>
        <v/>
      </c>
    </row>
    <row r="37" spans="1:23" s="5" customFormat="1">
      <c r="A37" s="3">
        <v>25</v>
      </c>
      <c r="B37" s="6" t="s">
        <v>33</v>
      </c>
      <c r="C37" s="23">
        <v>16</v>
      </c>
      <c r="D37" s="23"/>
      <c r="E37" s="15">
        <f t="shared" si="7"/>
        <v>0</v>
      </c>
      <c r="F37" s="22">
        <v>2068.64</v>
      </c>
      <c r="G37" s="22"/>
      <c r="H37" s="15">
        <f t="shared" si="1"/>
        <v>0</v>
      </c>
      <c r="I37" s="23">
        <v>0</v>
      </c>
      <c r="J37" s="23"/>
      <c r="K37" s="15" t="str">
        <f t="shared" si="2"/>
        <v/>
      </c>
      <c r="L37" s="22">
        <v>3286</v>
      </c>
      <c r="M37" s="22"/>
      <c r="N37" s="15">
        <f t="shared" si="3"/>
        <v>0</v>
      </c>
      <c r="O37" s="22">
        <v>19716</v>
      </c>
      <c r="P37" s="22"/>
      <c r="Q37" s="15">
        <f t="shared" si="4"/>
        <v>0</v>
      </c>
      <c r="R37" s="22">
        <v>25302</v>
      </c>
      <c r="S37" s="22"/>
      <c r="T37" s="15">
        <f t="shared" si="5"/>
        <v>0</v>
      </c>
      <c r="U37" s="22">
        <v>0</v>
      </c>
      <c r="V37" s="25"/>
      <c r="W37" s="15" t="str">
        <f t="shared" si="6"/>
        <v/>
      </c>
    </row>
    <row r="38" spans="1:23" s="5" customFormat="1">
      <c r="A38" s="3">
        <v>26</v>
      </c>
      <c r="B38" s="6" t="s">
        <v>34</v>
      </c>
      <c r="C38" s="23">
        <v>13</v>
      </c>
      <c r="D38" s="23"/>
      <c r="E38" s="15">
        <f t="shared" si="7"/>
        <v>0</v>
      </c>
      <c r="F38" s="22">
        <v>1833.8899999999999</v>
      </c>
      <c r="G38" s="22"/>
      <c r="H38" s="15">
        <f t="shared" si="1"/>
        <v>0</v>
      </c>
      <c r="I38" s="23">
        <v>0</v>
      </c>
      <c r="J38" s="23"/>
      <c r="K38" s="15" t="str">
        <f t="shared" si="2"/>
        <v/>
      </c>
      <c r="L38" s="22">
        <v>2443</v>
      </c>
      <c r="M38" s="22"/>
      <c r="N38" s="15">
        <f t="shared" si="3"/>
        <v>0</v>
      </c>
      <c r="O38" s="22">
        <v>15049</v>
      </c>
      <c r="P38" s="22"/>
      <c r="Q38" s="15">
        <f t="shared" si="4"/>
        <v>0</v>
      </c>
      <c r="R38" s="22">
        <v>19230</v>
      </c>
      <c r="S38" s="22"/>
      <c r="T38" s="15">
        <f t="shared" si="5"/>
        <v>0</v>
      </c>
      <c r="U38" s="22">
        <v>0</v>
      </c>
      <c r="V38" s="25"/>
      <c r="W38" s="15" t="str">
        <f t="shared" si="6"/>
        <v/>
      </c>
    </row>
    <row r="39" spans="1:23" s="5" customFormat="1">
      <c r="A39" s="3">
        <v>27</v>
      </c>
      <c r="B39" s="6" t="s">
        <v>35</v>
      </c>
      <c r="C39" s="23">
        <v>9</v>
      </c>
      <c r="D39" s="23"/>
      <c r="E39" s="15">
        <f t="shared" si="7"/>
        <v>0</v>
      </c>
      <c r="F39" s="22">
        <v>1225.18</v>
      </c>
      <c r="G39" s="22"/>
      <c r="H39" s="15">
        <f t="shared" si="1"/>
        <v>0</v>
      </c>
      <c r="I39" s="23">
        <v>0</v>
      </c>
      <c r="J39" s="23"/>
      <c r="K39" s="15" t="str">
        <f t="shared" si="2"/>
        <v/>
      </c>
      <c r="L39" s="22">
        <v>1690</v>
      </c>
      <c r="M39" s="22"/>
      <c r="N39" s="15">
        <f t="shared" si="3"/>
        <v>0</v>
      </c>
      <c r="O39" s="22">
        <v>8450</v>
      </c>
      <c r="P39" s="22"/>
      <c r="Q39" s="15">
        <f t="shared" si="4"/>
        <v>0</v>
      </c>
      <c r="R39" s="22">
        <v>11154</v>
      </c>
      <c r="S39" s="22"/>
      <c r="T39" s="15">
        <f t="shared" si="5"/>
        <v>0</v>
      </c>
      <c r="U39" s="22">
        <v>0</v>
      </c>
      <c r="V39" s="25"/>
      <c r="W39" s="15" t="str">
        <f t="shared" si="6"/>
        <v/>
      </c>
    </row>
    <row r="40" spans="1:23" s="5" customFormat="1">
      <c r="A40" s="3">
        <v>28</v>
      </c>
      <c r="B40" s="6" t="s">
        <v>36</v>
      </c>
      <c r="C40" s="23">
        <v>8</v>
      </c>
      <c r="D40" s="23"/>
      <c r="E40" s="15">
        <f t="shared" si="7"/>
        <v>0</v>
      </c>
      <c r="F40" s="22">
        <v>1094.9000000000001</v>
      </c>
      <c r="G40" s="22"/>
      <c r="H40" s="15">
        <f t="shared" si="1"/>
        <v>0</v>
      </c>
      <c r="I40" s="23">
        <v>0</v>
      </c>
      <c r="J40" s="23"/>
      <c r="K40" s="15" t="str">
        <f t="shared" si="2"/>
        <v/>
      </c>
      <c r="L40" s="22">
        <v>1843</v>
      </c>
      <c r="M40" s="22"/>
      <c r="N40" s="15">
        <f t="shared" si="3"/>
        <v>0</v>
      </c>
      <c r="O40" s="22">
        <v>11058</v>
      </c>
      <c r="P40" s="22"/>
      <c r="Q40" s="15">
        <f t="shared" si="4"/>
        <v>0</v>
      </c>
      <c r="R40" s="22">
        <v>14190</v>
      </c>
      <c r="S40" s="22"/>
      <c r="T40" s="15">
        <f t="shared" si="5"/>
        <v>0</v>
      </c>
      <c r="U40" s="22">
        <v>0</v>
      </c>
      <c r="V40" s="25"/>
      <c r="W40" s="15" t="str">
        <f t="shared" si="6"/>
        <v/>
      </c>
    </row>
    <row r="41" spans="1:23" s="5" customFormat="1">
      <c r="A41" s="3">
        <v>29</v>
      </c>
      <c r="B41" s="6" t="s">
        <v>37</v>
      </c>
      <c r="C41" s="23">
        <v>9</v>
      </c>
      <c r="D41" s="23"/>
      <c r="E41" s="15">
        <f t="shared" si="7"/>
        <v>0</v>
      </c>
      <c r="F41" s="22">
        <v>1295.6399999999999</v>
      </c>
      <c r="G41" s="22"/>
      <c r="H41" s="15">
        <f t="shared" si="1"/>
        <v>0</v>
      </c>
      <c r="I41" s="23">
        <v>0</v>
      </c>
      <c r="J41" s="23"/>
      <c r="K41" s="15" t="str">
        <f t="shared" si="2"/>
        <v/>
      </c>
      <c r="L41" s="22">
        <v>2076</v>
      </c>
      <c r="M41" s="22"/>
      <c r="N41" s="15">
        <f t="shared" si="3"/>
        <v>0</v>
      </c>
      <c r="O41" s="22">
        <v>12456</v>
      </c>
      <c r="P41" s="22"/>
      <c r="Q41" s="15">
        <f t="shared" si="4"/>
        <v>0</v>
      </c>
      <c r="R41" s="22">
        <v>14532</v>
      </c>
      <c r="S41" s="22"/>
      <c r="T41" s="15">
        <f t="shared" si="5"/>
        <v>0</v>
      </c>
      <c r="U41" s="22">
        <v>0</v>
      </c>
      <c r="V41" s="25"/>
      <c r="W41" s="15" t="str">
        <f t="shared" si="6"/>
        <v/>
      </c>
    </row>
    <row r="42" spans="1:23" s="5" customFormat="1">
      <c r="A42" s="3">
        <v>30</v>
      </c>
      <c r="B42" s="6" t="s">
        <v>38</v>
      </c>
      <c r="C42" s="23">
        <v>17</v>
      </c>
      <c r="D42" s="23"/>
      <c r="E42" s="15">
        <f t="shared" si="7"/>
        <v>0</v>
      </c>
      <c r="F42" s="22">
        <v>2681.8599999999997</v>
      </c>
      <c r="G42" s="22"/>
      <c r="H42" s="15">
        <f t="shared" si="1"/>
        <v>0</v>
      </c>
      <c r="I42" s="23">
        <v>0</v>
      </c>
      <c r="J42" s="23"/>
      <c r="K42" s="15" t="str">
        <f t="shared" si="2"/>
        <v/>
      </c>
      <c r="L42" s="22">
        <v>2067</v>
      </c>
      <c r="M42" s="22"/>
      <c r="N42" s="15">
        <f t="shared" si="3"/>
        <v>0</v>
      </c>
      <c r="O42" s="22">
        <v>9802</v>
      </c>
      <c r="P42" s="22"/>
      <c r="Q42" s="15">
        <f t="shared" si="4"/>
        <v>0</v>
      </c>
      <c r="R42" s="22">
        <v>13056</v>
      </c>
      <c r="S42" s="22"/>
      <c r="T42" s="15">
        <f t="shared" si="5"/>
        <v>0</v>
      </c>
      <c r="U42" s="22">
        <v>0</v>
      </c>
      <c r="V42" s="25"/>
      <c r="W42" s="15" t="str">
        <f t="shared" si="6"/>
        <v/>
      </c>
    </row>
    <row r="43" spans="1:23" s="5" customFormat="1">
      <c r="A43" s="3">
        <v>31</v>
      </c>
      <c r="B43" s="6" t="s">
        <v>39</v>
      </c>
      <c r="C43" s="23">
        <v>14</v>
      </c>
      <c r="D43" s="23"/>
      <c r="E43" s="15">
        <f t="shared" si="7"/>
        <v>0</v>
      </c>
      <c r="F43" s="22">
        <v>2193.96</v>
      </c>
      <c r="G43" s="22"/>
      <c r="H43" s="15">
        <f t="shared" si="1"/>
        <v>0</v>
      </c>
      <c r="I43" s="23">
        <v>0</v>
      </c>
      <c r="J43" s="23"/>
      <c r="K43" s="15" t="str">
        <f t="shared" si="2"/>
        <v/>
      </c>
      <c r="L43" s="22">
        <v>4308</v>
      </c>
      <c r="M43" s="22"/>
      <c r="N43" s="15">
        <f t="shared" si="3"/>
        <v>0</v>
      </c>
      <c r="O43" s="22">
        <v>18753</v>
      </c>
      <c r="P43" s="22"/>
      <c r="Q43" s="15">
        <f t="shared" si="4"/>
        <v>0</v>
      </c>
      <c r="R43" s="22">
        <v>23061</v>
      </c>
      <c r="S43" s="22"/>
      <c r="T43" s="15">
        <f t="shared" si="5"/>
        <v>0</v>
      </c>
      <c r="U43" s="22">
        <v>0</v>
      </c>
      <c r="V43" s="25"/>
      <c r="W43" s="15" t="str">
        <f t="shared" si="6"/>
        <v/>
      </c>
    </row>
    <row r="44" spans="1:23" s="5" customFormat="1">
      <c r="A44" s="3">
        <v>32</v>
      </c>
      <c r="B44" s="6" t="s">
        <v>40</v>
      </c>
      <c r="C44" s="23">
        <v>15</v>
      </c>
      <c r="D44" s="23"/>
      <c r="E44" s="15">
        <f t="shared" si="7"/>
        <v>0</v>
      </c>
      <c r="F44" s="22">
        <v>2511.1</v>
      </c>
      <c r="G44" s="22"/>
      <c r="H44" s="15">
        <f t="shared" si="1"/>
        <v>0</v>
      </c>
      <c r="I44" s="23">
        <v>0</v>
      </c>
      <c r="J44" s="23"/>
      <c r="K44" s="15" t="str">
        <f t="shared" si="2"/>
        <v/>
      </c>
      <c r="L44" s="22">
        <v>2946</v>
      </c>
      <c r="M44" s="22"/>
      <c r="N44" s="15">
        <f t="shared" si="3"/>
        <v>0</v>
      </c>
      <c r="O44" s="22">
        <v>21655</v>
      </c>
      <c r="P44" s="22"/>
      <c r="Q44" s="15">
        <f t="shared" si="4"/>
        <v>0</v>
      </c>
      <c r="R44" s="22">
        <v>27025</v>
      </c>
      <c r="S44" s="22"/>
      <c r="T44" s="15">
        <f t="shared" si="5"/>
        <v>0</v>
      </c>
      <c r="U44" s="22">
        <v>0</v>
      </c>
      <c r="V44" s="25"/>
      <c r="W44" s="15" t="str">
        <f t="shared" si="6"/>
        <v/>
      </c>
    </row>
    <row r="45" spans="1:23" s="5" customFormat="1">
      <c r="A45" s="3">
        <v>33</v>
      </c>
      <c r="B45" s="6" t="s">
        <v>41</v>
      </c>
      <c r="C45" s="23">
        <v>7</v>
      </c>
      <c r="D45" s="23"/>
      <c r="E45" s="15">
        <f t="shared" si="7"/>
        <v>0</v>
      </c>
      <c r="F45" s="22">
        <v>993.36</v>
      </c>
      <c r="G45" s="22"/>
      <c r="H45" s="15">
        <f t="shared" si="1"/>
        <v>0</v>
      </c>
      <c r="I45" s="23">
        <v>0</v>
      </c>
      <c r="J45" s="23"/>
      <c r="K45" s="15" t="str">
        <f t="shared" si="2"/>
        <v/>
      </c>
      <c r="L45" s="22">
        <v>1728</v>
      </c>
      <c r="M45" s="22"/>
      <c r="N45" s="15">
        <f t="shared" si="3"/>
        <v>0</v>
      </c>
      <c r="O45" s="22">
        <v>8700</v>
      </c>
      <c r="P45" s="22"/>
      <c r="Q45" s="15">
        <f t="shared" si="4"/>
        <v>0</v>
      </c>
      <c r="R45" s="22">
        <v>10428</v>
      </c>
      <c r="S45" s="22"/>
      <c r="T45" s="15">
        <f t="shared" si="5"/>
        <v>0</v>
      </c>
      <c r="U45" s="22">
        <v>0</v>
      </c>
      <c r="V45" s="25"/>
      <c r="W45" s="15" t="str">
        <f t="shared" si="6"/>
        <v/>
      </c>
    </row>
    <row r="46" spans="1:23" s="5" customFormat="1">
      <c r="A46" s="3">
        <v>34</v>
      </c>
      <c r="B46" s="6" t="s">
        <v>42</v>
      </c>
      <c r="C46" s="23">
        <v>14</v>
      </c>
      <c r="D46" s="23"/>
      <c r="E46" s="15">
        <f t="shared" si="7"/>
        <v>0</v>
      </c>
      <c r="F46" s="22">
        <v>2163.1</v>
      </c>
      <c r="G46" s="22"/>
      <c r="H46" s="15">
        <f t="shared" si="1"/>
        <v>0</v>
      </c>
      <c r="I46" s="23">
        <v>0</v>
      </c>
      <c r="J46" s="23"/>
      <c r="K46" s="15" t="str">
        <f t="shared" si="2"/>
        <v/>
      </c>
      <c r="L46" s="22">
        <v>2749</v>
      </c>
      <c r="M46" s="22"/>
      <c r="N46" s="15">
        <f t="shared" si="3"/>
        <v>0</v>
      </c>
      <c r="O46" s="22">
        <v>16825</v>
      </c>
      <c r="P46" s="22"/>
      <c r="Q46" s="15">
        <f t="shared" si="4"/>
        <v>0</v>
      </c>
      <c r="R46" s="22">
        <v>19574</v>
      </c>
      <c r="S46" s="22"/>
      <c r="T46" s="15">
        <f t="shared" si="5"/>
        <v>0</v>
      </c>
      <c r="U46" s="22">
        <v>0</v>
      </c>
      <c r="V46" s="25"/>
      <c r="W46" s="15" t="str">
        <f t="shared" si="6"/>
        <v/>
      </c>
    </row>
    <row r="47" spans="1:23" s="5" customFormat="1">
      <c r="A47" s="3">
        <v>35</v>
      </c>
      <c r="B47" s="6" t="s">
        <v>43</v>
      </c>
      <c r="C47" s="23">
        <v>22</v>
      </c>
      <c r="D47" s="23"/>
      <c r="E47" s="15">
        <f t="shared" si="7"/>
        <v>0</v>
      </c>
      <c r="F47" s="22">
        <v>4495.0200000000004</v>
      </c>
      <c r="G47" s="22"/>
      <c r="H47" s="15">
        <f t="shared" si="1"/>
        <v>0</v>
      </c>
      <c r="I47" s="23">
        <v>0</v>
      </c>
      <c r="J47" s="23"/>
      <c r="K47" s="15" t="str">
        <f t="shared" si="2"/>
        <v/>
      </c>
      <c r="L47" s="22">
        <v>3960</v>
      </c>
      <c r="M47" s="22"/>
      <c r="N47" s="15">
        <f t="shared" si="3"/>
        <v>0</v>
      </c>
      <c r="O47" s="22">
        <v>22378</v>
      </c>
      <c r="P47" s="22"/>
      <c r="Q47" s="15">
        <f t="shared" si="4"/>
        <v>0</v>
      </c>
      <c r="R47" s="22">
        <v>26338</v>
      </c>
      <c r="S47" s="22"/>
      <c r="T47" s="15">
        <f t="shared" si="5"/>
        <v>0</v>
      </c>
      <c r="U47" s="22">
        <v>0</v>
      </c>
      <c r="V47" s="25"/>
      <c r="W47" s="15" t="str">
        <f t="shared" si="6"/>
        <v/>
      </c>
    </row>
    <row r="48" spans="1:23" s="5" customFormat="1">
      <c r="A48" s="3">
        <v>36</v>
      </c>
      <c r="B48" s="6" t="s">
        <v>44</v>
      </c>
      <c r="C48" s="23">
        <v>25</v>
      </c>
      <c r="D48" s="23"/>
      <c r="E48" s="15">
        <f t="shared" si="7"/>
        <v>0</v>
      </c>
      <c r="F48" s="22">
        <v>3960.4700000000003</v>
      </c>
      <c r="G48" s="22"/>
      <c r="H48" s="15">
        <f t="shared" si="1"/>
        <v>0</v>
      </c>
      <c r="I48" s="23">
        <v>0</v>
      </c>
      <c r="J48" s="23"/>
      <c r="K48" s="15" t="str">
        <f t="shared" si="2"/>
        <v/>
      </c>
      <c r="L48" s="22">
        <v>4491</v>
      </c>
      <c r="M48" s="22"/>
      <c r="N48" s="15">
        <f t="shared" si="3"/>
        <v>0</v>
      </c>
      <c r="O48" s="22">
        <v>20086</v>
      </c>
      <c r="P48" s="22"/>
      <c r="Q48" s="15">
        <f t="shared" si="4"/>
        <v>0</v>
      </c>
      <c r="R48" s="22">
        <v>24577</v>
      </c>
      <c r="S48" s="22"/>
      <c r="T48" s="15">
        <f t="shared" si="5"/>
        <v>0</v>
      </c>
      <c r="U48" s="22">
        <v>0</v>
      </c>
      <c r="V48" s="25"/>
      <c r="W48" s="15" t="str">
        <f t="shared" si="6"/>
        <v/>
      </c>
    </row>
    <row r="49" spans="1:23" s="5" customFormat="1">
      <c r="A49" s="3">
        <v>37</v>
      </c>
      <c r="B49" s="6" t="s">
        <v>45</v>
      </c>
      <c r="C49" s="23">
        <v>15</v>
      </c>
      <c r="D49" s="23"/>
      <c r="E49" s="15">
        <f t="shared" si="7"/>
        <v>0</v>
      </c>
      <c r="F49" s="22">
        <v>1893.22</v>
      </c>
      <c r="G49" s="22"/>
      <c r="H49" s="15">
        <f t="shared" si="1"/>
        <v>0</v>
      </c>
      <c r="I49" s="23">
        <v>0</v>
      </c>
      <c r="J49" s="23"/>
      <c r="K49" s="15" t="str">
        <f t="shared" si="2"/>
        <v/>
      </c>
      <c r="L49" s="22">
        <v>2998</v>
      </c>
      <c r="M49" s="22"/>
      <c r="N49" s="15">
        <f t="shared" si="3"/>
        <v>0</v>
      </c>
      <c r="O49" s="22">
        <v>20809</v>
      </c>
      <c r="P49" s="22"/>
      <c r="Q49" s="15">
        <f t="shared" si="4"/>
        <v>0</v>
      </c>
      <c r="R49" s="22">
        <v>23807</v>
      </c>
      <c r="S49" s="22"/>
      <c r="T49" s="15">
        <f t="shared" si="5"/>
        <v>0</v>
      </c>
      <c r="U49" s="22">
        <v>0</v>
      </c>
      <c r="V49" s="25"/>
      <c r="W49" s="15" t="str">
        <f t="shared" si="6"/>
        <v/>
      </c>
    </row>
    <row r="50" spans="1:23" s="5" customFormat="1">
      <c r="A50" s="3">
        <v>38</v>
      </c>
      <c r="B50" s="6" t="s">
        <v>46</v>
      </c>
      <c r="C50" s="23">
        <v>23</v>
      </c>
      <c r="D50" s="23"/>
      <c r="E50" s="15">
        <f t="shared" si="7"/>
        <v>0</v>
      </c>
      <c r="F50" s="22">
        <v>2897.56</v>
      </c>
      <c r="G50" s="22"/>
      <c r="H50" s="15">
        <f t="shared" si="1"/>
        <v>0</v>
      </c>
      <c r="I50" s="23">
        <v>0</v>
      </c>
      <c r="J50" s="23"/>
      <c r="K50" s="15" t="str">
        <f t="shared" si="2"/>
        <v/>
      </c>
      <c r="L50" s="22">
        <v>7132</v>
      </c>
      <c r="M50" s="22"/>
      <c r="N50" s="15">
        <f t="shared" si="3"/>
        <v>0</v>
      </c>
      <c r="O50" s="22">
        <v>17300</v>
      </c>
      <c r="P50" s="22"/>
      <c r="Q50" s="15">
        <f t="shared" si="4"/>
        <v>0</v>
      </c>
      <c r="R50" s="22">
        <v>24432</v>
      </c>
      <c r="S50" s="22"/>
      <c r="T50" s="15">
        <f t="shared" si="5"/>
        <v>0</v>
      </c>
      <c r="U50" s="22">
        <v>0</v>
      </c>
      <c r="V50" s="25"/>
      <c r="W50" s="15" t="str">
        <f t="shared" si="6"/>
        <v/>
      </c>
    </row>
    <row r="51" spans="1:23" s="5" customFormat="1">
      <c r="A51" s="3">
        <v>39</v>
      </c>
      <c r="B51" s="6" t="s">
        <v>47</v>
      </c>
      <c r="C51" s="23">
        <v>11</v>
      </c>
      <c r="D51" s="23"/>
      <c r="E51" s="15">
        <f t="shared" si="7"/>
        <v>0</v>
      </c>
      <c r="F51" s="22">
        <v>1368.68</v>
      </c>
      <c r="G51" s="22"/>
      <c r="H51" s="15">
        <f t="shared" si="1"/>
        <v>0</v>
      </c>
      <c r="I51" s="23">
        <v>0</v>
      </c>
      <c r="J51" s="23"/>
      <c r="K51" s="15" t="str">
        <f t="shared" si="2"/>
        <v/>
      </c>
      <c r="L51" s="22">
        <v>4841</v>
      </c>
      <c r="M51" s="22"/>
      <c r="N51" s="15">
        <f t="shared" si="3"/>
        <v>0</v>
      </c>
      <c r="O51" s="22">
        <v>9324</v>
      </c>
      <c r="P51" s="22"/>
      <c r="Q51" s="15">
        <f t="shared" si="4"/>
        <v>0</v>
      </c>
      <c r="R51" s="22">
        <v>14165</v>
      </c>
      <c r="S51" s="22"/>
      <c r="T51" s="15">
        <f t="shared" si="5"/>
        <v>0</v>
      </c>
      <c r="U51" s="22">
        <v>0</v>
      </c>
      <c r="V51" s="25"/>
      <c r="W51" s="15" t="str">
        <f t="shared" si="6"/>
        <v/>
      </c>
    </row>
    <row r="52" spans="1:23" s="5" customFormat="1">
      <c r="A52" s="3">
        <v>40</v>
      </c>
      <c r="B52" s="6" t="s">
        <v>48</v>
      </c>
      <c r="C52" s="23">
        <v>13</v>
      </c>
      <c r="D52" s="23"/>
      <c r="E52" s="15">
        <f t="shared" si="7"/>
        <v>0</v>
      </c>
      <c r="F52" s="22">
        <v>1591.41</v>
      </c>
      <c r="G52" s="22"/>
      <c r="H52" s="15">
        <f t="shared" si="1"/>
        <v>0</v>
      </c>
      <c r="I52" s="23">
        <v>0</v>
      </c>
      <c r="J52" s="23"/>
      <c r="K52" s="15" t="str">
        <f t="shared" si="2"/>
        <v/>
      </c>
      <c r="L52" s="22">
        <v>1977</v>
      </c>
      <c r="M52" s="22"/>
      <c r="N52" s="15">
        <f t="shared" si="3"/>
        <v>0</v>
      </c>
      <c r="O52" s="22">
        <v>22648</v>
      </c>
      <c r="P52" s="22"/>
      <c r="Q52" s="15">
        <f t="shared" si="4"/>
        <v>0</v>
      </c>
      <c r="R52" s="22">
        <v>17573</v>
      </c>
      <c r="S52" s="22"/>
      <c r="T52" s="15">
        <f t="shared" si="5"/>
        <v>0</v>
      </c>
      <c r="U52" s="22">
        <v>0</v>
      </c>
      <c r="V52" s="25"/>
      <c r="W52" s="15" t="str">
        <f t="shared" si="6"/>
        <v/>
      </c>
    </row>
    <row r="53" spans="1:23" s="5" customFormat="1">
      <c r="A53" s="3">
        <v>41</v>
      </c>
      <c r="B53" s="6" t="s">
        <v>49</v>
      </c>
      <c r="C53" s="23">
        <v>19</v>
      </c>
      <c r="D53" s="23"/>
      <c r="E53" s="15">
        <f t="shared" si="7"/>
        <v>0</v>
      </c>
      <c r="F53" s="22">
        <v>2244.7800000000002</v>
      </c>
      <c r="G53" s="22"/>
      <c r="H53" s="15">
        <f t="shared" si="1"/>
        <v>0</v>
      </c>
      <c r="I53" s="23">
        <v>0</v>
      </c>
      <c r="J53" s="23"/>
      <c r="K53" s="15" t="str">
        <f t="shared" si="2"/>
        <v/>
      </c>
      <c r="L53" s="22">
        <v>3481</v>
      </c>
      <c r="M53" s="22"/>
      <c r="N53" s="15">
        <f t="shared" si="3"/>
        <v>0</v>
      </c>
      <c r="O53" s="22">
        <v>16509</v>
      </c>
      <c r="P53" s="22"/>
      <c r="Q53" s="15">
        <f t="shared" si="4"/>
        <v>0</v>
      </c>
      <c r="R53" s="22">
        <v>24390</v>
      </c>
      <c r="S53" s="22"/>
      <c r="T53" s="15">
        <f t="shared" si="5"/>
        <v>0</v>
      </c>
      <c r="U53" s="22">
        <v>0</v>
      </c>
      <c r="V53" s="25"/>
      <c r="W53" s="15" t="str">
        <f t="shared" si="6"/>
        <v/>
      </c>
    </row>
    <row r="54" spans="1:23" s="5" customFormat="1">
      <c r="A54" s="3">
        <v>42</v>
      </c>
      <c r="B54" s="6" t="s">
        <v>50</v>
      </c>
      <c r="C54" s="23">
        <v>9</v>
      </c>
      <c r="D54" s="23"/>
      <c r="E54" s="15">
        <f t="shared" si="7"/>
        <v>0</v>
      </c>
      <c r="F54" s="22">
        <v>1183.6399999999999</v>
      </c>
      <c r="G54" s="22"/>
      <c r="H54" s="15">
        <f t="shared" si="1"/>
        <v>0</v>
      </c>
      <c r="I54" s="23">
        <v>0</v>
      </c>
      <c r="J54" s="23"/>
      <c r="K54" s="15" t="str">
        <f t="shared" si="2"/>
        <v/>
      </c>
      <c r="L54" s="22">
        <v>3505</v>
      </c>
      <c r="M54" s="22"/>
      <c r="N54" s="15">
        <f t="shared" si="3"/>
        <v>0</v>
      </c>
      <c r="O54" s="22">
        <v>6259</v>
      </c>
      <c r="P54" s="22"/>
      <c r="Q54" s="15">
        <f t="shared" si="4"/>
        <v>0</v>
      </c>
      <c r="R54" s="22">
        <v>13379</v>
      </c>
      <c r="S54" s="22"/>
      <c r="T54" s="15">
        <f t="shared" si="5"/>
        <v>0</v>
      </c>
      <c r="U54" s="22">
        <v>0</v>
      </c>
      <c r="V54" s="25"/>
      <c r="W54" s="15" t="str">
        <f t="shared" si="6"/>
        <v/>
      </c>
    </row>
    <row r="55" spans="1:23" s="5" customFormat="1">
      <c r="A55" s="3">
        <v>43</v>
      </c>
      <c r="B55" s="6" t="s">
        <v>127</v>
      </c>
      <c r="C55" s="23">
        <v>5</v>
      </c>
      <c r="D55" s="23"/>
      <c r="E55" s="15">
        <f t="shared" si="7"/>
        <v>0</v>
      </c>
      <c r="F55" s="22">
        <v>597.95000000000005</v>
      </c>
      <c r="G55" s="22"/>
      <c r="H55" s="15">
        <f t="shared" si="1"/>
        <v>0</v>
      </c>
      <c r="I55" s="23">
        <v>0</v>
      </c>
      <c r="J55" s="23"/>
      <c r="K55" s="15" t="str">
        <f t="shared" si="2"/>
        <v/>
      </c>
      <c r="L55" s="22">
        <v>1721</v>
      </c>
      <c r="M55" s="22"/>
      <c r="N55" s="15">
        <f t="shared" si="3"/>
        <v>0</v>
      </c>
      <c r="O55" s="22">
        <v>10536</v>
      </c>
      <c r="P55" s="22"/>
      <c r="Q55" s="15">
        <f t="shared" si="4"/>
        <v>0</v>
      </c>
      <c r="R55" s="22">
        <v>6549</v>
      </c>
      <c r="S55" s="22"/>
      <c r="T55" s="15">
        <f t="shared" si="5"/>
        <v>0</v>
      </c>
      <c r="U55" s="22">
        <v>0</v>
      </c>
      <c r="V55" s="25"/>
      <c r="W55" s="15" t="str">
        <f t="shared" si="6"/>
        <v/>
      </c>
    </row>
    <row r="56" spans="1:23" s="5" customFormat="1">
      <c r="A56" s="3">
        <v>44</v>
      </c>
      <c r="B56" s="6" t="s">
        <v>51</v>
      </c>
      <c r="C56" s="23">
        <v>9</v>
      </c>
      <c r="D56" s="23"/>
      <c r="E56" s="15">
        <f t="shared" si="7"/>
        <v>0</v>
      </c>
      <c r="F56" s="22">
        <v>1096.8499999999999</v>
      </c>
      <c r="G56" s="22"/>
      <c r="H56" s="15">
        <f t="shared" si="1"/>
        <v>0</v>
      </c>
      <c r="I56" s="23">
        <v>0</v>
      </c>
      <c r="J56" s="23"/>
      <c r="K56" s="15" t="str">
        <f t="shared" si="2"/>
        <v/>
      </c>
      <c r="L56" s="22">
        <v>2380</v>
      </c>
      <c r="M56" s="22"/>
      <c r="N56" s="15">
        <f t="shared" si="3"/>
        <v>0</v>
      </c>
      <c r="O56" s="22">
        <v>2859</v>
      </c>
      <c r="P56" s="22"/>
      <c r="Q56" s="15">
        <f t="shared" si="4"/>
        <v>0</v>
      </c>
      <c r="R56" s="22">
        <v>13152</v>
      </c>
      <c r="S56" s="22"/>
      <c r="T56" s="15">
        <f t="shared" si="5"/>
        <v>0</v>
      </c>
      <c r="U56" s="22">
        <v>0</v>
      </c>
      <c r="V56" s="25"/>
      <c r="W56" s="15" t="str">
        <f t="shared" si="6"/>
        <v/>
      </c>
    </row>
    <row r="57" spans="1:23" s="5" customFormat="1">
      <c r="A57" s="3">
        <v>45</v>
      </c>
      <c r="B57" s="6" t="s">
        <v>126</v>
      </c>
      <c r="C57" s="23">
        <v>10</v>
      </c>
      <c r="D57" s="23"/>
      <c r="E57" s="15">
        <f t="shared" si="7"/>
        <v>0</v>
      </c>
      <c r="F57" s="22">
        <v>1041.05</v>
      </c>
      <c r="G57" s="22"/>
      <c r="H57" s="15">
        <f t="shared" si="1"/>
        <v>0</v>
      </c>
      <c r="I57" s="23">
        <v>0</v>
      </c>
      <c r="J57" s="23"/>
      <c r="K57" s="15" t="str">
        <f t="shared" si="2"/>
        <v/>
      </c>
      <c r="L57" s="22">
        <v>2023</v>
      </c>
      <c r="M57" s="22"/>
      <c r="N57" s="15">
        <f t="shared" si="3"/>
        <v>0</v>
      </c>
      <c r="O57" s="22">
        <v>20797</v>
      </c>
      <c r="P57" s="22"/>
      <c r="Q57" s="15">
        <f t="shared" si="4"/>
        <v>0</v>
      </c>
      <c r="R57" s="22">
        <v>19620</v>
      </c>
      <c r="S57" s="22"/>
      <c r="T57" s="15">
        <f t="shared" si="5"/>
        <v>0</v>
      </c>
      <c r="U57" s="22">
        <v>0</v>
      </c>
      <c r="V57" s="25"/>
      <c r="W57" s="15" t="str">
        <f t="shared" si="6"/>
        <v/>
      </c>
    </row>
    <row r="58" spans="1:23" s="5" customFormat="1">
      <c r="A58" s="3">
        <v>46</v>
      </c>
      <c r="B58" s="6" t="s">
        <v>128</v>
      </c>
      <c r="C58" s="23">
        <v>21</v>
      </c>
      <c r="D58" s="23"/>
      <c r="E58" s="15">
        <f t="shared" si="7"/>
        <v>0</v>
      </c>
      <c r="F58" s="22">
        <v>2853.98</v>
      </c>
      <c r="G58" s="22"/>
      <c r="H58" s="15">
        <f t="shared" si="1"/>
        <v>0</v>
      </c>
      <c r="I58" s="23">
        <v>0</v>
      </c>
      <c r="J58" s="23"/>
      <c r="K58" s="15" t="str">
        <f t="shared" si="2"/>
        <v/>
      </c>
      <c r="L58" s="22">
        <v>4254</v>
      </c>
      <c r="M58" s="22"/>
      <c r="N58" s="15">
        <f t="shared" si="3"/>
        <v>0</v>
      </c>
      <c r="O58" s="22">
        <v>24996</v>
      </c>
      <c r="P58" s="22"/>
      <c r="Q58" s="15">
        <f t="shared" si="4"/>
        <v>0</v>
      </c>
      <c r="R58" s="22">
        <v>53402</v>
      </c>
      <c r="S58" s="22"/>
      <c r="T58" s="15">
        <f t="shared" si="5"/>
        <v>0</v>
      </c>
      <c r="U58" s="22">
        <v>0</v>
      </c>
      <c r="V58" s="25"/>
      <c r="W58" s="15" t="str">
        <f t="shared" si="6"/>
        <v/>
      </c>
    </row>
    <row r="59" spans="1:23" s="5" customFormat="1">
      <c r="A59" s="3">
        <v>47</v>
      </c>
      <c r="B59" s="6" t="s">
        <v>129</v>
      </c>
      <c r="C59" s="23">
        <v>10</v>
      </c>
      <c r="D59" s="23"/>
      <c r="E59" s="15">
        <f t="shared" si="7"/>
        <v>0</v>
      </c>
      <c r="F59" s="22">
        <v>997.18000000000006</v>
      </c>
      <c r="G59" s="22"/>
      <c r="H59" s="15">
        <f t="shared" si="1"/>
        <v>0</v>
      </c>
      <c r="I59" s="23">
        <v>0</v>
      </c>
      <c r="J59" s="23"/>
      <c r="K59" s="15" t="str">
        <f t="shared" si="2"/>
        <v/>
      </c>
      <c r="L59" s="22">
        <v>2242</v>
      </c>
      <c r="M59" s="22"/>
      <c r="N59" s="15">
        <f t="shared" si="3"/>
        <v>0</v>
      </c>
      <c r="O59" s="22">
        <v>26109</v>
      </c>
      <c r="P59" s="22"/>
      <c r="Q59" s="15">
        <f t="shared" si="4"/>
        <v>0</v>
      </c>
      <c r="R59" s="22">
        <v>18275</v>
      </c>
      <c r="S59" s="22"/>
      <c r="T59" s="15">
        <f t="shared" si="5"/>
        <v>0</v>
      </c>
      <c r="U59" s="22">
        <v>0</v>
      </c>
      <c r="V59" s="25"/>
      <c r="W59" s="15" t="str">
        <f t="shared" si="6"/>
        <v/>
      </c>
    </row>
    <row r="60" spans="1:23" s="5" customFormat="1">
      <c r="A60" s="3">
        <v>48</v>
      </c>
      <c r="B60" s="6" t="s">
        <v>131</v>
      </c>
      <c r="C60" s="23">
        <v>6</v>
      </c>
      <c r="D60" s="23"/>
      <c r="E60" s="15">
        <f t="shared" si="7"/>
        <v>0</v>
      </c>
      <c r="F60" s="22">
        <v>1036.6299999999999</v>
      </c>
      <c r="G60" s="22"/>
      <c r="H60" s="15">
        <f t="shared" si="1"/>
        <v>0</v>
      </c>
      <c r="I60" s="23">
        <v>0</v>
      </c>
      <c r="J60" s="23"/>
      <c r="K60" s="15" t="str">
        <f t="shared" si="2"/>
        <v/>
      </c>
      <c r="L60" s="22">
        <v>1108</v>
      </c>
      <c r="M60" s="22"/>
      <c r="N60" s="15">
        <f t="shared" si="3"/>
        <v>0</v>
      </c>
      <c r="O60" s="22">
        <v>9972</v>
      </c>
      <c r="P60" s="22"/>
      <c r="Q60" s="15">
        <f t="shared" si="4"/>
        <v>0</v>
      </c>
      <c r="R60" s="22">
        <v>14365</v>
      </c>
      <c r="S60" s="22"/>
      <c r="T60" s="15">
        <f t="shared" si="5"/>
        <v>0</v>
      </c>
      <c r="U60" s="22">
        <v>0</v>
      </c>
      <c r="V60" s="25"/>
      <c r="W60" s="15" t="str">
        <f t="shared" si="6"/>
        <v/>
      </c>
    </row>
    <row r="61" spans="1:23" s="5" customFormat="1">
      <c r="A61" s="3">
        <v>49</v>
      </c>
      <c r="B61" s="6" t="s">
        <v>134</v>
      </c>
      <c r="C61" s="23">
        <v>12</v>
      </c>
      <c r="D61" s="23"/>
      <c r="E61" s="15">
        <f t="shared" si="7"/>
        <v>0</v>
      </c>
      <c r="F61" s="22">
        <v>2182.9</v>
      </c>
      <c r="G61" s="22"/>
      <c r="H61" s="15">
        <f t="shared" si="1"/>
        <v>0</v>
      </c>
      <c r="I61" s="23">
        <v>0</v>
      </c>
      <c r="J61" s="23"/>
      <c r="K61" s="15" t="str">
        <f t="shared" si="2"/>
        <v/>
      </c>
      <c r="L61" s="22">
        <v>1961</v>
      </c>
      <c r="M61" s="22"/>
      <c r="N61" s="15">
        <f t="shared" si="3"/>
        <v>0</v>
      </c>
      <c r="O61" s="22">
        <v>19665</v>
      </c>
      <c r="P61" s="22"/>
      <c r="Q61" s="15">
        <f t="shared" si="4"/>
        <v>0</v>
      </c>
      <c r="R61" s="22">
        <v>21626</v>
      </c>
      <c r="S61" s="22"/>
      <c r="T61" s="15">
        <f t="shared" si="5"/>
        <v>0</v>
      </c>
      <c r="U61" s="22">
        <v>0</v>
      </c>
      <c r="V61" s="25"/>
      <c r="W61" s="15" t="str">
        <f t="shared" si="6"/>
        <v/>
      </c>
    </row>
    <row r="62" spans="1:23" s="5" customFormat="1">
      <c r="A62" s="3">
        <v>50</v>
      </c>
      <c r="B62" s="6" t="s">
        <v>132</v>
      </c>
      <c r="C62" s="23">
        <v>8</v>
      </c>
      <c r="D62" s="23"/>
      <c r="E62" s="15">
        <f t="shared" si="7"/>
        <v>0</v>
      </c>
      <c r="F62" s="22">
        <v>965.55</v>
      </c>
      <c r="G62" s="22"/>
      <c r="H62" s="15">
        <f t="shared" si="1"/>
        <v>0</v>
      </c>
      <c r="I62" s="23">
        <v>0</v>
      </c>
      <c r="J62" s="23"/>
      <c r="K62" s="15" t="str">
        <f t="shared" si="2"/>
        <v/>
      </c>
      <c r="L62" s="22">
        <v>1415</v>
      </c>
      <c r="M62" s="22"/>
      <c r="N62" s="15">
        <f t="shared" si="3"/>
        <v>0</v>
      </c>
      <c r="O62" s="22">
        <v>12735</v>
      </c>
      <c r="P62" s="22"/>
      <c r="Q62" s="15">
        <f t="shared" si="4"/>
        <v>0</v>
      </c>
      <c r="R62" s="22">
        <v>15682</v>
      </c>
      <c r="S62" s="22"/>
      <c r="T62" s="15">
        <f t="shared" si="5"/>
        <v>0</v>
      </c>
      <c r="U62" s="22">
        <v>0</v>
      </c>
      <c r="V62" s="25"/>
      <c r="W62" s="15" t="str">
        <f t="shared" si="6"/>
        <v/>
      </c>
    </row>
    <row r="63" spans="1:23" s="5" customFormat="1">
      <c r="A63" s="3">
        <v>51</v>
      </c>
      <c r="B63" s="6" t="s">
        <v>133</v>
      </c>
      <c r="C63" s="23">
        <v>8</v>
      </c>
      <c r="D63" s="23"/>
      <c r="E63" s="15">
        <f t="shared" si="7"/>
        <v>0</v>
      </c>
      <c r="F63" s="22">
        <v>807.97</v>
      </c>
      <c r="G63" s="22"/>
      <c r="H63" s="15">
        <f t="shared" si="1"/>
        <v>0</v>
      </c>
      <c r="I63" s="23">
        <v>0</v>
      </c>
      <c r="J63" s="23"/>
      <c r="K63" s="15" t="str">
        <f t="shared" si="2"/>
        <v/>
      </c>
      <c r="L63" s="22">
        <v>1372</v>
      </c>
      <c r="M63" s="22"/>
      <c r="N63" s="15">
        <f t="shared" si="3"/>
        <v>0</v>
      </c>
      <c r="O63" s="22">
        <v>14348</v>
      </c>
      <c r="P63" s="22"/>
      <c r="Q63" s="15">
        <f t="shared" si="4"/>
        <v>0</v>
      </c>
      <c r="R63" s="22">
        <v>13005</v>
      </c>
      <c r="S63" s="22"/>
      <c r="T63" s="15">
        <f t="shared" si="5"/>
        <v>0</v>
      </c>
      <c r="U63" s="22">
        <v>0</v>
      </c>
      <c r="V63" s="25"/>
      <c r="W63" s="15" t="str">
        <f t="shared" si="6"/>
        <v/>
      </c>
    </row>
    <row r="64" spans="1:23">
      <c r="A64" s="3">
        <v>52</v>
      </c>
      <c r="B64" s="8" t="s">
        <v>52</v>
      </c>
      <c r="C64" s="23">
        <v>0</v>
      </c>
      <c r="D64" s="23"/>
      <c r="E64" s="15" t="str">
        <f t="shared" si="7"/>
        <v/>
      </c>
      <c r="F64" s="22">
        <v>0</v>
      </c>
      <c r="G64" s="22"/>
      <c r="H64" s="15" t="str">
        <f t="shared" si="1"/>
        <v/>
      </c>
      <c r="I64" s="23">
        <v>153.45999999999998</v>
      </c>
      <c r="J64" s="23"/>
      <c r="K64" s="15">
        <f t="shared" si="2"/>
        <v>0</v>
      </c>
      <c r="L64" s="22">
        <v>22193</v>
      </c>
      <c r="M64" s="22"/>
      <c r="N64" s="15">
        <f t="shared" si="3"/>
        <v>0</v>
      </c>
      <c r="O64" s="23">
        <v>21193</v>
      </c>
      <c r="P64" s="23"/>
      <c r="Q64" s="15">
        <f t="shared" si="4"/>
        <v>0</v>
      </c>
      <c r="R64" s="22">
        <v>43386</v>
      </c>
      <c r="S64" s="22"/>
      <c r="T64" s="15">
        <f t="shared" si="5"/>
        <v>0</v>
      </c>
      <c r="U64" s="22">
        <v>7767</v>
      </c>
      <c r="V64" s="23"/>
      <c r="W64" s="15">
        <f t="shared" si="6"/>
        <v>0</v>
      </c>
    </row>
    <row r="65" spans="1:23">
      <c r="A65" s="3">
        <v>53</v>
      </c>
      <c r="B65" s="8" t="s">
        <v>53</v>
      </c>
      <c r="C65" s="23">
        <v>0</v>
      </c>
      <c r="D65" s="23"/>
      <c r="E65" s="15" t="str">
        <f t="shared" si="7"/>
        <v/>
      </c>
      <c r="F65" s="22">
        <v>0</v>
      </c>
      <c r="G65" s="22"/>
      <c r="H65" s="15" t="str">
        <f t="shared" si="1"/>
        <v/>
      </c>
      <c r="I65" s="23">
        <v>0</v>
      </c>
      <c r="J65" s="23"/>
      <c r="K65" s="15" t="str">
        <f t="shared" si="2"/>
        <v/>
      </c>
      <c r="L65" s="22">
        <v>12843</v>
      </c>
      <c r="M65" s="22"/>
      <c r="N65" s="15">
        <f t="shared" si="3"/>
        <v>0</v>
      </c>
      <c r="O65" s="23">
        <v>9952</v>
      </c>
      <c r="P65" s="23"/>
      <c r="Q65" s="15">
        <f t="shared" si="4"/>
        <v>0</v>
      </c>
      <c r="R65" s="22">
        <v>22795</v>
      </c>
      <c r="S65" s="22"/>
      <c r="T65" s="15">
        <f t="shared" si="5"/>
        <v>0</v>
      </c>
      <c r="U65" s="22">
        <v>2732</v>
      </c>
      <c r="V65" s="23"/>
      <c r="W65" s="15">
        <f t="shared" si="6"/>
        <v>0</v>
      </c>
    </row>
    <row r="66" spans="1:23">
      <c r="A66" s="3">
        <v>54</v>
      </c>
      <c r="B66" s="8" t="s">
        <v>54</v>
      </c>
      <c r="C66" s="23">
        <v>0</v>
      </c>
      <c r="D66" s="23"/>
      <c r="E66" s="15" t="str">
        <f t="shared" si="7"/>
        <v/>
      </c>
      <c r="F66" s="22">
        <v>0</v>
      </c>
      <c r="G66" s="22"/>
      <c r="H66" s="15" t="str">
        <f t="shared" si="1"/>
        <v/>
      </c>
      <c r="I66" s="23">
        <v>42</v>
      </c>
      <c r="J66" s="23"/>
      <c r="K66" s="15">
        <f t="shared" si="2"/>
        <v>0</v>
      </c>
      <c r="L66" s="22">
        <v>7614</v>
      </c>
      <c r="M66" s="22"/>
      <c r="N66" s="15">
        <f t="shared" si="3"/>
        <v>0</v>
      </c>
      <c r="O66" s="23">
        <v>7603</v>
      </c>
      <c r="P66" s="23"/>
      <c r="Q66" s="15">
        <f t="shared" si="4"/>
        <v>0</v>
      </c>
      <c r="R66" s="22">
        <v>15217</v>
      </c>
      <c r="S66" s="22"/>
      <c r="T66" s="15">
        <f t="shared" si="5"/>
        <v>0</v>
      </c>
      <c r="U66" s="22">
        <v>7656</v>
      </c>
      <c r="V66" s="23"/>
      <c r="W66" s="15">
        <f t="shared" si="6"/>
        <v>0</v>
      </c>
    </row>
    <row r="67" spans="1:23">
      <c r="A67" s="3">
        <v>55</v>
      </c>
      <c r="B67" s="8" t="s">
        <v>55</v>
      </c>
      <c r="C67" s="23">
        <v>0</v>
      </c>
      <c r="D67" s="23"/>
      <c r="E67" s="15" t="str">
        <f t="shared" si="7"/>
        <v/>
      </c>
      <c r="F67" s="22">
        <v>0</v>
      </c>
      <c r="G67" s="22"/>
      <c r="H67" s="15" t="str">
        <f t="shared" si="1"/>
        <v/>
      </c>
      <c r="I67" s="23">
        <v>0</v>
      </c>
      <c r="J67" s="23"/>
      <c r="K67" s="15" t="str">
        <f t="shared" si="2"/>
        <v/>
      </c>
      <c r="L67" s="22">
        <v>16177</v>
      </c>
      <c r="M67" s="22"/>
      <c r="N67" s="15">
        <f t="shared" si="3"/>
        <v>0</v>
      </c>
      <c r="O67" s="23">
        <v>2604</v>
      </c>
      <c r="P67" s="23"/>
      <c r="Q67" s="15">
        <f t="shared" si="4"/>
        <v>0</v>
      </c>
      <c r="R67" s="22">
        <v>18781</v>
      </c>
      <c r="S67" s="22"/>
      <c r="T67" s="15">
        <f t="shared" si="5"/>
        <v>0</v>
      </c>
      <c r="U67" s="22">
        <v>0</v>
      </c>
      <c r="V67" s="23"/>
      <c r="W67" s="15" t="str">
        <f t="shared" si="6"/>
        <v/>
      </c>
    </row>
    <row r="68" spans="1:23">
      <c r="A68" s="3">
        <v>56</v>
      </c>
      <c r="B68" s="8" t="s">
        <v>56</v>
      </c>
      <c r="C68" s="23">
        <v>0</v>
      </c>
      <c r="D68" s="23"/>
      <c r="E68" s="15" t="str">
        <f t="shared" si="7"/>
        <v/>
      </c>
      <c r="F68" s="22">
        <v>0</v>
      </c>
      <c r="G68" s="22"/>
      <c r="H68" s="15" t="str">
        <f t="shared" si="1"/>
        <v/>
      </c>
      <c r="I68" s="23">
        <v>0</v>
      </c>
      <c r="J68" s="23"/>
      <c r="K68" s="15" t="str">
        <f t="shared" si="2"/>
        <v/>
      </c>
      <c r="L68" s="22">
        <v>25604</v>
      </c>
      <c r="M68" s="22"/>
      <c r="N68" s="15">
        <f t="shared" si="3"/>
        <v>0</v>
      </c>
      <c r="O68" s="23">
        <v>6812</v>
      </c>
      <c r="P68" s="23"/>
      <c r="Q68" s="15">
        <f t="shared" si="4"/>
        <v>0</v>
      </c>
      <c r="R68" s="22">
        <v>32416</v>
      </c>
      <c r="S68" s="22"/>
      <c r="T68" s="15">
        <f t="shared" si="5"/>
        <v>0</v>
      </c>
      <c r="U68" s="22">
        <v>4502</v>
      </c>
      <c r="V68" s="23"/>
      <c r="W68" s="15">
        <f t="shared" si="6"/>
        <v>0</v>
      </c>
    </row>
    <row r="69" spans="1:23">
      <c r="A69" s="3">
        <v>57</v>
      </c>
      <c r="B69" s="8" t="s">
        <v>57</v>
      </c>
      <c r="C69" s="23">
        <v>0</v>
      </c>
      <c r="D69" s="23"/>
      <c r="E69" s="15" t="str">
        <f t="shared" si="7"/>
        <v/>
      </c>
      <c r="F69" s="22">
        <v>0</v>
      </c>
      <c r="G69" s="22"/>
      <c r="H69" s="15" t="str">
        <f t="shared" si="1"/>
        <v/>
      </c>
      <c r="I69" s="23">
        <v>0</v>
      </c>
      <c r="J69" s="23"/>
      <c r="K69" s="15" t="str">
        <f t="shared" si="2"/>
        <v/>
      </c>
      <c r="L69" s="22">
        <v>23353</v>
      </c>
      <c r="M69" s="22"/>
      <c r="N69" s="15">
        <f t="shared" si="3"/>
        <v>0</v>
      </c>
      <c r="O69" s="23">
        <v>4768</v>
      </c>
      <c r="P69" s="23"/>
      <c r="Q69" s="15">
        <f t="shared" si="4"/>
        <v>0</v>
      </c>
      <c r="R69" s="22">
        <v>28121</v>
      </c>
      <c r="S69" s="22"/>
      <c r="T69" s="15">
        <f t="shared" si="5"/>
        <v>0</v>
      </c>
      <c r="U69" s="22">
        <v>0</v>
      </c>
      <c r="V69" s="23"/>
      <c r="W69" s="15" t="str">
        <f t="shared" si="6"/>
        <v/>
      </c>
    </row>
    <row r="70" spans="1:23">
      <c r="A70" s="3">
        <v>58</v>
      </c>
      <c r="B70" s="8" t="s">
        <v>58</v>
      </c>
      <c r="C70" s="23">
        <v>0</v>
      </c>
      <c r="D70" s="23"/>
      <c r="E70" s="15" t="str">
        <f t="shared" si="7"/>
        <v/>
      </c>
      <c r="F70" s="22">
        <v>0</v>
      </c>
      <c r="G70" s="22"/>
      <c r="H70" s="15" t="str">
        <f t="shared" si="1"/>
        <v/>
      </c>
      <c r="I70" s="23">
        <v>0</v>
      </c>
      <c r="J70" s="23"/>
      <c r="K70" s="15" t="str">
        <f t="shared" si="2"/>
        <v/>
      </c>
      <c r="L70" s="22">
        <v>8307</v>
      </c>
      <c r="M70" s="22"/>
      <c r="N70" s="15">
        <f t="shared" si="3"/>
        <v>0</v>
      </c>
      <c r="O70" s="23">
        <v>1373</v>
      </c>
      <c r="P70" s="23"/>
      <c r="Q70" s="15">
        <f t="shared" si="4"/>
        <v>0</v>
      </c>
      <c r="R70" s="23">
        <v>33254</v>
      </c>
      <c r="S70" s="23"/>
      <c r="T70" s="15">
        <f t="shared" si="5"/>
        <v>0</v>
      </c>
      <c r="U70" s="22">
        <v>3593</v>
      </c>
      <c r="V70" s="23"/>
      <c r="W70" s="15">
        <f t="shared" si="6"/>
        <v>0</v>
      </c>
    </row>
    <row r="71" spans="1:23">
      <c r="A71" s="3">
        <v>59</v>
      </c>
      <c r="B71" s="8" t="s">
        <v>59</v>
      </c>
      <c r="C71" s="23">
        <v>0</v>
      </c>
      <c r="D71" s="23"/>
      <c r="E71" s="15" t="str">
        <f t="shared" si="7"/>
        <v/>
      </c>
      <c r="F71" s="22">
        <v>803</v>
      </c>
      <c r="G71" s="22"/>
      <c r="H71" s="15">
        <f t="shared" si="1"/>
        <v>0</v>
      </c>
      <c r="I71" s="23">
        <v>0</v>
      </c>
      <c r="J71" s="23"/>
      <c r="K71" s="15" t="str">
        <f t="shared" si="2"/>
        <v/>
      </c>
      <c r="L71" s="22">
        <v>18761</v>
      </c>
      <c r="M71" s="22"/>
      <c r="N71" s="15">
        <f t="shared" si="3"/>
        <v>0</v>
      </c>
      <c r="O71" s="23">
        <v>3747</v>
      </c>
      <c r="P71" s="23"/>
      <c r="Q71" s="15">
        <f t="shared" si="4"/>
        <v>0</v>
      </c>
      <c r="R71" s="22">
        <v>22508</v>
      </c>
      <c r="S71" s="22"/>
      <c r="T71" s="15">
        <f t="shared" si="5"/>
        <v>0</v>
      </c>
      <c r="U71" s="22">
        <v>0</v>
      </c>
      <c r="V71" s="23"/>
      <c r="W71" s="15" t="str">
        <f t="shared" si="6"/>
        <v/>
      </c>
    </row>
    <row r="72" spans="1:23">
      <c r="A72" s="3">
        <v>60</v>
      </c>
      <c r="B72" s="8" t="s">
        <v>60</v>
      </c>
      <c r="C72" s="23">
        <v>0</v>
      </c>
      <c r="D72" s="23"/>
      <c r="E72" s="15" t="str">
        <f t="shared" si="7"/>
        <v/>
      </c>
      <c r="F72" s="22">
        <v>0</v>
      </c>
      <c r="G72" s="22"/>
      <c r="H72" s="15" t="str">
        <f t="shared" si="1"/>
        <v/>
      </c>
      <c r="I72" s="23">
        <v>0</v>
      </c>
      <c r="J72" s="23"/>
      <c r="K72" s="15" t="str">
        <f t="shared" si="2"/>
        <v/>
      </c>
      <c r="L72" s="22">
        <v>19491</v>
      </c>
      <c r="M72" s="22"/>
      <c r="N72" s="15">
        <f t="shared" si="3"/>
        <v>0</v>
      </c>
      <c r="O72" s="23">
        <v>41986</v>
      </c>
      <c r="P72" s="23"/>
      <c r="Q72" s="15">
        <f t="shared" si="4"/>
        <v>0</v>
      </c>
      <c r="R72" s="22">
        <v>63582</v>
      </c>
      <c r="S72" s="22"/>
      <c r="T72" s="15">
        <f t="shared" si="5"/>
        <v>0</v>
      </c>
      <c r="U72" s="22">
        <v>0</v>
      </c>
      <c r="V72" s="23"/>
      <c r="W72" s="15" t="str">
        <f t="shared" si="6"/>
        <v/>
      </c>
    </row>
    <row r="73" spans="1:23">
      <c r="A73" s="3">
        <v>61</v>
      </c>
      <c r="B73" s="8" t="s">
        <v>61</v>
      </c>
      <c r="C73" s="23">
        <v>0</v>
      </c>
      <c r="D73" s="23"/>
      <c r="E73" s="15" t="str">
        <f t="shared" si="7"/>
        <v/>
      </c>
      <c r="F73" s="22">
        <v>0</v>
      </c>
      <c r="G73" s="22"/>
      <c r="H73" s="15" t="str">
        <f t="shared" si="1"/>
        <v/>
      </c>
      <c r="I73" s="23">
        <v>0</v>
      </c>
      <c r="J73" s="23"/>
      <c r="K73" s="15" t="str">
        <f t="shared" si="2"/>
        <v/>
      </c>
      <c r="L73" s="22">
        <v>16756</v>
      </c>
      <c r="M73" s="22"/>
      <c r="N73" s="15">
        <f t="shared" si="3"/>
        <v>0</v>
      </c>
      <c r="O73" s="23">
        <v>28302</v>
      </c>
      <c r="P73" s="23"/>
      <c r="Q73" s="15">
        <f t="shared" si="4"/>
        <v>0</v>
      </c>
      <c r="R73" s="22">
        <v>45058</v>
      </c>
      <c r="S73" s="22"/>
      <c r="T73" s="15">
        <f t="shared" si="5"/>
        <v>0</v>
      </c>
      <c r="U73" s="22">
        <v>0</v>
      </c>
      <c r="V73" s="23"/>
      <c r="W73" s="15" t="str">
        <f t="shared" si="6"/>
        <v/>
      </c>
    </row>
    <row r="74" spans="1:23" s="10" customFormat="1">
      <c r="A74" s="3">
        <v>62</v>
      </c>
      <c r="B74" s="8" t="s">
        <v>62</v>
      </c>
      <c r="C74" s="23">
        <v>0</v>
      </c>
      <c r="D74" s="23"/>
      <c r="E74" s="15" t="str">
        <f t="shared" si="7"/>
        <v/>
      </c>
      <c r="F74" s="22">
        <v>0</v>
      </c>
      <c r="G74" s="22"/>
      <c r="H74" s="15" t="str">
        <f t="shared" si="1"/>
        <v/>
      </c>
      <c r="I74" s="23">
        <v>0</v>
      </c>
      <c r="J74" s="23"/>
      <c r="K74" s="15" t="str">
        <f t="shared" si="2"/>
        <v/>
      </c>
      <c r="L74" s="22">
        <v>14856</v>
      </c>
      <c r="M74" s="22"/>
      <c r="N74" s="15">
        <f t="shared" si="3"/>
        <v>0</v>
      </c>
      <c r="O74" s="23">
        <v>31042</v>
      </c>
      <c r="P74" s="23"/>
      <c r="Q74" s="15">
        <f t="shared" si="4"/>
        <v>0</v>
      </c>
      <c r="R74" s="22">
        <v>45898</v>
      </c>
      <c r="S74" s="22"/>
      <c r="T74" s="15">
        <f t="shared" si="5"/>
        <v>0</v>
      </c>
      <c r="U74" s="22">
        <v>0</v>
      </c>
      <c r="V74" s="23"/>
      <c r="W74" s="15" t="str">
        <f t="shared" si="6"/>
        <v/>
      </c>
    </row>
    <row r="75" spans="1:23">
      <c r="A75" s="3">
        <v>63</v>
      </c>
      <c r="B75" s="8" t="s">
        <v>63</v>
      </c>
      <c r="C75" s="23">
        <v>0</v>
      </c>
      <c r="D75" s="23"/>
      <c r="E75" s="15" t="str">
        <f t="shared" si="7"/>
        <v/>
      </c>
      <c r="F75" s="22">
        <v>0</v>
      </c>
      <c r="G75" s="22"/>
      <c r="H75" s="15" t="str">
        <f t="shared" si="1"/>
        <v/>
      </c>
      <c r="I75" s="23">
        <v>0</v>
      </c>
      <c r="J75" s="23"/>
      <c r="K75" s="15" t="str">
        <f t="shared" si="2"/>
        <v/>
      </c>
      <c r="L75" s="22">
        <v>24885</v>
      </c>
      <c r="M75" s="22"/>
      <c r="N75" s="15">
        <f t="shared" si="3"/>
        <v>0</v>
      </c>
      <c r="O75" s="23">
        <v>48875</v>
      </c>
      <c r="P75" s="23"/>
      <c r="Q75" s="15">
        <f t="shared" si="4"/>
        <v>0</v>
      </c>
      <c r="R75" s="22">
        <v>73760</v>
      </c>
      <c r="S75" s="22"/>
      <c r="T75" s="15">
        <f t="shared" si="5"/>
        <v>0</v>
      </c>
      <c r="U75" s="22">
        <v>0</v>
      </c>
      <c r="V75" s="23"/>
      <c r="W75" s="15" t="str">
        <f t="shared" si="6"/>
        <v/>
      </c>
    </row>
    <row r="76" spans="1:23">
      <c r="A76" s="3">
        <v>64</v>
      </c>
      <c r="B76" s="8" t="s">
        <v>64</v>
      </c>
      <c r="C76" s="23">
        <v>0</v>
      </c>
      <c r="D76" s="23"/>
      <c r="E76" s="15" t="str">
        <f t="shared" si="7"/>
        <v/>
      </c>
      <c r="F76" s="22">
        <v>0</v>
      </c>
      <c r="G76" s="22"/>
      <c r="H76" s="15" t="str">
        <f t="shared" si="1"/>
        <v/>
      </c>
      <c r="I76" s="23">
        <v>0</v>
      </c>
      <c r="J76" s="23"/>
      <c r="K76" s="15" t="str">
        <f t="shared" si="2"/>
        <v/>
      </c>
      <c r="L76" s="22">
        <v>19886</v>
      </c>
      <c r="M76" s="22"/>
      <c r="N76" s="15">
        <f t="shared" si="3"/>
        <v>0</v>
      </c>
      <c r="O76" s="23">
        <v>45059</v>
      </c>
      <c r="P76" s="23"/>
      <c r="Q76" s="15">
        <f t="shared" si="4"/>
        <v>0</v>
      </c>
      <c r="R76" s="22">
        <v>64945</v>
      </c>
      <c r="S76" s="22"/>
      <c r="T76" s="15">
        <f t="shared" si="5"/>
        <v>0</v>
      </c>
      <c r="U76" s="22">
        <v>0</v>
      </c>
      <c r="V76" s="23"/>
      <c r="W76" s="15" t="str">
        <f t="shared" si="6"/>
        <v/>
      </c>
    </row>
    <row r="77" spans="1:23">
      <c r="A77" s="3">
        <v>65</v>
      </c>
      <c r="B77" s="8" t="s">
        <v>65</v>
      </c>
      <c r="C77" s="23">
        <v>0</v>
      </c>
      <c r="D77" s="23"/>
      <c r="E77" s="15" t="str">
        <f t="shared" si="7"/>
        <v/>
      </c>
      <c r="F77" s="22">
        <v>0</v>
      </c>
      <c r="G77" s="22"/>
      <c r="H77" s="15" t="str">
        <f t="shared" ref="H77:H136" si="8">IFERROR(G77/F77,"")</f>
        <v/>
      </c>
      <c r="I77" s="23">
        <v>0</v>
      </c>
      <c r="J77" s="23"/>
      <c r="K77" s="15" t="str">
        <f t="shared" ref="K77:K136" si="9">IFERROR(J77/I77,"")</f>
        <v/>
      </c>
      <c r="L77" s="22">
        <v>24135</v>
      </c>
      <c r="M77" s="22"/>
      <c r="N77" s="15">
        <f t="shared" ref="N77:N136" si="10">IFERROR(M77/L77,"")</f>
        <v>0</v>
      </c>
      <c r="O77" s="23">
        <v>14952</v>
      </c>
      <c r="P77" s="23"/>
      <c r="Q77" s="15">
        <f t="shared" ref="Q77:Q136" si="11">IFERROR(P77/O77,"")</f>
        <v>0</v>
      </c>
      <c r="R77" s="22">
        <v>39087</v>
      </c>
      <c r="S77" s="22"/>
      <c r="T77" s="15">
        <f t="shared" ref="T77:T136" si="12">IFERROR(S77/R77,"")</f>
        <v>0</v>
      </c>
      <c r="U77" s="22">
        <v>0</v>
      </c>
      <c r="V77" s="23"/>
      <c r="W77" s="15" t="str">
        <f t="shared" ref="W77:W136" si="13">IFERROR(V77/U77,"")</f>
        <v/>
      </c>
    </row>
    <row r="78" spans="1:23">
      <c r="A78" s="3">
        <v>66</v>
      </c>
      <c r="B78" s="8" t="s">
        <v>66</v>
      </c>
      <c r="C78" s="23">
        <v>0</v>
      </c>
      <c r="D78" s="23"/>
      <c r="E78" s="15" t="str">
        <f t="shared" ref="E78:E136" si="14">IFERROR(D78/C78,"")</f>
        <v/>
      </c>
      <c r="F78" s="22">
        <v>0</v>
      </c>
      <c r="G78" s="22"/>
      <c r="H78" s="15" t="str">
        <f t="shared" si="8"/>
        <v/>
      </c>
      <c r="I78" s="23">
        <v>0</v>
      </c>
      <c r="J78" s="23"/>
      <c r="K78" s="15" t="str">
        <f t="shared" si="9"/>
        <v/>
      </c>
      <c r="L78" s="22">
        <v>9995</v>
      </c>
      <c r="M78" s="22"/>
      <c r="N78" s="15">
        <f t="shared" si="10"/>
        <v>0</v>
      </c>
      <c r="O78" s="23">
        <v>4052</v>
      </c>
      <c r="P78" s="23"/>
      <c r="Q78" s="15">
        <f t="shared" si="11"/>
        <v>0</v>
      </c>
      <c r="R78" s="22">
        <v>14047</v>
      </c>
      <c r="S78" s="22"/>
      <c r="T78" s="15">
        <f t="shared" si="12"/>
        <v>0</v>
      </c>
      <c r="U78" s="22">
        <v>0</v>
      </c>
      <c r="V78" s="23"/>
      <c r="W78" s="15" t="str">
        <f t="shared" si="13"/>
        <v/>
      </c>
    </row>
    <row r="79" spans="1:23">
      <c r="A79" s="3">
        <v>67</v>
      </c>
      <c r="B79" s="8" t="s">
        <v>67</v>
      </c>
      <c r="C79" s="23">
        <v>0</v>
      </c>
      <c r="D79" s="23"/>
      <c r="E79" s="15" t="str">
        <f t="shared" si="14"/>
        <v/>
      </c>
      <c r="F79" s="22">
        <v>0</v>
      </c>
      <c r="G79" s="22"/>
      <c r="H79" s="15" t="str">
        <f t="shared" si="8"/>
        <v/>
      </c>
      <c r="I79" s="23">
        <v>0</v>
      </c>
      <c r="J79" s="23"/>
      <c r="K79" s="15" t="str">
        <f t="shared" si="9"/>
        <v/>
      </c>
      <c r="L79" s="22">
        <v>7953</v>
      </c>
      <c r="M79" s="22"/>
      <c r="N79" s="15">
        <f t="shared" si="10"/>
        <v>0</v>
      </c>
      <c r="O79" s="23">
        <v>3409</v>
      </c>
      <c r="P79" s="23"/>
      <c r="Q79" s="15">
        <f t="shared" si="11"/>
        <v>0</v>
      </c>
      <c r="R79" s="22">
        <v>11362</v>
      </c>
      <c r="S79" s="22"/>
      <c r="T79" s="15">
        <f t="shared" si="12"/>
        <v>0</v>
      </c>
      <c r="U79" s="22">
        <v>0</v>
      </c>
      <c r="V79" s="23"/>
      <c r="W79" s="15" t="str">
        <f t="shared" si="13"/>
        <v/>
      </c>
    </row>
    <row r="80" spans="1:23">
      <c r="A80" s="3">
        <v>68</v>
      </c>
      <c r="B80" s="8" t="s">
        <v>68</v>
      </c>
      <c r="C80" s="23">
        <v>0</v>
      </c>
      <c r="D80" s="23"/>
      <c r="E80" s="15" t="str">
        <f t="shared" si="14"/>
        <v/>
      </c>
      <c r="F80" s="22">
        <v>2229.3000000000002</v>
      </c>
      <c r="G80" s="22"/>
      <c r="H80" s="15">
        <f t="shared" si="8"/>
        <v>0</v>
      </c>
      <c r="I80" s="23">
        <v>0</v>
      </c>
      <c r="J80" s="23"/>
      <c r="K80" s="15" t="str">
        <f t="shared" si="9"/>
        <v/>
      </c>
      <c r="L80" s="22">
        <v>12500</v>
      </c>
      <c r="M80" s="22"/>
      <c r="N80" s="15">
        <f t="shared" si="10"/>
        <v>0</v>
      </c>
      <c r="O80" s="23">
        <v>7403</v>
      </c>
      <c r="P80" s="23"/>
      <c r="Q80" s="15">
        <f t="shared" si="11"/>
        <v>0</v>
      </c>
      <c r="R80" s="22">
        <v>19903</v>
      </c>
      <c r="S80" s="22"/>
      <c r="T80" s="15">
        <f t="shared" si="12"/>
        <v>0</v>
      </c>
      <c r="U80" s="22">
        <v>0</v>
      </c>
      <c r="V80" s="23"/>
      <c r="W80" s="15" t="str">
        <f t="shared" si="13"/>
        <v/>
      </c>
    </row>
    <row r="81" spans="1:23">
      <c r="A81" s="3">
        <v>69</v>
      </c>
      <c r="B81" s="8" t="s">
        <v>69</v>
      </c>
      <c r="C81" s="23">
        <v>0</v>
      </c>
      <c r="D81" s="23"/>
      <c r="E81" s="15" t="str">
        <f t="shared" si="14"/>
        <v/>
      </c>
      <c r="F81" s="22">
        <v>0</v>
      </c>
      <c r="G81" s="22"/>
      <c r="H81" s="15" t="str">
        <f t="shared" si="8"/>
        <v/>
      </c>
      <c r="I81" s="23">
        <v>0</v>
      </c>
      <c r="J81" s="23"/>
      <c r="K81" s="15" t="str">
        <f t="shared" si="9"/>
        <v/>
      </c>
      <c r="L81" s="22">
        <v>10411</v>
      </c>
      <c r="M81" s="22"/>
      <c r="N81" s="15">
        <f t="shared" si="10"/>
        <v>0</v>
      </c>
      <c r="O81" s="23">
        <v>6344</v>
      </c>
      <c r="P81" s="23"/>
      <c r="Q81" s="15">
        <f t="shared" si="11"/>
        <v>0</v>
      </c>
      <c r="R81" s="22">
        <v>16755</v>
      </c>
      <c r="S81" s="22"/>
      <c r="T81" s="15">
        <f t="shared" si="12"/>
        <v>0</v>
      </c>
      <c r="U81" s="22">
        <v>0</v>
      </c>
      <c r="V81" s="23"/>
      <c r="W81" s="15" t="str">
        <f t="shared" si="13"/>
        <v/>
      </c>
    </row>
    <row r="82" spans="1:23">
      <c r="A82" s="3">
        <v>70</v>
      </c>
      <c r="B82" s="8" t="s">
        <v>70</v>
      </c>
      <c r="C82" s="23">
        <v>0</v>
      </c>
      <c r="D82" s="23"/>
      <c r="E82" s="15" t="str">
        <f t="shared" si="14"/>
        <v/>
      </c>
      <c r="F82" s="22">
        <v>0</v>
      </c>
      <c r="G82" s="22"/>
      <c r="H82" s="15" t="str">
        <f t="shared" si="8"/>
        <v/>
      </c>
      <c r="I82" s="23">
        <v>0</v>
      </c>
      <c r="J82" s="23"/>
      <c r="K82" s="15" t="str">
        <f t="shared" si="9"/>
        <v/>
      </c>
      <c r="L82" s="22">
        <v>5187</v>
      </c>
      <c r="M82" s="22"/>
      <c r="N82" s="15">
        <f t="shared" si="10"/>
        <v>0</v>
      </c>
      <c r="O82" s="23">
        <v>2139</v>
      </c>
      <c r="P82" s="23"/>
      <c r="Q82" s="15">
        <f t="shared" si="11"/>
        <v>0</v>
      </c>
      <c r="R82" s="22">
        <v>7326</v>
      </c>
      <c r="S82" s="22"/>
      <c r="T82" s="15">
        <f t="shared" si="12"/>
        <v>0</v>
      </c>
      <c r="U82" s="22">
        <v>0</v>
      </c>
      <c r="V82" s="23"/>
      <c r="W82" s="15" t="str">
        <f t="shared" si="13"/>
        <v/>
      </c>
    </row>
    <row r="83" spans="1:23">
      <c r="A83" s="3">
        <v>71</v>
      </c>
      <c r="B83" s="8" t="s">
        <v>71</v>
      </c>
      <c r="C83" s="23">
        <v>0</v>
      </c>
      <c r="D83" s="23"/>
      <c r="E83" s="15" t="str">
        <f t="shared" si="14"/>
        <v/>
      </c>
      <c r="F83" s="22">
        <v>0</v>
      </c>
      <c r="G83" s="22"/>
      <c r="H83" s="15" t="str">
        <f t="shared" si="8"/>
        <v/>
      </c>
      <c r="I83" s="23">
        <v>0</v>
      </c>
      <c r="J83" s="23"/>
      <c r="K83" s="15" t="str">
        <f t="shared" si="9"/>
        <v/>
      </c>
      <c r="L83" s="22">
        <v>5918</v>
      </c>
      <c r="M83" s="22"/>
      <c r="N83" s="15">
        <f t="shared" si="10"/>
        <v>0</v>
      </c>
      <c r="O83" s="23">
        <v>4106</v>
      </c>
      <c r="P83" s="23"/>
      <c r="Q83" s="15">
        <f t="shared" si="11"/>
        <v>0</v>
      </c>
      <c r="R83" s="22">
        <v>10024</v>
      </c>
      <c r="S83" s="22"/>
      <c r="T83" s="15">
        <f t="shared" si="12"/>
        <v>0</v>
      </c>
      <c r="U83" s="22">
        <v>0</v>
      </c>
      <c r="V83" s="23"/>
      <c r="W83" s="15" t="str">
        <f t="shared" si="13"/>
        <v/>
      </c>
    </row>
    <row r="84" spans="1:23">
      <c r="A84" s="3">
        <v>72</v>
      </c>
      <c r="B84" s="8" t="s">
        <v>72</v>
      </c>
      <c r="C84" s="23">
        <v>0</v>
      </c>
      <c r="D84" s="23"/>
      <c r="E84" s="15" t="str">
        <f t="shared" si="14"/>
        <v/>
      </c>
      <c r="F84" s="22">
        <v>0</v>
      </c>
      <c r="G84" s="22"/>
      <c r="H84" s="15" t="str">
        <f t="shared" si="8"/>
        <v/>
      </c>
      <c r="I84" s="23">
        <v>0</v>
      </c>
      <c r="J84" s="23"/>
      <c r="K84" s="15" t="str">
        <f t="shared" si="9"/>
        <v/>
      </c>
      <c r="L84" s="22">
        <v>8940</v>
      </c>
      <c r="M84" s="22"/>
      <c r="N84" s="15">
        <f t="shared" si="10"/>
        <v>0</v>
      </c>
      <c r="O84" s="23">
        <v>1956</v>
      </c>
      <c r="P84" s="23"/>
      <c r="Q84" s="15">
        <f t="shared" si="11"/>
        <v>0</v>
      </c>
      <c r="R84" s="22">
        <v>10896</v>
      </c>
      <c r="S84" s="22"/>
      <c r="T84" s="15">
        <f t="shared" si="12"/>
        <v>0</v>
      </c>
      <c r="U84" s="22">
        <v>0</v>
      </c>
      <c r="V84" s="23"/>
      <c r="W84" s="15" t="str">
        <f t="shared" si="13"/>
        <v/>
      </c>
    </row>
    <row r="85" spans="1:23">
      <c r="A85" s="3">
        <v>73</v>
      </c>
      <c r="B85" s="8" t="s">
        <v>73</v>
      </c>
      <c r="C85" s="23">
        <v>0</v>
      </c>
      <c r="D85" s="23"/>
      <c r="E85" s="15" t="str">
        <f t="shared" si="14"/>
        <v/>
      </c>
      <c r="F85" s="22">
        <v>0</v>
      </c>
      <c r="G85" s="22"/>
      <c r="H85" s="15" t="str">
        <f t="shared" si="8"/>
        <v/>
      </c>
      <c r="I85" s="23">
        <v>0</v>
      </c>
      <c r="J85" s="23"/>
      <c r="K85" s="15" t="str">
        <f t="shared" si="9"/>
        <v/>
      </c>
      <c r="L85" s="23">
        <v>0</v>
      </c>
      <c r="M85" s="22"/>
      <c r="N85" s="15" t="str">
        <f t="shared" si="10"/>
        <v/>
      </c>
      <c r="O85" s="23">
        <v>0</v>
      </c>
      <c r="P85" s="23"/>
      <c r="Q85" s="15" t="str">
        <f t="shared" si="11"/>
        <v/>
      </c>
      <c r="R85" s="23">
        <v>0</v>
      </c>
      <c r="S85" s="23"/>
      <c r="T85" s="15" t="str">
        <f t="shared" si="12"/>
        <v/>
      </c>
      <c r="U85" s="22">
        <v>23687</v>
      </c>
      <c r="V85" s="23"/>
      <c r="W85" s="15">
        <f t="shared" si="13"/>
        <v>0</v>
      </c>
    </row>
    <row r="86" spans="1:23">
      <c r="A86" s="3">
        <v>74</v>
      </c>
      <c r="B86" s="8" t="s">
        <v>74</v>
      </c>
      <c r="C86" s="23">
        <v>0</v>
      </c>
      <c r="D86" s="23"/>
      <c r="E86" s="15" t="str">
        <f t="shared" si="14"/>
        <v/>
      </c>
      <c r="F86" s="22">
        <v>0</v>
      </c>
      <c r="G86" s="22"/>
      <c r="H86" s="15" t="str">
        <f t="shared" si="8"/>
        <v/>
      </c>
      <c r="I86" s="23">
        <v>0</v>
      </c>
      <c r="J86" s="23"/>
      <c r="K86" s="15" t="str">
        <f t="shared" si="9"/>
        <v/>
      </c>
      <c r="L86" s="23">
        <v>0</v>
      </c>
      <c r="M86" s="22"/>
      <c r="N86" s="15" t="str">
        <f t="shared" si="10"/>
        <v/>
      </c>
      <c r="O86" s="23">
        <v>0</v>
      </c>
      <c r="P86" s="23"/>
      <c r="Q86" s="15" t="str">
        <f t="shared" si="11"/>
        <v/>
      </c>
      <c r="R86" s="23">
        <v>0</v>
      </c>
      <c r="S86" s="23"/>
      <c r="T86" s="15" t="str">
        <f t="shared" si="12"/>
        <v/>
      </c>
      <c r="U86" s="22">
        <v>10696</v>
      </c>
      <c r="V86" s="23"/>
      <c r="W86" s="15">
        <f t="shared" si="13"/>
        <v>0</v>
      </c>
    </row>
    <row r="87" spans="1:23">
      <c r="A87" s="3">
        <v>75</v>
      </c>
      <c r="B87" s="8" t="s">
        <v>75</v>
      </c>
      <c r="C87" s="23">
        <v>0</v>
      </c>
      <c r="D87" s="23"/>
      <c r="E87" s="15" t="str">
        <f t="shared" si="14"/>
        <v/>
      </c>
      <c r="F87" s="22">
        <v>0</v>
      </c>
      <c r="G87" s="22"/>
      <c r="H87" s="15" t="str">
        <f t="shared" si="8"/>
        <v/>
      </c>
      <c r="I87" s="23">
        <v>0</v>
      </c>
      <c r="J87" s="23"/>
      <c r="K87" s="15" t="str">
        <f t="shared" si="9"/>
        <v/>
      </c>
      <c r="L87" s="23">
        <v>0</v>
      </c>
      <c r="M87" s="22"/>
      <c r="N87" s="15" t="str">
        <f t="shared" si="10"/>
        <v/>
      </c>
      <c r="O87" s="23">
        <v>0</v>
      </c>
      <c r="P87" s="23"/>
      <c r="Q87" s="15" t="str">
        <f t="shared" si="11"/>
        <v/>
      </c>
      <c r="R87" s="23">
        <v>0</v>
      </c>
      <c r="S87" s="23"/>
      <c r="T87" s="15" t="str">
        <f t="shared" si="12"/>
        <v/>
      </c>
      <c r="U87" s="22">
        <v>51550</v>
      </c>
      <c r="V87" s="23"/>
      <c r="W87" s="15">
        <f t="shared" si="13"/>
        <v>0</v>
      </c>
    </row>
    <row r="88" spans="1:23">
      <c r="A88" s="3">
        <v>76</v>
      </c>
      <c r="B88" s="8" t="s">
        <v>76</v>
      </c>
      <c r="C88" s="23">
        <v>0</v>
      </c>
      <c r="D88" s="23"/>
      <c r="E88" s="15" t="str">
        <f t="shared" si="14"/>
        <v/>
      </c>
      <c r="F88" s="22">
        <v>0</v>
      </c>
      <c r="G88" s="22"/>
      <c r="H88" s="15" t="str">
        <f t="shared" si="8"/>
        <v/>
      </c>
      <c r="I88" s="23">
        <v>0</v>
      </c>
      <c r="J88" s="23"/>
      <c r="K88" s="15" t="str">
        <f t="shared" si="9"/>
        <v/>
      </c>
      <c r="L88" s="23">
        <v>0</v>
      </c>
      <c r="M88" s="22"/>
      <c r="N88" s="15" t="str">
        <f t="shared" si="10"/>
        <v/>
      </c>
      <c r="O88" s="23">
        <v>0</v>
      </c>
      <c r="P88" s="23"/>
      <c r="Q88" s="15" t="str">
        <f t="shared" si="11"/>
        <v/>
      </c>
      <c r="R88" s="23">
        <v>0</v>
      </c>
      <c r="S88" s="23"/>
      <c r="T88" s="15" t="str">
        <f t="shared" si="12"/>
        <v/>
      </c>
      <c r="U88" s="22">
        <v>16478</v>
      </c>
      <c r="V88" s="23"/>
      <c r="W88" s="15">
        <f t="shared" si="13"/>
        <v>0</v>
      </c>
    </row>
    <row r="89" spans="1:23">
      <c r="A89" s="3">
        <v>77</v>
      </c>
      <c r="B89" s="8" t="s">
        <v>77</v>
      </c>
      <c r="C89" s="23">
        <v>0</v>
      </c>
      <c r="D89" s="23"/>
      <c r="E89" s="15" t="str">
        <f t="shared" si="14"/>
        <v/>
      </c>
      <c r="F89" s="22">
        <v>0</v>
      </c>
      <c r="G89" s="22"/>
      <c r="H89" s="15" t="str">
        <f t="shared" si="8"/>
        <v/>
      </c>
      <c r="I89" s="23">
        <v>0</v>
      </c>
      <c r="J89" s="23"/>
      <c r="K89" s="15" t="str">
        <f t="shared" si="9"/>
        <v/>
      </c>
      <c r="L89" s="23">
        <v>0</v>
      </c>
      <c r="M89" s="22"/>
      <c r="N89" s="15" t="str">
        <f t="shared" si="10"/>
        <v/>
      </c>
      <c r="O89" s="23">
        <v>0</v>
      </c>
      <c r="P89" s="23"/>
      <c r="Q89" s="15" t="str">
        <f t="shared" si="11"/>
        <v/>
      </c>
      <c r="R89" s="23">
        <v>0</v>
      </c>
      <c r="S89" s="23"/>
      <c r="T89" s="15" t="str">
        <f t="shared" si="12"/>
        <v/>
      </c>
      <c r="U89" s="22">
        <v>24891</v>
      </c>
      <c r="V89" s="23"/>
      <c r="W89" s="15">
        <f t="shared" si="13"/>
        <v>0</v>
      </c>
    </row>
    <row r="90" spans="1:23">
      <c r="A90" s="3">
        <v>78</v>
      </c>
      <c r="B90" s="8" t="s">
        <v>78</v>
      </c>
      <c r="C90" s="23">
        <v>0</v>
      </c>
      <c r="D90" s="23"/>
      <c r="E90" s="15" t="str">
        <f t="shared" si="14"/>
        <v/>
      </c>
      <c r="F90" s="22">
        <v>0</v>
      </c>
      <c r="G90" s="22"/>
      <c r="H90" s="15" t="str">
        <f t="shared" si="8"/>
        <v/>
      </c>
      <c r="I90" s="23">
        <v>0</v>
      </c>
      <c r="J90" s="23"/>
      <c r="K90" s="15" t="str">
        <f t="shared" si="9"/>
        <v/>
      </c>
      <c r="L90" s="23">
        <v>0</v>
      </c>
      <c r="M90" s="22"/>
      <c r="N90" s="15" t="str">
        <f t="shared" si="10"/>
        <v/>
      </c>
      <c r="O90" s="23">
        <v>0</v>
      </c>
      <c r="P90" s="23"/>
      <c r="Q90" s="15" t="str">
        <f t="shared" si="11"/>
        <v/>
      </c>
      <c r="R90" s="23">
        <v>0</v>
      </c>
      <c r="S90" s="23"/>
      <c r="T90" s="15" t="str">
        <f t="shared" si="12"/>
        <v/>
      </c>
      <c r="U90" s="22">
        <v>28904</v>
      </c>
      <c r="V90" s="23"/>
      <c r="W90" s="15">
        <f t="shared" si="13"/>
        <v>0</v>
      </c>
    </row>
    <row r="91" spans="1:23">
      <c r="A91" s="3">
        <v>79</v>
      </c>
      <c r="B91" s="8" t="s">
        <v>79</v>
      </c>
      <c r="C91" s="23">
        <v>0</v>
      </c>
      <c r="D91" s="23"/>
      <c r="E91" s="15" t="str">
        <f t="shared" si="14"/>
        <v/>
      </c>
      <c r="F91" s="22">
        <v>0</v>
      </c>
      <c r="G91" s="22"/>
      <c r="H91" s="15" t="str">
        <f t="shared" si="8"/>
        <v/>
      </c>
      <c r="I91" s="23">
        <v>0</v>
      </c>
      <c r="J91" s="23"/>
      <c r="K91" s="15" t="str">
        <f t="shared" si="9"/>
        <v/>
      </c>
      <c r="L91" s="23">
        <v>0</v>
      </c>
      <c r="M91" s="22"/>
      <c r="N91" s="15" t="str">
        <f t="shared" si="10"/>
        <v/>
      </c>
      <c r="O91" s="23">
        <v>0</v>
      </c>
      <c r="P91" s="23"/>
      <c r="Q91" s="15" t="str">
        <f t="shared" si="11"/>
        <v/>
      </c>
      <c r="R91" s="23">
        <v>0</v>
      </c>
      <c r="S91" s="23"/>
      <c r="T91" s="15" t="str">
        <f t="shared" si="12"/>
        <v/>
      </c>
      <c r="U91" s="22">
        <v>43328</v>
      </c>
      <c r="V91" s="23"/>
      <c r="W91" s="15">
        <f t="shared" si="13"/>
        <v>0</v>
      </c>
    </row>
    <row r="92" spans="1:23">
      <c r="A92" s="3">
        <v>80</v>
      </c>
      <c r="B92" s="8" t="s">
        <v>80</v>
      </c>
      <c r="C92" s="23">
        <v>0</v>
      </c>
      <c r="D92" s="23"/>
      <c r="E92" s="15" t="str">
        <f t="shared" si="14"/>
        <v/>
      </c>
      <c r="F92" s="22">
        <v>0</v>
      </c>
      <c r="G92" s="22"/>
      <c r="H92" s="15" t="str">
        <f t="shared" si="8"/>
        <v/>
      </c>
      <c r="I92" s="23">
        <v>153.45999999999998</v>
      </c>
      <c r="J92" s="23"/>
      <c r="K92" s="15">
        <f t="shared" si="9"/>
        <v>0</v>
      </c>
      <c r="L92" s="23">
        <v>0</v>
      </c>
      <c r="M92" s="22"/>
      <c r="N92" s="15" t="str">
        <f t="shared" si="10"/>
        <v/>
      </c>
      <c r="O92" s="23">
        <v>0</v>
      </c>
      <c r="P92" s="23"/>
      <c r="Q92" s="15" t="str">
        <f t="shared" si="11"/>
        <v/>
      </c>
      <c r="R92" s="23">
        <v>0</v>
      </c>
      <c r="S92" s="23"/>
      <c r="T92" s="15" t="str">
        <f t="shared" si="12"/>
        <v/>
      </c>
      <c r="U92" s="22">
        <v>24604</v>
      </c>
      <c r="V92" s="23"/>
      <c r="W92" s="15">
        <f t="shared" si="13"/>
        <v>0</v>
      </c>
    </row>
    <row r="93" spans="1:23">
      <c r="A93" s="3">
        <v>81</v>
      </c>
      <c r="B93" s="8" t="s">
        <v>81</v>
      </c>
      <c r="C93" s="23">
        <v>0</v>
      </c>
      <c r="D93" s="23"/>
      <c r="E93" s="15" t="str">
        <f t="shared" si="14"/>
        <v/>
      </c>
      <c r="F93" s="22">
        <v>0</v>
      </c>
      <c r="G93" s="22"/>
      <c r="H93" s="15" t="str">
        <f t="shared" si="8"/>
        <v/>
      </c>
      <c r="I93" s="23">
        <v>0</v>
      </c>
      <c r="J93" s="23"/>
      <c r="K93" s="15" t="str">
        <f t="shared" si="9"/>
        <v/>
      </c>
      <c r="L93" s="23">
        <v>0</v>
      </c>
      <c r="M93" s="22"/>
      <c r="N93" s="15" t="str">
        <f t="shared" si="10"/>
        <v/>
      </c>
      <c r="O93" s="23">
        <v>0</v>
      </c>
      <c r="P93" s="23"/>
      <c r="Q93" s="15" t="str">
        <f t="shared" si="11"/>
        <v/>
      </c>
      <c r="R93" s="23">
        <v>0</v>
      </c>
      <c r="S93" s="23"/>
      <c r="T93" s="15" t="str">
        <f t="shared" si="12"/>
        <v/>
      </c>
      <c r="U93" s="22">
        <v>19274</v>
      </c>
      <c r="V93" s="23"/>
      <c r="W93" s="15">
        <f t="shared" si="13"/>
        <v>0</v>
      </c>
    </row>
    <row r="94" spans="1:23">
      <c r="A94" s="3">
        <v>82</v>
      </c>
      <c r="B94" s="8" t="s">
        <v>82</v>
      </c>
      <c r="C94" s="23">
        <v>0</v>
      </c>
      <c r="D94" s="23"/>
      <c r="E94" s="15" t="str">
        <f t="shared" si="14"/>
        <v/>
      </c>
      <c r="F94" s="22">
        <v>0</v>
      </c>
      <c r="G94" s="22"/>
      <c r="H94" s="15" t="str">
        <f t="shared" si="8"/>
        <v/>
      </c>
      <c r="I94" s="23">
        <v>0</v>
      </c>
      <c r="J94" s="23"/>
      <c r="K94" s="15" t="str">
        <f t="shared" si="9"/>
        <v/>
      </c>
      <c r="L94" s="23">
        <v>0</v>
      </c>
      <c r="M94" s="22"/>
      <c r="N94" s="15" t="str">
        <f t="shared" si="10"/>
        <v/>
      </c>
      <c r="O94" s="23">
        <v>0</v>
      </c>
      <c r="P94" s="23"/>
      <c r="Q94" s="15" t="str">
        <f t="shared" si="11"/>
        <v/>
      </c>
      <c r="R94" s="23">
        <v>0</v>
      </c>
      <c r="S94" s="23"/>
      <c r="T94" s="15" t="str">
        <f t="shared" si="12"/>
        <v/>
      </c>
      <c r="U94" s="22">
        <v>38704</v>
      </c>
      <c r="V94" s="23"/>
      <c r="W94" s="15">
        <f t="shared" si="13"/>
        <v>0</v>
      </c>
    </row>
    <row r="95" spans="1:23">
      <c r="A95" s="3">
        <v>83</v>
      </c>
      <c r="B95" s="8" t="s">
        <v>83</v>
      </c>
      <c r="C95" s="23">
        <v>0</v>
      </c>
      <c r="D95" s="23"/>
      <c r="E95" s="15" t="str">
        <f t="shared" si="14"/>
        <v/>
      </c>
      <c r="F95" s="22">
        <v>0</v>
      </c>
      <c r="G95" s="22"/>
      <c r="H95" s="15" t="str">
        <f t="shared" si="8"/>
        <v/>
      </c>
      <c r="I95" s="23">
        <v>0</v>
      </c>
      <c r="J95" s="23"/>
      <c r="K95" s="15" t="str">
        <f t="shared" si="9"/>
        <v/>
      </c>
      <c r="L95" s="23">
        <v>0</v>
      </c>
      <c r="M95" s="22"/>
      <c r="N95" s="15" t="str">
        <f t="shared" si="10"/>
        <v/>
      </c>
      <c r="O95" s="23">
        <v>0</v>
      </c>
      <c r="P95" s="23"/>
      <c r="Q95" s="15" t="str">
        <f t="shared" si="11"/>
        <v/>
      </c>
      <c r="R95" s="23">
        <v>0</v>
      </c>
      <c r="S95" s="23"/>
      <c r="T95" s="15" t="str">
        <f t="shared" si="12"/>
        <v/>
      </c>
      <c r="U95" s="22">
        <v>8522</v>
      </c>
      <c r="V95" s="23"/>
      <c r="W95" s="15">
        <f t="shared" si="13"/>
        <v>0</v>
      </c>
    </row>
    <row r="96" spans="1:23">
      <c r="A96" s="3">
        <v>84</v>
      </c>
      <c r="B96" s="8" t="s">
        <v>84</v>
      </c>
      <c r="C96" s="23">
        <v>0</v>
      </c>
      <c r="D96" s="23"/>
      <c r="E96" s="15" t="str">
        <f t="shared" si="14"/>
        <v/>
      </c>
      <c r="F96" s="22">
        <v>0</v>
      </c>
      <c r="G96" s="22"/>
      <c r="H96" s="15" t="str">
        <f t="shared" si="8"/>
        <v/>
      </c>
      <c r="I96" s="23">
        <v>0</v>
      </c>
      <c r="J96" s="23"/>
      <c r="K96" s="15" t="str">
        <f t="shared" si="9"/>
        <v/>
      </c>
      <c r="L96" s="23">
        <v>0</v>
      </c>
      <c r="M96" s="22"/>
      <c r="N96" s="15" t="str">
        <f t="shared" si="10"/>
        <v/>
      </c>
      <c r="O96" s="23">
        <v>0</v>
      </c>
      <c r="P96" s="23"/>
      <c r="Q96" s="15" t="str">
        <f t="shared" si="11"/>
        <v/>
      </c>
      <c r="R96" s="23">
        <v>0</v>
      </c>
      <c r="S96" s="23"/>
      <c r="T96" s="15" t="str">
        <f t="shared" si="12"/>
        <v/>
      </c>
      <c r="U96" s="22">
        <v>2587</v>
      </c>
      <c r="V96" s="23"/>
      <c r="W96" s="15">
        <f t="shared" si="13"/>
        <v>0</v>
      </c>
    </row>
    <row r="97" spans="1:23">
      <c r="A97" s="3">
        <v>85</v>
      </c>
      <c r="B97" s="8" t="s">
        <v>85</v>
      </c>
      <c r="C97" s="23">
        <v>0</v>
      </c>
      <c r="D97" s="23"/>
      <c r="E97" s="15" t="str">
        <f t="shared" si="14"/>
        <v/>
      </c>
      <c r="F97" s="22">
        <v>0</v>
      </c>
      <c r="G97" s="22"/>
      <c r="H97" s="15" t="str">
        <f t="shared" si="8"/>
        <v/>
      </c>
      <c r="I97" s="23">
        <v>0</v>
      </c>
      <c r="J97" s="23"/>
      <c r="K97" s="15" t="str">
        <f t="shared" si="9"/>
        <v/>
      </c>
      <c r="L97" s="23">
        <v>0</v>
      </c>
      <c r="M97" s="22"/>
      <c r="N97" s="15" t="str">
        <f t="shared" si="10"/>
        <v/>
      </c>
      <c r="O97" s="23">
        <v>0</v>
      </c>
      <c r="P97" s="23"/>
      <c r="Q97" s="15" t="str">
        <f t="shared" si="11"/>
        <v/>
      </c>
      <c r="R97" s="23">
        <v>0</v>
      </c>
      <c r="S97" s="23"/>
      <c r="T97" s="15" t="str">
        <f t="shared" si="12"/>
        <v/>
      </c>
      <c r="U97" s="22">
        <v>2881</v>
      </c>
      <c r="V97" s="23"/>
      <c r="W97" s="15">
        <f t="shared" si="13"/>
        <v>0</v>
      </c>
    </row>
    <row r="98" spans="1:23">
      <c r="A98" s="3">
        <v>86</v>
      </c>
      <c r="B98" s="8" t="s">
        <v>86</v>
      </c>
      <c r="C98" s="23">
        <v>0</v>
      </c>
      <c r="D98" s="23"/>
      <c r="E98" s="15" t="str">
        <f t="shared" si="14"/>
        <v/>
      </c>
      <c r="F98" s="22">
        <v>0</v>
      </c>
      <c r="G98" s="22"/>
      <c r="H98" s="15" t="str">
        <f t="shared" si="8"/>
        <v/>
      </c>
      <c r="I98" s="23">
        <v>0</v>
      </c>
      <c r="J98" s="23"/>
      <c r="K98" s="15" t="str">
        <f t="shared" si="9"/>
        <v/>
      </c>
      <c r="L98" s="23">
        <v>0</v>
      </c>
      <c r="M98" s="22"/>
      <c r="N98" s="15" t="str">
        <f t="shared" si="10"/>
        <v/>
      </c>
      <c r="O98" s="23">
        <v>0</v>
      </c>
      <c r="P98" s="23"/>
      <c r="Q98" s="15" t="str">
        <f t="shared" si="11"/>
        <v/>
      </c>
      <c r="R98" s="23">
        <v>0</v>
      </c>
      <c r="S98" s="23"/>
      <c r="T98" s="15" t="str">
        <f t="shared" si="12"/>
        <v/>
      </c>
      <c r="U98" s="22">
        <v>4164</v>
      </c>
      <c r="V98" s="23"/>
      <c r="W98" s="15">
        <f t="shared" si="13"/>
        <v>0</v>
      </c>
    </row>
    <row r="99" spans="1:23">
      <c r="A99" s="3">
        <v>87</v>
      </c>
      <c r="B99" s="8" t="s">
        <v>87</v>
      </c>
      <c r="C99" s="23">
        <v>0</v>
      </c>
      <c r="D99" s="23"/>
      <c r="E99" s="15" t="str">
        <f t="shared" si="14"/>
        <v/>
      </c>
      <c r="F99" s="22">
        <v>0</v>
      </c>
      <c r="G99" s="22"/>
      <c r="H99" s="15" t="str">
        <f t="shared" si="8"/>
        <v/>
      </c>
      <c r="I99" s="23">
        <v>0</v>
      </c>
      <c r="J99" s="23"/>
      <c r="K99" s="15" t="str">
        <f t="shared" si="9"/>
        <v/>
      </c>
      <c r="L99" s="23">
        <v>0</v>
      </c>
      <c r="M99" s="22"/>
      <c r="N99" s="15" t="str">
        <f t="shared" si="10"/>
        <v/>
      </c>
      <c r="O99" s="23">
        <v>0</v>
      </c>
      <c r="P99" s="23"/>
      <c r="Q99" s="15" t="str">
        <f t="shared" si="11"/>
        <v/>
      </c>
      <c r="R99" s="23">
        <v>9672</v>
      </c>
      <c r="S99" s="23"/>
      <c r="T99" s="15">
        <f t="shared" si="12"/>
        <v>0</v>
      </c>
      <c r="U99" s="22">
        <v>0</v>
      </c>
      <c r="V99" s="23"/>
      <c r="W99" s="15" t="str">
        <f t="shared" si="13"/>
        <v/>
      </c>
    </row>
    <row r="100" spans="1:23">
      <c r="A100" s="3">
        <v>88</v>
      </c>
      <c r="B100" s="8" t="s">
        <v>88</v>
      </c>
      <c r="C100" s="23">
        <v>0</v>
      </c>
      <c r="D100" s="23"/>
      <c r="E100" s="15" t="str">
        <f t="shared" si="14"/>
        <v/>
      </c>
      <c r="F100" s="22">
        <v>0</v>
      </c>
      <c r="G100" s="22"/>
      <c r="H100" s="15" t="str">
        <f t="shared" si="8"/>
        <v/>
      </c>
      <c r="I100" s="23">
        <v>0</v>
      </c>
      <c r="J100" s="23"/>
      <c r="K100" s="15" t="str">
        <f t="shared" si="9"/>
        <v/>
      </c>
      <c r="L100" s="23">
        <v>0</v>
      </c>
      <c r="M100" s="22"/>
      <c r="N100" s="15" t="str">
        <f t="shared" si="10"/>
        <v/>
      </c>
      <c r="O100" s="23">
        <v>0</v>
      </c>
      <c r="P100" s="23"/>
      <c r="Q100" s="15" t="str">
        <f t="shared" si="11"/>
        <v/>
      </c>
      <c r="R100" s="23">
        <v>3966</v>
      </c>
      <c r="S100" s="23"/>
      <c r="T100" s="15">
        <f t="shared" si="12"/>
        <v>0</v>
      </c>
      <c r="U100" s="22">
        <v>1262</v>
      </c>
      <c r="V100" s="23"/>
      <c r="W100" s="15">
        <f t="shared" si="13"/>
        <v>0</v>
      </c>
    </row>
    <row r="101" spans="1:23">
      <c r="A101" s="3">
        <v>89</v>
      </c>
      <c r="B101" s="8" t="s">
        <v>89</v>
      </c>
      <c r="C101" s="23">
        <v>0</v>
      </c>
      <c r="D101" s="23"/>
      <c r="E101" s="15" t="str">
        <f t="shared" si="14"/>
        <v/>
      </c>
      <c r="F101" s="22">
        <v>0</v>
      </c>
      <c r="G101" s="22"/>
      <c r="H101" s="15" t="str">
        <f t="shared" si="8"/>
        <v/>
      </c>
      <c r="I101" s="23">
        <v>0</v>
      </c>
      <c r="J101" s="23"/>
      <c r="K101" s="15" t="str">
        <f t="shared" si="9"/>
        <v/>
      </c>
      <c r="L101" s="23">
        <v>0</v>
      </c>
      <c r="M101" s="22"/>
      <c r="N101" s="15" t="str">
        <f t="shared" si="10"/>
        <v/>
      </c>
      <c r="O101" s="23">
        <v>0</v>
      </c>
      <c r="P101" s="23"/>
      <c r="Q101" s="15" t="str">
        <f t="shared" si="11"/>
        <v/>
      </c>
      <c r="R101" s="23">
        <v>8866</v>
      </c>
      <c r="S101" s="23"/>
      <c r="T101" s="15">
        <f t="shared" si="12"/>
        <v>0</v>
      </c>
      <c r="U101" s="22">
        <v>0</v>
      </c>
      <c r="V101" s="23"/>
      <c r="W101" s="15" t="str">
        <f t="shared" si="13"/>
        <v/>
      </c>
    </row>
    <row r="102" spans="1:23">
      <c r="A102" s="3">
        <v>90</v>
      </c>
      <c r="B102" s="8" t="s">
        <v>90</v>
      </c>
      <c r="C102" s="23">
        <v>0</v>
      </c>
      <c r="D102" s="23"/>
      <c r="E102" s="15" t="str">
        <f t="shared" si="14"/>
        <v/>
      </c>
      <c r="F102" s="22">
        <v>0</v>
      </c>
      <c r="G102" s="22"/>
      <c r="H102" s="15" t="str">
        <f t="shared" si="8"/>
        <v/>
      </c>
      <c r="I102" s="23">
        <v>0</v>
      </c>
      <c r="J102" s="23"/>
      <c r="K102" s="15" t="str">
        <f t="shared" si="9"/>
        <v/>
      </c>
      <c r="L102" s="23">
        <v>0</v>
      </c>
      <c r="M102" s="22"/>
      <c r="N102" s="15" t="str">
        <f t="shared" si="10"/>
        <v/>
      </c>
      <c r="O102" s="23">
        <v>0</v>
      </c>
      <c r="P102" s="23"/>
      <c r="Q102" s="15" t="str">
        <f t="shared" si="11"/>
        <v/>
      </c>
      <c r="R102" s="23">
        <v>15717</v>
      </c>
      <c r="S102" s="23"/>
      <c r="T102" s="15">
        <f t="shared" si="12"/>
        <v>0</v>
      </c>
      <c r="U102" s="22">
        <v>0</v>
      </c>
      <c r="V102" s="23"/>
      <c r="W102" s="15" t="str">
        <f t="shared" si="13"/>
        <v/>
      </c>
    </row>
    <row r="103" spans="1:23">
      <c r="A103" s="3">
        <v>91</v>
      </c>
      <c r="B103" s="8" t="s">
        <v>91</v>
      </c>
      <c r="C103" s="23">
        <v>0</v>
      </c>
      <c r="D103" s="23"/>
      <c r="E103" s="15" t="str">
        <f t="shared" si="14"/>
        <v/>
      </c>
      <c r="F103" s="22">
        <v>0</v>
      </c>
      <c r="G103" s="22"/>
      <c r="H103" s="15" t="str">
        <f t="shared" si="8"/>
        <v/>
      </c>
      <c r="I103" s="23">
        <v>0</v>
      </c>
      <c r="J103" s="23"/>
      <c r="K103" s="15" t="str">
        <f t="shared" si="9"/>
        <v/>
      </c>
      <c r="L103" s="23">
        <v>0</v>
      </c>
      <c r="M103" s="22"/>
      <c r="N103" s="15" t="str">
        <f t="shared" si="10"/>
        <v/>
      </c>
      <c r="O103" s="23">
        <v>0</v>
      </c>
      <c r="P103" s="23"/>
      <c r="Q103" s="15" t="str">
        <f t="shared" si="11"/>
        <v/>
      </c>
      <c r="R103" s="23">
        <v>19344</v>
      </c>
      <c r="S103" s="23"/>
      <c r="T103" s="15">
        <f t="shared" si="12"/>
        <v>0</v>
      </c>
      <c r="U103" s="22">
        <v>0</v>
      </c>
      <c r="V103" s="23"/>
      <c r="W103" s="15" t="str">
        <f t="shared" si="13"/>
        <v/>
      </c>
    </row>
    <row r="104" spans="1:23">
      <c r="A104" s="3">
        <v>92</v>
      </c>
      <c r="B104" s="8" t="s">
        <v>92</v>
      </c>
      <c r="C104" s="23">
        <v>0</v>
      </c>
      <c r="D104" s="23"/>
      <c r="E104" s="15" t="str">
        <f t="shared" si="14"/>
        <v/>
      </c>
      <c r="F104" s="22">
        <v>0</v>
      </c>
      <c r="G104" s="22"/>
      <c r="H104" s="15" t="str">
        <f t="shared" si="8"/>
        <v/>
      </c>
      <c r="I104" s="23">
        <v>0</v>
      </c>
      <c r="J104" s="23"/>
      <c r="K104" s="15" t="str">
        <f t="shared" si="9"/>
        <v/>
      </c>
      <c r="L104" s="23">
        <v>0</v>
      </c>
      <c r="M104" s="22"/>
      <c r="N104" s="15" t="str">
        <f t="shared" si="10"/>
        <v/>
      </c>
      <c r="O104" s="23">
        <v>0</v>
      </c>
      <c r="P104" s="23"/>
      <c r="Q104" s="15" t="str">
        <f t="shared" si="11"/>
        <v/>
      </c>
      <c r="R104" s="23">
        <v>0</v>
      </c>
      <c r="S104" s="23"/>
      <c r="T104" s="15" t="str">
        <f t="shared" si="12"/>
        <v/>
      </c>
      <c r="U104" s="22">
        <v>14052</v>
      </c>
      <c r="V104" s="23"/>
      <c r="W104" s="15">
        <f t="shared" si="13"/>
        <v>0</v>
      </c>
    </row>
    <row r="105" spans="1:23">
      <c r="A105" s="3">
        <v>93</v>
      </c>
      <c r="B105" s="8" t="s">
        <v>93</v>
      </c>
      <c r="C105" s="23">
        <v>0</v>
      </c>
      <c r="D105" s="23"/>
      <c r="E105" s="15" t="str">
        <f t="shared" si="14"/>
        <v/>
      </c>
      <c r="F105" s="22">
        <v>0</v>
      </c>
      <c r="G105" s="22"/>
      <c r="H105" s="15" t="str">
        <f t="shared" si="8"/>
        <v/>
      </c>
      <c r="I105" s="23">
        <v>0</v>
      </c>
      <c r="J105" s="23"/>
      <c r="K105" s="15" t="str">
        <f t="shared" si="9"/>
        <v/>
      </c>
      <c r="L105" s="22">
        <v>7465</v>
      </c>
      <c r="M105" s="22"/>
      <c r="N105" s="15">
        <f t="shared" si="10"/>
        <v>0</v>
      </c>
      <c r="O105" s="23">
        <v>0</v>
      </c>
      <c r="P105" s="23"/>
      <c r="Q105" s="15" t="str">
        <f t="shared" si="11"/>
        <v/>
      </c>
      <c r="R105" s="23">
        <v>13299</v>
      </c>
      <c r="S105" s="23"/>
      <c r="T105" s="15">
        <f t="shared" si="12"/>
        <v>0</v>
      </c>
      <c r="U105" s="22">
        <v>0</v>
      </c>
      <c r="V105" s="23"/>
      <c r="W105" s="15" t="str">
        <f t="shared" si="13"/>
        <v/>
      </c>
    </row>
    <row r="106" spans="1:23">
      <c r="A106" s="3">
        <v>94</v>
      </c>
      <c r="B106" s="8" t="s">
        <v>94</v>
      </c>
      <c r="C106" s="23">
        <v>0</v>
      </c>
      <c r="D106" s="23"/>
      <c r="E106" s="15" t="str">
        <f t="shared" si="14"/>
        <v/>
      </c>
      <c r="F106" s="22">
        <v>0</v>
      </c>
      <c r="G106" s="22"/>
      <c r="H106" s="15" t="str">
        <f t="shared" si="8"/>
        <v/>
      </c>
      <c r="I106" s="23">
        <v>0</v>
      </c>
      <c r="J106" s="23"/>
      <c r="K106" s="15" t="str">
        <f t="shared" si="9"/>
        <v/>
      </c>
      <c r="L106" s="23">
        <v>0</v>
      </c>
      <c r="M106" s="22"/>
      <c r="N106" s="15" t="str">
        <f t="shared" si="10"/>
        <v/>
      </c>
      <c r="O106" s="23">
        <v>0</v>
      </c>
      <c r="P106" s="23"/>
      <c r="Q106" s="15" t="str">
        <f t="shared" si="11"/>
        <v/>
      </c>
      <c r="R106" s="23">
        <v>0</v>
      </c>
      <c r="S106" s="23"/>
      <c r="T106" s="15" t="str">
        <f t="shared" si="12"/>
        <v/>
      </c>
      <c r="U106" s="22">
        <v>5183</v>
      </c>
      <c r="V106" s="23"/>
      <c r="W106" s="15">
        <f t="shared" si="13"/>
        <v>0</v>
      </c>
    </row>
    <row r="107" spans="1:23">
      <c r="A107" s="3">
        <v>95</v>
      </c>
      <c r="B107" s="8" t="s">
        <v>130</v>
      </c>
      <c r="C107" s="23">
        <v>0</v>
      </c>
      <c r="D107" s="23"/>
      <c r="E107" s="15" t="str">
        <f t="shared" si="14"/>
        <v/>
      </c>
      <c r="F107" s="22">
        <v>0</v>
      </c>
      <c r="G107" s="22"/>
      <c r="H107" s="15" t="str">
        <f t="shared" si="8"/>
        <v/>
      </c>
      <c r="I107" s="23">
        <v>0</v>
      </c>
      <c r="J107" s="23"/>
      <c r="K107" s="15" t="str">
        <f t="shared" si="9"/>
        <v/>
      </c>
      <c r="L107" s="23">
        <v>0</v>
      </c>
      <c r="M107" s="22"/>
      <c r="N107" s="15" t="str">
        <f t="shared" si="10"/>
        <v/>
      </c>
      <c r="O107" s="23">
        <v>0</v>
      </c>
      <c r="P107" s="23"/>
      <c r="Q107" s="15" t="str">
        <f t="shared" si="11"/>
        <v/>
      </c>
      <c r="R107" s="23">
        <v>0</v>
      </c>
      <c r="S107" s="23"/>
      <c r="T107" s="15" t="str">
        <f t="shared" si="12"/>
        <v/>
      </c>
      <c r="U107" s="22">
        <v>0</v>
      </c>
      <c r="V107" s="23"/>
      <c r="W107" s="15" t="str">
        <f t="shared" si="13"/>
        <v/>
      </c>
    </row>
    <row r="108" spans="1:23">
      <c r="A108" s="3">
        <v>96</v>
      </c>
      <c r="B108" s="8" t="s">
        <v>95</v>
      </c>
      <c r="C108" s="23">
        <v>0</v>
      </c>
      <c r="D108" s="23"/>
      <c r="E108" s="15" t="str">
        <f t="shared" si="14"/>
        <v/>
      </c>
      <c r="F108" s="22">
        <v>0</v>
      </c>
      <c r="G108" s="22"/>
      <c r="H108" s="15" t="str">
        <f t="shared" si="8"/>
        <v/>
      </c>
      <c r="I108" s="23">
        <v>0</v>
      </c>
      <c r="J108" s="23"/>
      <c r="K108" s="15" t="str">
        <f t="shared" si="9"/>
        <v/>
      </c>
      <c r="L108" s="22">
        <v>27440</v>
      </c>
      <c r="M108" s="22"/>
      <c r="N108" s="15">
        <f t="shared" si="10"/>
        <v>0</v>
      </c>
      <c r="O108" s="23">
        <v>5216</v>
      </c>
      <c r="P108" s="23"/>
      <c r="Q108" s="15">
        <f t="shared" si="11"/>
        <v>0</v>
      </c>
      <c r="R108" s="22">
        <v>32656</v>
      </c>
      <c r="S108" s="22"/>
      <c r="T108" s="15">
        <f t="shared" si="12"/>
        <v>0</v>
      </c>
      <c r="U108" s="22">
        <v>0</v>
      </c>
      <c r="V108" s="23"/>
      <c r="W108" s="15" t="str">
        <f t="shared" si="13"/>
        <v/>
      </c>
    </row>
    <row r="109" spans="1:23">
      <c r="A109" s="3">
        <v>97</v>
      </c>
      <c r="B109" s="8" t="s">
        <v>96</v>
      </c>
      <c r="C109" s="23">
        <v>0</v>
      </c>
      <c r="D109" s="23"/>
      <c r="E109" s="15" t="str">
        <f t="shared" si="14"/>
        <v/>
      </c>
      <c r="F109" s="22">
        <v>0</v>
      </c>
      <c r="G109" s="22"/>
      <c r="H109" s="15" t="str">
        <f t="shared" si="8"/>
        <v/>
      </c>
      <c r="I109" s="23">
        <v>0</v>
      </c>
      <c r="J109" s="23"/>
      <c r="K109" s="15" t="str">
        <f t="shared" si="9"/>
        <v/>
      </c>
      <c r="L109" s="22">
        <v>19315</v>
      </c>
      <c r="M109" s="22"/>
      <c r="N109" s="15">
        <f t="shared" si="10"/>
        <v>0</v>
      </c>
      <c r="O109" s="23">
        <v>2357</v>
      </c>
      <c r="P109" s="23"/>
      <c r="Q109" s="15">
        <f t="shared" si="11"/>
        <v>0</v>
      </c>
      <c r="R109" s="22">
        <v>21672</v>
      </c>
      <c r="S109" s="22"/>
      <c r="T109" s="15">
        <f t="shared" si="12"/>
        <v>0</v>
      </c>
      <c r="U109" s="22">
        <v>0</v>
      </c>
      <c r="V109" s="23"/>
      <c r="W109" s="15" t="str">
        <f t="shared" si="13"/>
        <v/>
      </c>
    </row>
    <row r="110" spans="1:23">
      <c r="A110" s="3">
        <v>98</v>
      </c>
      <c r="B110" s="8" t="s">
        <v>97</v>
      </c>
      <c r="C110" s="23">
        <v>0</v>
      </c>
      <c r="D110" s="23"/>
      <c r="E110" s="15" t="str">
        <f t="shared" si="14"/>
        <v/>
      </c>
      <c r="F110" s="22">
        <v>0</v>
      </c>
      <c r="G110" s="22"/>
      <c r="H110" s="15" t="str">
        <f t="shared" si="8"/>
        <v/>
      </c>
      <c r="I110" s="23">
        <v>0</v>
      </c>
      <c r="J110" s="23"/>
      <c r="K110" s="15" t="str">
        <f t="shared" si="9"/>
        <v/>
      </c>
      <c r="L110" s="22">
        <v>19792</v>
      </c>
      <c r="M110" s="22"/>
      <c r="N110" s="15">
        <f t="shared" si="10"/>
        <v>0</v>
      </c>
      <c r="O110" s="23">
        <v>2569</v>
      </c>
      <c r="P110" s="23"/>
      <c r="Q110" s="15">
        <f t="shared" si="11"/>
        <v>0</v>
      </c>
      <c r="R110" s="22">
        <v>22361</v>
      </c>
      <c r="S110" s="22"/>
      <c r="T110" s="15">
        <f t="shared" si="12"/>
        <v>0</v>
      </c>
      <c r="U110" s="22">
        <v>0</v>
      </c>
      <c r="V110" s="23"/>
      <c r="W110" s="15" t="str">
        <f t="shared" si="13"/>
        <v/>
      </c>
    </row>
    <row r="111" spans="1:23">
      <c r="A111" s="3">
        <v>99</v>
      </c>
      <c r="B111" s="8" t="s">
        <v>98</v>
      </c>
      <c r="C111" s="23">
        <v>0</v>
      </c>
      <c r="D111" s="23"/>
      <c r="E111" s="15" t="str">
        <f t="shared" si="14"/>
        <v/>
      </c>
      <c r="F111" s="22">
        <v>0</v>
      </c>
      <c r="G111" s="22"/>
      <c r="H111" s="15" t="str">
        <f t="shared" si="8"/>
        <v/>
      </c>
      <c r="I111" s="23">
        <v>0</v>
      </c>
      <c r="J111" s="23"/>
      <c r="K111" s="15" t="str">
        <f t="shared" si="9"/>
        <v/>
      </c>
      <c r="L111" s="22">
        <v>19178</v>
      </c>
      <c r="M111" s="22"/>
      <c r="N111" s="15">
        <f t="shared" si="10"/>
        <v>0</v>
      </c>
      <c r="O111" s="23">
        <v>5272</v>
      </c>
      <c r="P111" s="23"/>
      <c r="Q111" s="15">
        <f t="shared" si="11"/>
        <v>0</v>
      </c>
      <c r="R111" s="22">
        <v>24450</v>
      </c>
      <c r="S111" s="22"/>
      <c r="T111" s="15">
        <f t="shared" si="12"/>
        <v>0</v>
      </c>
      <c r="U111" s="22">
        <v>0</v>
      </c>
      <c r="V111" s="23"/>
      <c r="W111" s="15" t="str">
        <f t="shared" si="13"/>
        <v/>
      </c>
    </row>
    <row r="112" spans="1:23">
      <c r="A112" s="3">
        <v>100</v>
      </c>
      <c r="B112" s="8" t="s">
        <v>135</v>
      </c>
      <c r="C112" s="23">
        <v>0</v>
      </c>
      <c r="D112" s="23"/>
      <c r="E112" s="15" t="str">
        <f t="shared" si="14"/>
        <v/>
      </c>
      <c r="F112" s="22">
        <v>0</v>
      </c>
      <c r="G112" s="22"/>
      <c r="H112" s="15" t="str">
        <f t="shared" si="8"/>
        <v/>
      </c>
      <c r="I112" s="23">
        <v>1360.7999999999997</v>
      </c>
      <c r="J112" s="23"/>
      <c r="K112" s="15">
        <f t="shared" si="9"/>
        <v>0</v>
      </c>
      <c r="L112" s="22">
        <v>24848</v>
      </c>
      <c r="M112" s="22"/>
      <c r="N112" s="15">
        <f t="shared" si="10"/>
        <v>0</v>
      </c>
      <c r="O112" s="23">
        <v>8619</v>
      </c>
      <c r="P112" s="23"/>
      <c r="Q112" s="15">
        <f t="shared" si="11"/>
        <v>0</v>
      </c>
      <c r="R112" s="22">
        <v>33467</v>
      </c>
      <c r="S112" s="22"/>
      <c r="T112" s="15">
        <f t="shared" si="12"/>
        <v>0</v>
      </c>
      <c r="U112" s="22">
        <v>0</v>
      </c>
      <c r="V112" s="23"/>
      <c r="W112" s="15" t="str">
        <f t="shared" si="13"/>
        <v/>
      </c>
    </row>
    <row r="113" spans="1:23">
      <c r="A113" s="3">
        <v>101</v>
      </c>
      <c r="B113" s="8" t="s">
        <v>99</v>
      </c>
      <c r="C113" s="23">
        <v>0</v>
      </c>
      <c r="D113" s="23"/>
      <c r="E113" s="15" t="str">
        <f t="shared" si="14"/>
        <v/>
      </c>
      <c r="F113" s="22">
        <v>0</v>
      </c>
      <c r="G113" s="22"/>
      <c r="H113" s="15" t="str">
        <f t="shared" si="8"/>
        <v/>
      </c>
      <c r="I113" s="23">
        <v>0</v>
      </c>
      <c r="J113" s="23"/>
      <c r="K113" s="15" t="str">
        <f t="shared" si="9"/>
        <v/>
      </c>
      <c r="L113" s="22">
        <v>26070.799999999999</v>
      </c>
      <c r="M113" s="22"/>
      <c r="N113" s="15">
        <f t="shared" si="10"/>
        <v>0</v>
      </c>
      <c r="O113" s="23">
        <v>3939</v>
      </c>
      <c r="P113" s="23"/>
      <c r="Q113" s="15">
        <f t="shared" si="11"/>
        <v>0</v>
      </c>
      <c r="R113" s="22">
        <v>30009.8</v>
      </c>
      <c r="S113" s="22"/>
      <c r="T113" s="15">
        <f t="shared" si="12"/>
        <v>0</v>
      </c>
      <c r="U113" s="22">
        <v>0</v>
      </c>
      <c r="V113" s="23"/>
      <c r="W113" s="15" t="str">
        <f t="shared" si="13"/>
        <v/>
      </c>
    </row>
    <row r="114" spans="1:23">
      <c r="A114" s="3">
        <v>102</v>
      </c>
      <c r="B114" s="8" t="s">
        <v>100</v>
      </c>
      <c r="C114" s="23">
        <v>0</v>
      </c>
      <c r="D114" s="23"/>
      <c r="E114" s="15" t="str">
        <f t="shared" si="14"/>
        <v/>
      </c>
      <c r="F114" s="22">
        <v>0</v>
      </c>
      <c r="G114" s="22"/>
      <c r="H114" s="15" t="str">
        <f t="shared" si="8"/>
        <v/>
      </c>
      <c r="I114" s="23">
        <v>0</v>
      </c>
      <c r="J114" s="23"/>
      <c r="K114" s="15" t="str">
        <f t="shared" si="9"/>
        <v/>
      </c>
      <c r="L114" s="22">
        <v>15922</v>
      </c>
      <c r="M114" s="22"/>
      <c r="N114" s="15">
        <f t="shared" si="10"/>
        <v>0</v>
      </c>
      <c r="O114" s="23">
        <v>6230</v>
      </c>
      <c r="P114" s="23"/>
      <c r="Q114" s="15">
        <f t="shared" si="11"/>
        <v>0</v>
      </c>
      <c r="R114" s="22">
        <v>22152</v>
      </c>
      <c r="S114" s="22"/>
      <c r="T114" s="15">
        <f t="shared" si="12"/>
        <v>0</v>
      </c>
      <c r="U114" s="22">
        <v>0</v>
      </c>
      <c r="V114" s="23"/>
      <c r="W114" s="15" t="str">
        <f t="shared" si="13"/>
        <v/>
      </c>
    </row>
    <row r="115" spans="1:23">
      <c r="A115" s="3">
        <v>103</v>
      </c>
      <c r="B115" s="8" t="s">
        <v>101</v>
      </c>
      <c r="C115" s="23">
        <v>0</v>
      </c>
      <c r="D115" s="23"/>
      <c r="E115" s="15" t="str">
        <f t="shared" si="14"/>
        <v/>
      </c>
      <c r="F115" s="22">
        <v>0</v>
      </c>
      <c r="G115" s="22"/>
      <c r="H115" s="15" t="str">
        <f t="shared" si="8"/>
        <v/>
      </c>
      <c r="I115" s="23">
        <v>0</v>
      </c>
      <c r="J115" s="23"/>
      <c r="K115" s="15" t="str">
        <f t="shared" si="9"/>
        <v/>
      </c>
      <c r="L115" s="22">
        <v>27436</v>
      </c>
      <c r="M115" s="22"/>
      <c r="N115" s="15">
        <f t="shared" si="10"/>
        <v>0</v>
      </c>
      <c r="O115" s="23">
        <v>6760</v>
      </c>
      <c r="P115" s="23"/>
      <c r="Q115" s="15">
        <f t="shared" si="11"/>
        <v>0</v>
      </c>
      <c r="R115" s="22">
        <v>34196</v>
      </c>
      <c r="S115" s="22"/>
      <c r="T115" s="15">
        <f t="shared" si="12"/>
        <v>0</v>
      </c>
      <c r="U115" s="22">
        <v>0</v>
      </c>
      <c r="V115" s="23"/>
      <c r="W115" s="15" t="str">
        <f t="shared" si="13"/>
        <v/>
      </c>
    </row>
    <row r="116" spans="1:23">
      <c r="A116" s="3">
        <v>104</v>
      </c>
      <c r="B116" s="8" t="s">
        <v>102</v>
      </c>
      <c r="C116" s="23">
        <v>0</v>
      </c>
      <c r="D116" s="23"/>
      <c r="E116" s="15" t="str">
        <f t="shared" si="14"/>
        <v/>
      </c>
      <c r="F116" s="22">
        <v>0</v>
      </c>
      <c r="G116" s="22"/>
      <c r="H116" s="15" t="str">
        <f t="shared" si="8"/>
        <v/>
      </c>
      <c r="I116" s="23">
        <v>0</v>
      </c>
      <c r="J116" s="23"/>
      <c r="K116" s="15" t="str">
        <f t="shared" si="9"/>
        <v/>
      </c>
      <c r="L116" s="23">
        <v>0</v>
      </c>
      <c r="M116" s="22"/>
      <c r="N116" s="15" t="str">
        <f t="shared" si="10"/>
        <v/>
      </c>
      <c r="O116" s="23">
        <v>0</v>
      </c>
      <c r="P116" s="23"/>
      <c r="Q116" s="15" t="str">
        <f t="shared" si="11"/>
        <v/>
      </c>
      <c r="R116" s="23">
        <v>0</v>
      </c>
      <c r="S116" s="23"/>
      <c r="T116" s="15" t="str">
        <f t="shared" si="12"/>
        <v/>
      </c>
      <c r="U116" s="22">
        <v>6878</v>
      </c>
      <c r="V116" s="23"/>
      <c r="W116" s="15">
        <f t="shared" si="13"/>
        <v>0</v>
      </c>
    </row>
    <row r="117" spans="1:23">
      <c r="A117" s="3">
        <v>105</v>
      </c>
      <c r="B117" s="8" t="s">
        <v>103</v>
      </c>
      <c r="C117" s="23">
        <v>0</v>
      </c>
      <c r="D117" s="23"/>
      <c r="E117" s="15" t="str">
        <f t="shared" si="14"/>
        <v/>
      </c>
      <c r="F117" s="22">
        <v>0</v>
      </c>
      <c r="G117" s="22"/>
      <c r="H117" s="15" t="str">
        <f t="shared" si="8"/>
        <v/>
      </c>
      <c r="I117" s="23">
        <v>0</v>
      </c>
      <c r="J117" s="23"/>
      <c r="K117" s="15" t="str">
        <f t="shared" si="9"/>
        <v/>
      </c>
      <c r="L117" s="23">
        <v>0</v>
      </c>
      <c r="M117" s="22"/>
      <c r="N117" s="15" t="str">
        <f t="shared" si="10"/>
        <v/>
      </c>
      <c r="O117" s="23">
        <v>0</v>
      </c>
      <c r="P117" s="23"/>
      <c r="Q117" s="15" t="str">
        <f t="shared" si="11"/>
        <v/>
      </c>
      <c r="R117" s="23">
        <v>0</v>
      </c>
      <c r="S117" s="23"/>
      <c r="T117" s="15" t="str">
        <f t="shared" si="12"/>
        <v/>
      </c>
      <c r="U117" s="22">
        <v>8518</v>
      </c>
      <c r="V117" s="23"/>
      <c r="W117" s="15">
        <f t="shared" si="13"/>
        <v>0</v>
      </c>
    </row>
    <row r="118" spans="1:23">
      <c r="A118" s="3">
        <v>106</v>
      </c>
      <c r="B118" s="8" t="s">
        <v>104</v>
      </c>
      <c r="C118" s="23">
        <v>0</v>
      </c>
      <c r="D118" s="23"/>
      <c r="E118" s="15" t="str">
        <f t="shared" si="14"/>
        <v/>
      </c>
      <c r="F118" s="22">
        <v>0</v>
      </c>
      <c r="G118" s="22"/>
      <c r="H118" s="15" t="str">
        <f t="shared" si="8"/>
        <v/>
      </c>
      <c r="I118" s="23">
        <v>0</v>
      </c>
      <c r="J118" s="23"/>
      <c r="K118" s="15" t="str">
        <f t="shared" si="9"/>
        <v/>
      </c>
      <c r="L118" s="23">
        <v>0</v>
      </c>
      <c r="M118" s="22"/>
      <c r="N118" s="15" t="str">
        <f t="shared" si="10"/>
        <v/>
      </c>
      <c r="O118" s="23">
        <v>0</v>
      </c>
      <c r="P118" s="23"/>
      <c r="Q118" s="15" t="str">
        <f t="shared" si="11"/>
        <v/>
      </c>
      <c r="R118" s="23">
        <v>0</v>
      </c>
      <c r="S118" s="23"/>
      <c r="T118" s="15" t="str">
        <f t="shared" si="12"/>
        <v/>
      </c>
      <c r="U118" s="22">
        <v>6162</v>
      </c>
      <c r="V118" s="23"/>
      <c r="W118" s="15">
        <f t="shared" si="13"/>
        <v>0</v>
      </c>
    </row>
    <row r="119" spans="1:23">
      <c r="A119" s="3">
        <v>107</v>
      </c>
      <c r="B119" s="8" t="s">
        <v>105</v>
      </c>
      <c r="C119" s="23">
        <v>0</v>
      </c>
      <c r="D119" s="23"/>
      <c r="E119" s="15" t="str">
        <f t="shared" si="14"/>
        <v/>
      </c>
      <c r="F119" s="22">
        <v>0</v>
      </c>
      <c r="G119" s="22"/>
      <c r="H119" s="15" t="str">
        <f t="shared" si="8"/>
        <v/>
      </c>
      <c r="I119" s="23">
        <v>0</v>
      </c>
      <c r="J119" s="23"/>
      <c r="K119" s="15" t="str">
        <f t="shared" si="9"/>
        <v/>
      </c>
      <c r="L119" s="23">
        <v>0</v>
      </c>
      <c r="M119" s="22"/>
      <c r="N119" s="15" t="str">
        <f t="shared" si="10"/>
        <v/>
      </c>
      <c r="O119" s="23">
        <v>0</v>
      </c>
      <c r="P119" s="23"/>
      <c r="Q119" s="15" t="str">
        <f t="shared" si="11"/>
        <v/>
      </c>
      <c r="R119" s="23">
        <v>0</v>
      </c>
      <c r="S119" s="23"/>
      <c r="T119" s="15" t="str">
        <f t="shared" si="12"/>
        <v/>
      </c>
      <c r="U119" s="22">
        <v>2560</v>
      </c>
      <c r="V119" s="23"/>
      <c r="W119" s="15">
        <f t="shared" si="13"/>
        <v>0</v>
      </c>
    </row>
    <row r="120" spans="1:23">
      <c r="A120" s="3">
        <v>108</v>
      </c>
      <c r="B120" s="8" t="s">
        <v>106</v>
      </c>
      <c r="C120" s="23">
        <v>0</v>
      </c>
      <c r="D120" s="23"/>
      <c r="E120" s="15" t="str">
        <f t="shared" si="14"/>
        <v/>
      </c>
      <c r="F120" s="22">
        <v>0</v>
      </c>
      <c r="G120" s="22"/>
      <c r="H120" s="15" t="str">
        <f t="shared" si="8"/>
        <v/>
      </c>
      <c r="I120" s="23">
        <v>0</v>
      </c>
      <c r="J120" s="23"/>
      <c r="K120" s="15" t="str">
        <f t="shared" si="9"/>
        <v/>
      </c>
      <c r="L120" s="23">
        <v>0</v>
      </c>
      <c r="M120" s="22"/>
      <c r="N120" s="15" t="str">
        <f t="shared" si="10"/>
        <v/>
      </c>
      <c r="O120" s="23">
        <v>0</v>
      </c>
      <c r="P120" s="23"/>
      <c r="Q120" s="15" t="str">
        <f t="shared" si="11"/>
        <v/>
      </c>
      <c r="R120" s="23">
        <v>0</v>
      </c>
      <c r="S120" s="23"/>
      <c r="T120" s="15" t="str">
        <f t="shared" si="12"/>
        <v/>
      </c>
      <c r="U120" s="22">
        <v>8114</v>
      </c>
      <c r="V120" s="23"/>
      <c r="W120" s="15">
        <f t="shared" si="13"/>
        <v>0</v>
      </c>
    </row>
    <row r="121" spans="1:23">
      <c r="A121" s="3">
        <v>109</v>
      </c>
      <c r="B121" s="8" t="s">
        <v>107</v>
      </c>
      <c r="C121" s="23">
        <v>0</v>
      </c>
      <c r="D121" s="23"/>
      <c r="E121" s="15" t="str">
        <f t="shared" si="14"/>
        <v/>
      </c>
      <c r="F121" s="22">
        <v>0</v>
      </c>
      <c r="G121" s="22"/>
      <c r="H121" s="15" t="str">
        <f t="shared" si="8"/>
        <v/>
      </c>
      <c r="I121" s="23">
        <v>0</v>
      </c>
      <c r="J121" s="23"/>
      <c r="K121" s="15" t="str">
        <f t="shared" si="9"/>
        <v/>
      </c>
      <c r="L121" s="23">
        <v>0</v>
      </c>
      <c r="M121" s="22"/>
      <c r="N121" s="15" t="str">
        <f t="shared" si="10"/>
        <v/>
      </c>
      <c r="O121" s="23">
        <v>0</v>
      </c>
      <c r="P121" s="23"/>
      <c r="Q121" s="15" t="str">
        <f t="shared" si="11"/>
        <v/>
      </c>
      <c r="R121" s="23">
        <v>0</v>
      </c>
      <c r="S121" s="23"/>
      <c r="T121" s="15" t="str">
        <f t="shared" si="12"/>
        <v/>
      </c>
      <c r="U121" s="22">
        <v>4157</v>
      </c>
      <c r="V121" s="23"/>
      <c r="W121" s="15">
        <f t="shared" si="13"/>
        <v>0</v>
      </c>
    </row>
    <row r="122" spans="1:23">
      <c r="A122" s="3">
        <v>110</v>
      </c>
      <c r="B122" s="8" t="s">
        <v>108</v>
      </c>
      <c r="C122" s="23">
        <v>0</v>
      </c>
      <c r="D122" s="23"/>
      <c r="E122" s="15" t="str">
        <f t="shared" si="14"/>
        <v/>
      </c>
      <c r="F122" s="22">
        <v>0</v>
      </c>
      <c r="G122" s="22"/>
      <c r="H122" s="15" t="str">
        <f t="shared" si="8"/>
        <v/>
      </c>
      <c r="I122" s="23">
        <v>0</v>
      </c>
      <c r="J122" s="23"/>
      <c r="K122" s="15" t="str">
        <f t="shared" si="9"/>
        <v/>
      </c>
      <c r="L122" s="23">
        <v>0</v>
      </c>
      <c r="M122" s="22"/>
      <c r="N122" s="15" t="str">
        <f t="shared" si="10"/>
        <v/>
      </c>
      <c r="O122" s="23">
        <v>0</v>
      </c>
      <c r="P122" s="23"/>
      <c r="Q122" s="15" t="str">
        <f t="shared" si="11"/>
        <v/>
      </c>
      <c r="R122" s="23">
        <v>0</v>
      </c>
      <c r="S122" s="23"/>
      <c r="T122" s="15" t="str">
        <f t="shared" si="12"/>
        <v/>
      </c>
      <c r="U122" s="22">
        <v>5169</v>
      </c>
      <c r="V122" s="23"/>
      <c r="W122" s="15">
        <f t="shared" si="13"/>
        <v>0</v>
      </c>
    </row>
    <row r="123" spans="1:23">
      <c r="A123" s="3">
        <v>111</v>
      </c>
      <c r="B123" s="8" t="s">
        <v>109</v>
      </c>
      <c r="C123" s="23">
        <v>0</v>
      </c>
      <c r="D123" s="23"/>
      <c r="E123" s="15" t="str">
        <f t="shared" si="14"/>
        <v/>
      </c>
      <c r="F123" s="22">
        <v>0</v>
      </c>
      <c r="G123" s="22"/>
      <c r="H123" s="15" t="str">
        <f t="shared" si="8"/>
        <v/>
      </c>
      <c r="I123" s="23">
        <v>0</v>
      </c>
      <c r="J123" s="23"/>
      <c r="K123" s="15" t="str">
        <f t="shared" si="9"/>
        <v/>
      </c>
      <c r="L123" s="22">
        <v>23695</v>
      </c>
      <c r="M123" s="22"/>
      <c r="N123" s="15">
        <f t="shared" si="10"/>
        <v>0</v>
      </c>
      <c r="O123" s="23">
        <v>19320</v>
      </c>
      <c r="P123" s="23"/>
      <c r="Q123" s="15">
        <f t="shared" si="11"/>
        <v>0</v>
      </c>
      <c r="R123" s="22">
        <v>43015</v>
      </c>
      <c r="S123" s="22"/>
      <c r="T123" s="15">
        <f t="shared" si="12"/>
        <v>0</v>
      </c>
      <c r="U123" s="22">
        <v>0</v>
      </c>
      <c r="V123" s="23"/>
      <c r="W123" s="15" t="str">
        <f t="shared" si="13"/>
        <v/>
      </c>
    </row>
    <row r="124" spans="1:23">
      <c r="A124" s="3">
        <v>112</v>
      </c>
      <c r="B124" s="8" t="s">
        <v>136</v>
      </c>
      <c r="C124" s="23">
        <v>0</v>
      </c>
      <c r="D124" s="23"/>
      <c r="E124" s="15" t="str">
        <f t="shared" si="14"/>
        <v/>
      </c>
      <c r="F124" s="22">
        <v>0</v>
      </c>
      <c r="G124" s="22"/>
      <c r="H124" s="15" t="str">
        <f t="shared" si="8"/>
        <v/>
      </c>
      <c r="I124" s="23">
        <v>0</v>
      </c>
      <c r="J124" s="23"/>
      <c r="K124" s="15" t="str">
        <f t="shared" si="9"/>
        <v/>
      </c>
      <c r="L124" s="22">
        <v>29152</v>
      </c>
      <c r="M124" s="22"/>
      <c r="N124" s="15">
        <f t="shared" si="10"/>
        <v>0</v>
      </c>
      <c r="O124" s="23">
        <v>25020</v>
      </c>
      <c r="P124" s="23"/>
      <c r="Q124" s="15">
        <f t="shared" si="11"/>
        <v>0</v>
      </c>
      <c r="R124" s="22">
        <v>54172</v>
      </c>
      <c r="S124" s="22"/>
      <c r="T124" s="15">
        <f t="shared" si="12"/>
        <v>0</v>
      </c>
      <c r="U124" s="22">
        <v>0</v>
      </c>
      <c r="V124" s="23"/>
      <c r="W124" s="15" t="str">
        <f t="shared" si="13"/>
        <v/>
      </c>
    </row>
    <row r="125" spans="1:23">
      <c r="A125" s="3">
        <v>113</v>
      </c>
      <c r="B125" s="8" t="s">
        <v>110</v>
      </c>
      <c r="C125" s="23">
        <v>0</v>
      </c>
      <c r="D125" s="23"/>
      <c r="E125" s="15" t="str">
        <f t="shared" si="14"/>
        <v/>
      </c>
      <c r="F125" s="22">
        <v>0</v>
      </c>
      <c r="G125" s="22"/>
      <c r="H125" s="15" t="str">
        <f t="shared" si="8"/>
        <v/>
      </c>
      <c r="I125" s="23">
        <v>0</v>
      </c>
      <c r="J125" s="23"/>
      <c r="K125" s="15" t="str">
        <f t="shared" si="9"/>
        <v/>
      </c>
      <c r="L125" s="22">
        <v>41097</v>
      </c>
      <c r="M125" s="22"/>
      <c r="N125" s="15">
        <f t="shared" si="10"/>
        <v>0</v>
      </c>
      <c r="O125" s="23">
        <v>16464</v>
      </c>
      <c r="P125" s="23"/>
      <c r="Q125" s="15">
        <f t="shared" si="11"/>
        <v>0</v>
      </c>
      <c r="R125" s="22">
        <v>57561</v>
      </c>
      <c r="S125" s="22"/>
      <c r="T125" s="15">
        <f t="shared" si="12"/>
        <v>0</v>
      </c>
      <c r="U125" s="22">
        <v>0</v>
      </c>
      <c r="V125" s="23"/>
      <c r="W125" s="15" t="str">
        <f t="shared" si="13"/>
        <v/>
      </c>
    </row>
    <row r="126" spans="1:23">
      <c r="A126" s="3">
        <v>114</v>
      </c>
      <c r="B126" s="8" t="s">
        <v>111</v>
      </c>
      <c r="C126" s="23">
        <v>0</v>
      </c>
      <c r="D126" s="23"/>
      <c r="E126" s="15" t="str">
        <f t="shared" si="14"/>
        <v/>
      </c>
      <c r="F126" s="22">
        <v>0</v>
      </c>
      <c r="G126" s="22"/>
      <c r="H126" s="15" t="str">
        <f t="shared" si="8"/>
        <v/>
      </c>
      <c r="I126" s="23">
        <v>0</v>
      </c>
      <c r="J126" s="23"/>
      <c r="K126" s="15" t="str">
        <f t="shared" si="9"/>
        <v/>
      </c>
      <c r="L126" s="22">
        <v>54320</v>
      </c>
      <c r="M126" s="22"/>
      <c r="N126" s="15">
        <f t="shared" si="10"/>
        <v>0</v>
      </c>
      <c r="O126" s="23">
        <v>13020</v>
      </c>
      <c r="P126" s="23"/>
      <c r="Q126" s="15">
        <f t="shared" si="11"/>
        <v>0</v>
      </c>
      <c r="R126" s="22">
        <v>67340</v>
      </c>
      <c r="S126" s="22"/>
      <c r="T126" s="15">
        <f t="shared" si="12"/>
        <v>0</v>
      </c>
      <c r="U126" s="22">
        <v>0</v>
      </c>
      <c r="V126" s="23"/>
      <c r="W126" s="15" t="str">
        <f t="shared" si="13"/>
        <v/>
      </c>
    </row>
    <row r="127" spans="1:23">
      <c r="A127" s="3">
        <v>115</v>
      </c>
      <c r="B127" s="8" t="s">
        <v>112</v>
      </c>
      <c r="C127" s="23">
        <v>0</v>
      </c>
      <c r="D127" s="23"/>
      <c r="E127" s="15" t="str">
        <f t="shared" si="14"/>
        <v/>
      </c>
      <c r="F127" s="22">
        <v>0</v>
      </c>
      <c r="G127" s="22"/>
      <c r="H127" s="15" t="str">
        <f t="shared" si="8"/>
        <v/>
      </c>
      <c r="I127" s="23">
        <v>0</v>
      </c>
      <c r="J127" s="23"/>
      <c r="K127" s="15" t="str">
        <f t="shared" si="9"/>
        <v/>
      </c>
      <c r="L127" s="23">
        <v>30363.599999999977</v>
      </c>
      <c r="M127" s="23"/>
      <c r="N127" s="15">
        <f t="shared" si="10"/>
        <v>0</v>
      </c>
      <c r="O127" s="23">
        <v>8556</v>
      </c>
      <c r="P127" s="23"/>
      <c r="Q127" s="15">
        <f t="shared" si="11"/>
        <v>0</v>
      </c>
      <c r="R127" s="22">
        <v>38919.599999999977</v>
      </c>
      <c r="S127" s="22"/>
      <c r="T127" s="15">
        <f t="shared" si="12"/>
        <v>0</v>
      </c>
      <c r="U127" s="22">
        <v>0</v>
      </c>
      <c r="V127" s="23"/>
      <c r="W127" s="15" t="str">
        <f t="shared" si="13"/>
        <v/>
      </c>
    </row>
    <row r="128" spans="1:23">
      <c r="A128" s="3">
        <v>116</v>
      </c>
      <c r="B128" s="8" t="s">
        <v>113</v>
      </c>
      <c r="C128" s="23">
        <v>0</v>
      </c>
      <c r="D128" s="23"/>
      <c r="E128" s="15" t="str">
        <f t="shared" si="14"/>
        <v/>
      </c>
      <c r="F128" s="22">
        <v>0</v>
      </c>
      <c r="G128" s="22"/>
      <c r="H128" s="15" t="str">
        <f t="shared" si="8"/>
        <v/>
      </c>
      <c r="I128" s="23">
        <v>0</v>
      </c>
      <c r="J128" s="23"/>
      <c r="K128" s="15" t="str">
        <f t="shared" si="9"/>
        <v/>
      </c>
      <c r="L128" s="22">
        <v>38238</v>
      </c>
      <c r="M128" s="22"/>
      <c r="N128" s="15">
        <f t="shared" si="10"/>
        <v>0</v>
      </c>
      <c r="O128" s="23">
        <v>13932</v>
      </c>
      <c r="P128" s="23"/>
      <c r="Q128" s="15">
        <f t="shared" si="11"/>
        <v>0</v>
      </c>
      <c r="R128" s="22">
        <v>52170</v>
      </c>
      <c r="S128" s="22"/>
      <c r="T128" s="15">
        <f t="shared" si="12"/>
        <v>0</v>
      </c>
      <c r="U128" s="22">
        <v>0</v>
      </c>
      <c r="V128" s="23"/>
      <c r="W128" s="15" t="str">
        <f t="shared" si="13"/>
        <v/>
      </c>
    </row>
    <row r="129" spans="1:23">
      <c r="A129" s="3">
        <v>117</v>
      </c>
      <c r="B129" s="8" t="s">
        <v>114</v>
      </c>
      <c r="C129" s="23">
        <v>0</v>
      </c>
      <c r="D129" s="23"/>
      <c r="E129" s="15" t="str">
        <f t="shared" si="14"/>
        <v/>
      </c>
      <c r="F129" s="22">
        <v>0</v>
      </c>
      <c r="G129" s="22"/>
      <c r="H129" s="15" t="str">
        <f t="shared" si="8"/>
        <v/>
      </c>
      <c r="I129" s="23">
        <v>0</v>
      </c>
      <c r="J129" s="23"/>
      <c r="K129" s="15" t="str">
        <f t="shared" si="9"/>
        <v/>
      </c>
      <c r="L129" s="22">
        <v>176</v>
      </c>
      <c r="M129" s="22"/>
      <c r="N129" s="15">
        <f t="shared" si="10"/>
        <v>0</v>
      </c>
      <c r="O129" s="23">
        <v>413</v>
      </c>
      <c r="P129" s="23"/>
      <c r="Q129" s="15">
        <f t="shared" si="11"/>
        <v>0</v>
      </c>
      <c r="R129" s="22">
        <v>25751</v>
      </c>
      <c r="S129" s="22"/>
      <c r="T129" s="15">
        <f t="shared" si="12"/>
        <v>0</v>
      </c>
      <c r="U129" s="22">
        <v>0</v>
      </c>
      <c r="V129" s="23"/>
      <c r="W129" s="15" t="str">
        <f t="shared" si="13"/>
        <v/>
      </c>
    </row>
    <row r="130" spans="1:23">
      <c r="A130" s="3">
        <v>118</v>
      </c>
      <c r="B130" s="8" t="s">
        <v>115</v>
      </c>
      <c r="C130" s="23">
        <v>0</v>
      </c>
      <c r="D130" s="23"/>
      <c r="E130" s="15" t="str">
        <f t="shared" si="14"/>
        <v/>
      </c>
      <c r="F130" s="22">
        <v>0</v>
      </c>
      <c r="G130" s="22"/>
      <c r="H130" s="15" t="str">
        <f t="shared" si="8"/>
        <v/>
      </c>
      <c r="I130" s="23">
        <v>0</v>
      </c>
      <c r="J130" s="23"/>
      <c r="K130" s="15" t="str">
        <f t="shared" si="9"/>
        <v/>
      </c>
      <c r="L130" s="23">
        <v>0</v>
      </c>
      <c r="M130" s="22"/>
      <c r="N130" s="15" t="str">
        <f t="shared" si="10"/>
        <v/>
      </c>
      <c r="O130" s="23">
        <v>0</v>
      </c>
      <c r="P130" s="23"/>
      <c r="Q130" s="15" t="str">
        <f t="shared" si="11"/>
        <v/>
      </c>
      <c r="R130" s="22">
        <v>23191</v>
      </c>
      <c r="S130" s="22"/>
      <c r="T130" s="15">
        <f t="shared" si="12"/>
        <v>0</v>
      </c>
      <c r="U130" s="22">
        <v>1226</v>
      </c>
      <c r="V130" s="23"/>
      <c r="W130" s="15">
        <f t="shared" si="13"/>
        <v>0</v>
      </c>
    </row>
    <row r="131" spans="1:23">
      <c r="A131" s="3">
        <v>119</v>
      </c>
      <c r="B131" s="8" t="s">
        <v>116</v>
      </c>
      <c r="C131" s="23">
        <v>0</v>
      </c>
      <c r="D131" s="23"/>
      <c r="E131" s="15" t="str">
        <f t="shared" si="14"/>
        <v/>
      </c>
      <c r="F131" s="22">
        <v>0</v>
      </c>
      <c r="G131" s="22"/>
      <c r="H131" s="15" t="str">
        <f t="shared" si="8"/>
        <v/>
      </c>
      <c r="I131" s="23">
        <v>0</v>
      </c>
      <c r="J131" s="23"/>
      <c r="K131" s="15" t="str">
        <f t="shared" si="9"/>
        <v/>
      </c>
      <c r="L131" s="22">
        <v>110</v>
      </c>
      <c r="M131" s="22"/>
      <c r="N131" s="15">
        <f t="shared" si="10"/>
        <v>0</v>
      </c>
      <c r="O131" s="23">
        <v>1603</v>
      </c>
      <c r="P131" s="23"/>
      <c r="Q131" s="15">
        <f t="shared" si="11"/>
        <v>0</v>
      </c>
      <c r="R131" s="22">
        <v>27484</v>
      </c>
      <c r="S131" s="22"/>
      <c r="T131" s="15">
        <f t="shared" si="12"/>
        <v>0</v>
      </c>
      <c r="U131" s="22">
        <v>0</v>
      </c>
      <c r="V131" s="23"/>
      <c r="W131" s="15" t="str">
        <f t="shared" si="13"/>
        <v/>
      </c>
    </row>
    <row r="132" spans="1:23">
      <c r="A132" s="3">
        <v>120</v>
      </c>
      <c r="B132" s="8" t="s">
        <v>117</v>
      </c>
      <c r="C132" s="23">
        <v>0</v>
      </c>
      <c r="D132" s="23"/>
      <c r="E132" s="15" t="str">
        <f t="shared" si="14"/>
        <v/>
      </c>
      <c r="F132" s="22">
        <v>0</v>
      </c>
      <c r="G132" s="22"/>
      <c r="H132" s="15" t="str">
        <f t="shared" si="8"/>
        <v/>
      </c>
      <c r="I132" s="23">
        <v>0</v>
      </c>
      <c r="J132" s="23"/>
      <c r="K132" s="15" t="str">
        <f t="shared" si="9"/>
        <v/>
      </c>
      <c r="L132" s="23">
        <v>0</v>
      </c>
      <c r="M132" s="22"/>
      <c r="N132" s="15" t="str">
        <f t="shared" si="10"/>
        <v/>
      </c>
      <c r="O132" s="23">
        <v>0</v>
      </c>
      <c r="P132" s="23"/>
      <c r="Q132" s="15" t="str">
        <f t="shared" si="11"/>
        <v/>
      </c>
      <c r="R132" s="22">
        <v>26412</v>
      </c>
      <c r="S132" s="22"/>
      <c r="T132" s="15">
        <f t="shared" si="12"/>
        <v>0</v>
      </c>
      <c r="U132" s="22">
        <v>0</v>
      </c>
      <c r="V132" s="23"/>
      <c r="W132" s="15" t="str">
        <f t="shared" si="13"/>
        <v/>
      </c>
    </row>
    <row r="133" spans="1:23">
      <c r="A133" s="3">
        <v>121</v>
      </c>
      <c r="B133" s="8" t="s">
        <v>118</v>
      </c>
      <c r="C133" s="23">
        <v>0</v>
      </c>
      <c r="D133" s="23"/>
      <c r="E133" s="15" t="str">
        <f t="shared" si="14"/>
        <v/>
      </c>
      <c r="F133" s="22">
        <v>0</v>
      </c>
      <c r="G133" s="22"/>
      <c r="H133" s="15" t="str">
        <f t="shared" si="8"/>
        <v/>
      </c>
      <c r="I133" s="23">
        <v>2476</v>
      </c>
      <c r="J133" s="23"/>
      <c r="K133" s="15">
        <f t="shared" si="9"/>
        <v>0</v>
      </c>
      <c r="L133" s="22">
        <v>318</v>
      </c>
      <c r="M133" s="22"/>
      <c r="N133" s="15">
        <f t="shared" si="10"/>
        <v>0</v>
      </c>
      <c r="O133" s="23">
        <v>2896</v>
      </c>
      <c r="P133" s="23"/>
      <c r="Q133" s="15">
        <f t="shared" si="11"/>
        <v>0</v>
      </c>
      <c r="R133" s="22">
        <v>30314</v>
      </c>
      <c r="S133" s="22"/>
      <c r="T133" s="15">
        <f t="shared" si="12"/>
        <v>0</v>
      </c>
      <c r="U133" s="22">
        <v>0</v>
      </c>
      <c r="V133" s="23"/>
      <c r="W133" s="15" t="str">
        <f t="shared" si="13"/>
        <v/>
      </c>
    </row>
    <row r="134" spans="1:23">
      <c r="A134" s="3">
        <v>122</v>
      </c>
      <c r="B134" s="8" t="s">
        <v>119</v>
      </c>
      <c r="C134" s="23">
        <v>0</v>
      </c>
      <c r="D134" s="23"/>
      <c r="E134" s="15" t="str">
        <f t="shared" si="14"/>
        <v/>
      </c>
      <c r="F134" s="22">
        <v>0</v>
      </c>
      <c r="G134" s="22"/>
      <c r="H134" s="15" t="str">
        <f t="shared" si="8"/>
        <v/>
      </c>
      <c r="I134" s="23">
        <v>0</v>
      </c>
      <c r="J134" s="23"/>
      <c r="K134" s="15" t="str">
        <f t="shared" si="9"/>
        <v/>
      </c>
      <c r="L134" s="23">
        <v>0</v>
      </c>
      <c r="M134" s="22"/>
      <c r="N134" s="15" t="str">
        <f t="shared" si="10"/>
        <v/>
      </c>
      <c r="O134" s="23">
        <v>0</v>
      </c>
      <c r="P134" s="23"/>
      <c r="Q134" s="15" t="str">
        <f t="shared" si="11"/>
        <v/>
      </c>
      <c r="R134" s="22">
        <v>24395</v>
      </c>
      <c r="S134" s="22"/>
      <c r="T134" s="15">
        <f t="shared" si="12"/>
        <v>0</v>
      </c>
      <c r="U134" s="22">
        <v>0</v>
      </c>
      <c r="V134" s="23"/>
      <c r="W134" s="15" t="str">
        <f t="shared" si="13"/>
        <v/>
      </c>
    </row>
    <row r="135" spans="1:23">
      <c r="A135" s="3">
        <v>123</v>
      </c>
      <c r="B135" s="8" t="s">
        <v>120</v>
      </c>
      <c r="C135" s="23">
        <v>0</v>
      </c>
      <c r="D135" s="23"/>
      <c r="E135" s="15" t="str">
        <f t="shared" si="14"/>
        <v/>
      </c>
      <c r="F135" s="22">
        <v>0</v>
      </c>
      <c r="G135" s="22"/>
      <c r="H135" s="15" t="str">
        <f t="shared" si="8"/>
        <v/>
      </c>
      <c r="I135" s="23">
        <v>0</v>
      </c>
      <c r="J135" s="23"/>
      <c r="K135" s="15" t="str">
        <f t="shared" si="9"/>
        <v/>
      </c>
      <c r="L135" s="23">
        <v>0</v>
      </c>
      <c r="M135" s="22"/>
      <c r="N135" s="15" t="str">
        <f t="shared" si="10"/>
        <v/>
      </c>
      <c r="O135" s="23">
        <v>2079</v>
      </c>
      <c r="P135" s="23"/>
      <c r="Q135" s="15">
        <f t="shared" si="11"/>
        <v>0</v>
      </c>
      <c r="R135" s="22">
        <v>27364</v>
      </c>
      <c r="S135" s="22"/>
      <c r="T135" s="15">
        <f t="shared" si="12"/>
        <v>0</v>
      </c>
      <c r="U135" s="22">
        <v>0</v>
      </c>
      <c r="V135" s="23"/>
      <c r="W135" s="15" t="str">
        <f t="shared" si="13"/>
        <v/>
      </c>
    </row>
    <row r="136" spans="1:23">
      <c r="A136" s="3">
        <v>124</v>
      </c>
      <c r="B136" s="8" t="s">
        <v>121</v>
      </c>
      <c r="C136" s="23">
        <v>0</v>
      </c>
      <c r="D136" s="23"/>
      <c r="E136" s="15" t="str">
        <f t="shared" si="14"/>
        <v/>
      </c>
      <c r="F136" s="22">
        <v>0</v>
      </c>
      <c r="G136" s="22"/>
      <c r="H136" s="15" t="str">
        <f t="shared" si="8"/>
        <v/>
      </c>
      <c r="I136" s="23">
        <v>0</v>
      </c>
      <c r="J136" s="23"/>
      <c r="K136" s="15" t="str">
        <f t="shared" si="9"/>
        <v/>
      </c>
      <c r="L136" s="22">
        <v>1088</v>
      </c>
      <c r="M136" s="22"/>
      <c r="N136" s="15">
        <f t="shared" si="10"/>
        <v>0</v>
      </c>
      <c r="O136" s="23">
        <v>2365</v>
      </c>
      <c r="P136" s="23"/>
      <c r="Q136" s="15">
        <f t="shared" si="11"/>
        <v>0</v>
      </c>
      <c r="R136" s="22">
        <v>32474</v>
      </c>
      <c r="S136" s="22"/>
      <c r="T136" s="15">
        <f t="shared" si="12"/>
        <v>0</v>
      </c>
      <c r="U136" s="22">
        <v>0</v>
      </c>
      <c r="V136" s="23"/>
      <c r="W136" s="15" t="str">
        <f t="shared" si="13"/>
        <v/>
      </c>
    </row>
  </sheetData>
  <autoFilter ref="A12:AJ136" xr:uid="{74C5B4A5-5B57-4B35-9902-5817201CDD11}"/>
  <mergeCells count="17">
    <mergeCell ref="O9:Q9"/>
    <mergeCell ref="A1:G1"/>
    <mergeCell ref="A2:U2"/>
    <mergeCell ref="A3:U3"/>
    <mergeCell ref="A8:A10"/>
    <mergeCell ref="B8:B10"/>
    <mergeCell ref="C9:E9"/>
    <mergeCell ref="R9:T9"/>
    <mergeCell ref="U9:W9"/>
    <mergeCell ref="L8:Q8"/>
    <mergeCell ref="R8:W8"/>
    <mergeCell ref="A5:W5"/>
    <mergeCell ref="A6:W6"/>
    <mergeCell ref="C8:K8"/>
    <mergeCell ref="F9:H9"/>
    <mergeCell ref="I9:K9"/>
    <mergeCell ref="L9:N9"/>
  </mergeCells>
  <phoneticPr fontId="7" type="noConversion"/>
  <pageMargins left="0.32" right="0.28999999999999998" top="0.75" bottom="0.75" header="0.3" footer="0.3"/>
  <pageSetup paperSize="9" scale="53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Báo cáo ngày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Nguyễn Văn Thế</cp:lastModifiedBy>
  <cp:lastPrinted>2026-04-14T06:31:13Z</cp:lastPrinted>
  <dcterms:created xsi:type="dcterms:W3CDTF">2026-02-02T10:13:49Z</dcterms:created>
  <dcterms:modified xsi:type="dcterms:W3CDTF">2026-04-21T17:26:19Z</dcterms:modified>
</cp:coreProperties>
</file>