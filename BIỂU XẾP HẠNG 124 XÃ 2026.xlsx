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E\Downloads\PhanMemPC06_Pro\"/>
    </mc:Choice>
  </mc:AlternateContent>
  <xr:revisionPtr revIDLastSave="0" documentId="13_ncr:1_{AC764811-9D12-4690-BF6D-6B5CF2CD137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ngchitieu" sheetId="6" r:id="rId1"/>
    <sheet name="cancuoc" sheetId="32" r:id="rId2"/>
    <sheet name="dinhdanh14" sheetId="2" r:id="rId3"/>
    <sheet name="dinhdanh6" sheetId="27" r:id="rId4"/>
    <sheet name="dinhdanhcq" sheetId="33" r:id="rId5"/>
    <sheet name="suckhoedientu" sheetId="3" r:id="rId6"/>
    <sheet name="baohiemxahoi" sheetId="23" r:id="rId7"/>
    <sheet name="ansinhxahoi" sheetId="26" r:id="rId8"/>
    <sheet name="datdai" sheetId="29" r:id="rId9"/>
    <sheet name="dvccc" sheetId="34" r:id="rId10"/>
    <sheet name="dvcct" sheetId="35" r:id="rId11"/>
    <sheet name="ct10" sheetId="19" r:id="rId12"/>
    <sheet name="hosocancuoc" sheetId="28" r:id="rId13"/>
    <sheet name="hosocutru" sheetId="17" r:id="rId14"/>
    <sheet name="bdhvs" sheetId="30" r:id="rId15"/>
    <sheet name="lamsachdc01" sheetId="31" r:id="rId16"/>
    <sheet name="huyso" sheetId="20" r:id="rId17"/>
    <sheet name="treem" sheetId="15" r:id="rId18"/>
    <sheet name="giaypheplaixe" sheetId="24" r:id="rId19"/>
    <sheet name="dangkyxe" sheetId="25" r:id="rId20"/>
  </sheets>
  <definedNames>
    <definedName name="_xlnm._FilterDatabase" localSheetId="11" hidden="1">'ct10'!$A$2:$AH$128</definedName>
    <definedName name="_xlnm._FilterDatabase" localSheetId="2" hidden="1">dinhdanh14!$A$5:$G$5</definedName>
    <definedName name="_xlnm._FilterDatabase" localSheetId="13" hidden="1">hosocutru!$A$2:$AH$2</definedName>
    <definedName name="_xlnm._FilterDatabase" localSheetId="16" hidden="1">huyso!$A$4:$L$128</definedName>
    <definedName name="_xlnm._FilterDatabase" localSheetId="5" hidden="1">suckhoedientu!$A$3:$Y$127</definedName>
    <definedName name="_xlnm._FilterDatabase" localSheetId="0" hidden="1">tongchitieu!$A$5:$R$129</definedName>
    <definedName name="_xlnm._FilterDatabase" localSheetId="17" hidden="1">treem!$A$3:$K$3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6" l="1"/>
  <c r="A6" i="6"/>
  <c r="B6" i="6" s="1" a="1"/>
  <c r="B6" i="6" s="1"/>
  <c r="B7" i="6" a="1"/>
  <c r="B7" i="6" s="1"/>
  <c r="B8" i="6" a="1"/>
  <c r="B8" i="6" s="1"/>
  <c r="B9" i="6" a="1"/>
  <c r="B9" i="6" s="1"/>
  <c r="B10" i="6" a="1"/>
  <c r="B10" i="6"/>
  <c r="B11" i="6" a="1"/>
  <c r="B11" i="6" s="1"/>
  <c r="B12" i="6" a="1"/>
  <c r="B12" i="6" s="1"/>
  <c r="B13" i="6" a="1"/>
  <c r="B13" i="6" s="1"/>
  <c r="B14" i="6" a="1"/>
  <c r="B14" i="6"/>
  <c r="B15" i="6" a="1"/>
  <c r="B15" i="6" s="1"/>
  <c r="B16" i="6" a="1"/>
  <c r="B16" i="6" s="1"/>
  <c r="B17" i="6" a="1"/>
  <c r="B17" i="6" s="1"/>
  <c r="B18" i="6" a="1"/>
  <c r="B18" i="6"/>
  <c r="B19" i="6" a="1"/>
  <c r="B19" i="6" s="1"/>
  <c r="B20" i="6" a="1"/>
  <c r="B20" i="6" s="1"/>
  <c r="B21" i="6" a="1"/>
  <c r="B21" i="6" s="1"/>
  <c r="B22" i="6" a="1"/>
  <c r="B22" i="6"/>
  <c r="B23" i="6" a="1"/>
  <c r="B23" i="6" s="1"/>
  <c r="B24" i="6" a="1"/>
  <c r="B24" i="6" s="1"/>
  <c r="B25" i="6" a="1"/>
  <c r="B25" i="6" s="1"/>
  <c r="B26" i="6" a="1"/>
  <c r="B26" i="6"/>
  <c r="B27" i="6" a="1"/>
  <c r="B27" i="6" s="1"/>
  <c r="B28" i="6" a="1"/>
  <c r="B28" i="6" s="1"/>
  <c r="B29" i="6" a="1"/>
  <c r="B29" i="6" s="1"/>
  <c r="B30" i="6" a="1"/>
  <c r="B30" i="6"/>
  <c r="B31" i="6" a="1"/>
  <c r="B31" i="6" s="1"/>
  <c r="B32" i="6" a="1"/>
  <c r="B32" i="6" s="1"/>
  <c r="B33" i="6" a="1"/>
  <c r="B33" i="6" s="1"/>
  <c r="B34" i="6" a="1"/>
  <c r="B34" i="6"/>
  <c r="B35" i="6" a="1"/>
  <c r="B35" i="6" s="1"/>
  <c r="B36" i="6" a="1"/>
  <c r="B36" i="6" s="1"/>
  <c r="B37" i="6" a="1"/>
  <c r="B37" i="6" s="1"/>
  <c r="B38" i="6" a="1"/>
  <c r="B38" i="6"/>
  <c r="B39" i="6" a="1"/>
  <c r="B39" i="6" s="1"/>
  <c r="B40" i="6" a="1"/>
  <c r="B40" i="6" s="1"/>
  <c r="B41" i="6" a="1"/>
  <c r="B41" i="6" s="1"/>
  <c r="B42" i="6" a="1"/>
  <c r="B42" i="6"/>
  <c r="B43" i="6" a="1"/>
  <c r="B43" i="6" s="1"/>
  <c r="B44" i="6" a="1"/>
  <c r="B44" i="6" s="1"/>
  <c r="B45" i="6" a="1"/>
  <c r="B45" i="6" s="1"/>
  <c r="B46" i="6" a="1"/>
  <c r="B46" i="6"/>
  <c r="B47" i="6" a="1"/>
  <c r="B47" i="6" s="1"/>
  <c r="B48" i="6" a="1"/>
  <c r="B48" i="6" s="1"/>
  <c r="B49" i="6" a="1"/>
  <c r="B49" i="6" s="1"/>
  <c r="B50" i="6" a="1"/>
  <c r="B50" i="6"/>
  <c r="B51" i="6" a="1"/>
  <c r="B51" i="6" s="1"/>
  <c r="B52" i="6" a="1"/>
  <c r="B52" i="6" s="1"/>
  <c r="B53" i="6" a="1"/>
  <c r="B53" i="6" s="1"/>
  <c r="B54" i="6" a="1"/>
  <c r="B54" i="6"/>
  <c r="B55" i="6" a="1"/>
  <c r="B55" i="6" s="1"/>
  <c r="B56" i="6" a="1"/>
  <c r="B56" i="6" s="1"/>
  <c r="B57" i="6" a="1"/>
  <c r="B57" i="6" s="1"/>
  <c r="B58" i="6" a="1"/>
  <c r="B58" i="6"/>
  <c r="B59" i="6" a="1"/>
  <c r="B59" i="6" s="1"/>
  <c r="B60" i="6" a="1"/>
  <c r="B60" i="6" s="1"/>
  <c r="B61" i="6" a="1"/>
  <c r="B61" i="6" s="1"/>
  <c r="B62" i="6" a="1"/>
  <c r="B62" i="6"/>
  <c r="B63" i="6" a="1"/>
  <c r="B63" i="6" s="1"/>
  <c r="B64" i="6" a="1"/>
  <c r="B64" i="6" s="1"/>
  <c r="B65" i="6" a="1"/>
  <c r="B65" i="6" s="1"/>
  <c r="B66" i="6" a="1"/>
  <c r="B66" i="6"/>
  <c r="B67" i="6" a="1"/>
  <c r="B67" i="6" s="1"/>
  <c r="B68" i="6" a="1"/>
  <c r="B68" i="6" s="1"/>
  <c r="B69" i="6" a="1"/>
  <c r="B69" i="6" s="1"/>
  <c r="B70" i="6" a="1"/>
  <c r="B70" i="6"/>
  <c r="B71" i="6" a="1"/>
  <c r="B71" i="6" s="1"/>
  <c r="B72" i="6" a="1"/>
  <c r="B72" i="6" s="1"/>
  <c r="B73" i="6" a="1"/>
  <c r="B73" i="6" s="1"/>
  <c r="B74" i="6" a="1"/>
  <c r="B74" i="6"/>
  <c r="B75" i="6" a="1"/>
  <c r="B75" i="6" s="1"/>
  <c r="B76" i="6" a="1"/>
  <c r="B76" i="6" s="1"/>
  <c r="B77" i="6" a="1"/>
  <c r="B77" i="6" s="1"/>
  <c r="B78" i="6" a="1"/>
  <c r="B78" i="6"/>
  <c r="B79" i="6" a="1"/>
  <c r="B79" i="6" s="1"/>
  <c r="B80" i="6" a="1"/>
  <c r="B80" i="6" s="1"/>
  <c r="B81" i="6" a="1"/>
  <c r="B81" i="6" s="1"/>
  <c r="B82" i="6" a="1"/>
  <c r="B82" i="6"/>
  <c r="B83" i="6" a="1"/>
  <c r="B83" i="6" s="1"/>
  <c r="B84" i="6" a="1"/>
  <c r="B84" i="6" s="1"/>
  <c r="B85" i="6" a="1"/>
  <c r="B85" i="6" s="1"/>
  <c r="B86" i="6" a="1"/>
  <c r="B86" i="6"/>
  <c r="B87" i="6" a="1"/>
  <c r="B87" i="6" s="1"/>
  <c r="B88" i="6" a="1"/>
  <c r="B88" i="6" s="1"/>
  <c r="B89" i="6" a="1"/>
  <c r="B89" i="6" s="1"/>
  <c r="B90" i="6" a="1"/>
  <c r="B90" i="6"/>
  <c r="B91" i="6" a="1"/>
  <c r="B91" i="6" s="1"/>
  <c r="B92" i="6" a="1"/>
  <c r="B92" i="6" s="1"/>
  <c r="B93" i="6" a="1"/>
  <c r="B93" i="6" s="1"/>
  <c r="B94" i="6" a="1"/>
  <c r="B94" i="6"/>
  <c r="B95" i="6" a="1"/>
  <c r="B95" i="6" s="1"/>
  <c r="B96" i="6" a="1"/>
  <c r="B96" i="6" s="1"/>
  <c r="B97" i="6" a="1"/>
  <c r="B97" i="6" s="1"/>
  <c r="B98" i="6" a="1"/>
  <c r="B98" i="6"/>
  <c r="B99" i="6" a="1"/>
  <c r="B99" i="6" s="1"/>
  <c r="B100" i="6" a="1"/>
  <c r="B100" i="6" s="1"/>
  <c r="B101" i="6" a="1"/>
  <c r="B101" i="6" s="1"/>
  <c r="B102" i="6" a="1"/>
  <c r="B102" i="6"/>
  <c r="B103" i="6" a="1"/>
  <c r="B103" i="6" s="1"/>
  <c r="B104" i="6" a="1"/>
  <c r="B104" i="6" s="1"/>
  <c r="B105" i="6" a="1"/>
  <c r="B105" i="6" s="1"/>
  <c r="B106" i="6" a="1"/>
  <c r="B106" i="6"/>
  <c r="B107" i="6" a="1"/>
  <c r="B107" i="6" s="1"/>
  <c r="B108" i="6" a="1"/>
  <c r="B108" i="6" s="1"/>
  <c r="B109" i="6" a="1"/>
  <c r="B109" i="6" s="1"/>
  <c r="B110" i="6" a="1"/>
  <c r="B110" i="6"/>
  <c r="B111" i="6" a="1"/>
  <c r="B111" i="6" s="1"/>
  <c r="B112" i="6" a="1"/>
  <c r="B112" i="6" s="1"/>
  <c r="B113" i="6" a="1"/>
  <c r="B113" i="6" s="1"/>
  <c r="B114" i="6" a="1"/>
  <c r="B114" i="6"/>
  <c r="B115" i="6" a="1"/>
  <c r="B115" i="6" s="1"/>
  <c r="B116" i="6" a="1"/>
  <c r="B116" i="6" s="1"/>
  <c r="B117" i="6" a="1"/>
  <c r="B117" i="6" s="1"/>
  <c r="B118" i="6" a="1"/>
  <c r="B118" i="6"/>
  <c r="B119" i="6" a="1"/>
  <c r="B119" i="6" s="1"/>
  <c r="B120" i="6" a="1"/>
  <c r="B120" i="6" s="1"/>
  <c r="B121" i="6" a="1"/>
  <c r="B121" i="6" s="1"/>
  <c r="B122" i="6" a="1"/>
  <c r="B122" i="6"/>
  <c r="B123" i="6" a="1"/>
  <c r="B123" i="6" s="1"/>
  <c r="B124" i="6" a="1"/>
  <c r="B124" i="6" s="1"/>
  <c r="B125" i="6" a="1"/>
  <c r="B125" i="6" s="1"/>
  <c r="B126" i="6" a="1"/>
  <c r="B126" i="6"/>
  <c r="B127" i="6" a="1"/>
  <c r="B127" i="6" s="1"/>
  <c r="B128" i="6" a="1"/>
  <c r="B128" i="6" s="1"/>
  <c r="B129" i="6" a="1"/>
  <c r="B129" i="6" s="1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6" i="6"/>
  <c r="E7" i="6"/>
  <c r="D7" i="6" s="1"/>
  <c r="E8" i="6"/>
  <c r="D8" i="6" s="1"/>
  <c r="E9" i="6"/>
  <c r="D9" i="6" s="1"/>
  <c r="E10" i="6"/>
  <c r="D10" i="6" s="1"/>
  <c r="E11" i="6"/>
  <c r="D11" i="6" s="1"/>
  <c r="E12" i="6"/>
  <c r="D12" i="6" s="1"/>
  <c r="E13" i="6"/>
  <c r="D13" i="6" s="1"/>
  <c r="E14" i="6"/>
  <c r="D14" i="6" s="1"/>
  <c r="E15" i="6"/>
  <c r="D15" i="6" s="1"/>
  <c r="E16" i="6"/>
  <c r="D16" i="6" s="1"/>
  <c r="E17" i="6"/>
  <c r="D17" i="6" s="1"/>
  <c r="E18" i="6"/>
  <c r="D18" i="6" s="1"/>
  <c r="E19" i="6"/>
  <c r="D19" i="6" s="1"/>
  <c r="E20" i="6"/>
  <c r="D20" i="6" s="1"/>
  <c r="E21" i="6"/>
  <c r="D21" i="6" s="1"/>
  <c r="E22" i="6"/>
  <c r="D22" i="6" s="1"/>
  <c r="E23" i="6"/>
  <c r="D23" i="6" s="1"/>
  <c r="E24" i="6"/>
  <c r="D24" i="6" s="1"/>
  <c r="E25" i="6"/>
  <c r="D25" i="6" s="1"/>
  <c r="E26" i="6"/>
  <c r="D26" i="6" s="1"/>
  <c r="E27" i="6"/>
  <c r="D27" i="6" s="1"/>
  <c r="E28" i="6"/>
  <c r="D28" i="6" s="1"/>
  <c r="E29" i="6"/>
  <c r="D29" i="6" s="1"/>
  <c r="E30" i="6"/>
  <c r="D30" i="6" s="1"/>
  <c r="E31" i="6"/>
  <c r="D31" i="6" s="1"/>
  <c r="E32" i="6"/>
  <c r="D32" i="6" s="1"/>
  <c r="E33" i="6"/>
  <c r="D33" i="6" s="1"/>
  <c r="E34" i="6"/>
  <c r="D34" i="6" s="1"/>
  <c r="E35" i="6"/>
  <c r="D35" i="6" s="1"/>
  <c r="E36" i="6"/>
  <c r="D36" i="6" s="1"/>
  <c r="E37" i="6"/>
  <c r="E38" i="6"/>
  <c r="D38" i="6" s="1"/>
  <c r="E39" i="6"/>
  <c r="D39" i="6" s="1"/>
  <c r="E40" i="6"/>
  <c r="D40" i="6" s="1"/>
  <c r="E41" i="6"/>
  <c r="D41" i="6" s="1"/>
  <c r="E42" i="6"/>
  <c r="D42" i="6" s="1"/>
  <c r="E43" i="6"/>
  <c r="D43" i="6" s="1"/>
  <c r="E44" i="6"/>
  <c r="D44" i="6" s="1"/>
  <c r="E45" i="6"/>
  <c r="E46" i="6"/>
  <c r="E47" i="6"/>
  <c r="E48" i="6"/>
  <c r="D48" i="6" s="1"/>
  <c r="E49" i="6"/>
  <c r="D49" i="6" s="1"/>
  <c r="E50" i="6"/>
  <c r="D50" i="6" s="1"/>
  <c r="E51" i="6"/>
  <c r="D51" i="6" s="1"/>
  <c r="E52" i="6"/>
  <c r="E53" i="6"/>
  <c r="E54" i="6"/>
  <c r="E55" i="6"/>
  <c r="E56" i="6"/>
  <c r="D56" i="6" s="1"/>
  <c r="E57" i="6"/>
  <c r="D57" i="6" s="1"/>
  <c r="E58" i="6"/>
  <c r="D58" i="6" s="1"/>
  <c r="E59" i="6"/>
  <c r="D59" i="6" s="1"/>
  <c r="E60" i="6"/>
  <c r="E61" i="6"/>
  <c r="E62" i="6"/>
  <c r="E63" i="6"/>
  <c r="E64" i="6"/>
  <c r="D64" i="6" s="1"/>
  <c r="E65" i="6"/>
  <c r="D65" i="6" s="1"/>
  <c r="E66" i="6"/>
  <c r="D66" i="6" s="1"/>
  <c r="E67" i="6"/>
  <c r="D67" i="6" s="1"/>
  <c r="E68" i="6"/>
  <c r="E69" i="6"/>
  <c r="E70" i="6"/>
  <c r="E71" i="6"/>
  <c r="E72" i="6"/>
  <c r="D72" i="6" s="1"/>
  <c r="E73" i="6"/>
  <c r="D73" i="6" s="1"/>
  <c r="E74" i="6"/>
  <c r="E75" i="6"/>
  <c r="E76" i="6"/>
  <c r="E77" i="6"/>
  <c r="E78" i="6"/>
  <c r="E79" i="6"/>
  <c r="E80" i="6"/>
  <c r="D80" i="6" s="1"/>
  <c r="E81" i="6"/>
  <c r="D81" i="6" s="1"/>
  <c r="E82" i="6"/>
  <c r="E83" i="6"/>
  <c r="D83" i="6" s="1"/>
  <c r="E84" i="6"/>
  <c r="E85" i="6"/>
  <c r="E86" i="6"/>
  <c r="E87" i="6"/>
  <c r="E88" i="6"/>
  <c r="D88" i="6" s="1"/>
  <c r="E89" i="6"/>
  <c r="E90" i="6"/>
  <c r="E91" i="6"/>
  <c r="E92" i="6"/>
  <c r="E93" i="6"/>
  <c r="E94" i="6"/>
  <c r="E95" i="6"/>
  <c r="E96" i="6"/>
  <c r="D96" i="6" s="1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6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6" i="6"/>
  <c r="D97" i="6" l="1"/>
  <c r="D89" i="6"/>
  <c r="D6" i="6"/>
  <c r="D98" i="6"/>
  <c r="D90" i="6"/>
  <c r="D121" i="6"/>
  <c r="D113" i="6"/>
  <c r="D105" i="6"/>
  <c r="D120" i="6"/>
  <c r="D112" i="6"/>
  <c r="D104" i="6"/>
  <c r="D99" i="6"/>
  <c r="D91" i="6"/>
  <c r="D37" i="6"/>
  <c r="D110" i="6"/>
  <c r="D102" i="6"/>
  <c r="D94" i="6"/>
  <c r="D86" i="6"/>
  <c r="D78" i="6"/>
  <c r="D70" i="6"/>
  <c r="D62" i="6"/>
  <c r="D54" i="6"/>
  <c r="D46" i="6"/>
  <c r="D125" i="6"/>
  <c r="D117" i="6"/>
  <c r="D109" i="6"/>
  <c r="D101" i="6"/>
  <c r="D93" i="6"/>
  <c r="D85" i="6"/>
  <c r="D77" i="6"/>
  <c r="D69" i="6"/>
  <c r="D61" i="6"/>
  <c r="D53" i="6"/>
  <c r="D45" i="6"/>
  <c r="D124" i="6"/>
  <c r="D116" i="6"/>
  <c r="D108" i="6"/>
  <c r="D100" i="6"/>
  <c r="D92" i="6"/>
  <c r="D84" i="6"/>
  <c r="D76" i="6"/>
  <c r="D68" i="6"/>
  <c r="D60" i="6"/>
  <c r="D52" i="6"/>
  <c r="D119" i="6"/>
  <c r="D111" i="6"/>
  <c r="D103" i="6"/>
  <c r="D95" i="6"/>
  <c r="D87" i="6"/>
  <c r="D79" i="6"/>
  <c r="D71" i="6"/>
  <c r="D63" i="6"/>
  <c r="D55" i="6"/>
  <c r="D47" i="6"/>
  <c r="D123" i="6"/>
  <c r="D115" i="6"/>
  <c r="D107" i="6"/>
  <c r="D75" i="6"/>
  <c r="D129" i="6"/>
  <c r="D128" i="6"/>
  <c r="D127" i="6"/>
  <c r="D126" i="6"/>
  <c r="D118" i="6"/>
  <c r="D122" i="6"/>
  <c r="D114" i="6"/>
  <c r="D106" i="6"/>
  <c r="D82" i="6"/>
  <c r="D74" i="6"/>
  <c r="A127" i="33" a="1"/>
  <c r="A127" i="33" s="1"/>
  <c r="A126" i="33" a="1"/>
  <c r="A126" i="33" s="1"/>
  <c r="A125" i="33" a="1"/>
  <c r="A125" i="33" s="1"/>
  <c r="A124" i="33" a="1"/>
  <c r="A124" i="33" s="1"/>
  <c r="A123" i="33" a="1"/>
  <c r="A123" i="33" s="1"/>
  <c r="A122" i="33" a="1"/>
  <c r="A122" i="33" s="1"/>
  <c r="A121" i="33" a="1"/>
  <c r="A121" i="33" s="1"/>
  <c r="A120" i="33" a="1"/>
  <c r="A120" i="33" s="1"/>
  <c r="A119" i="33" a="1"/>
  <c r="A119" i="33" s="1"/>
  <c r="A118" i="33" a="1"/>
  <c r="A118" i="33" s="1"/>
  <c r="A117" i="33" a="1"/>
  <c r="A117" i="33" s="1"/>
  <c r="A116" i="33" a="1"/>
  <c r="A116" i="33" s="1"/>
  <c r="A115" i="33" a="1"/>
  <c r="A115" i="33" s="1"/>
  <c r="A114" i="33" a="1"/>
  <c r="A114" i="33" s="1"/>
  <c r="A113" i="33" a="1"/>
  <c r="A113" i="33" s="1"/>
  <c r="A112" i="33" a="1"/>
  <c r="A112" i="33" s="1"/>
  <c r="A111" i="33" a="1"/>
  <c r="A111" i="33" s="1"/>
  <c r="A110" i="33" a="1"/>
  <c r="A110" i="33" s="1"/>
  <c r="A109" i="33" a="1"/>
  <c r="A109" i="33" s="1"/>
  <c r="A108" i="33" a="1"/>
  <c r="A108" i="33" s="1"/>
  <c r="A107" i="33" a="1"/>
  <c r="A107" i="33" s="1"/>
  <c r="A106" i="33" a="1"/>
  <c r="A106" i="33" s="1"/>
  <c r="A105" i="33" a="1"/>
  <c r="A105" i="33" s="1"/>
  <c r="A104" i="33" a="1"/>
  <c r="A104" i="33" s="1"/>
  <c r="A103" i="33" a="1"/>
  <c r="A103" i="33" s="1"/>
  <c r="A102" i="33" a="1"/>
  <c r="A102" i="33" s="1"/>
  <c r="A101" i="33" a="1"/>
  <c r="A101" i="33" s="1"/>
  <c r="A100" i="33" a="1"/>
  <c r="A100" i="33" s="1"/>
  <c r="A99" i="33" a="1"/>
  <c r="A99" i="33" s="1"/>
  <c r="A98" i="33" a="1"/>
  <c r="A98" i="33" s="1"/>
  <c r="A97" i="33" a="1"/>
  <c r="A97" i="33" s="1"/>
  <c r="A96" i="33" a="1"/>
  <c r="A96" i="33" s="1"/>
  <c r="A95" i="33" a="1"/>
  <c r="A95" i="33" s="1"/>
  <c r="A94" i="33" a="1"/>
  <c r="A94" i="33" s="1"/>
  <c r="A93" i="33" a="1"/>
  <c r="A93" i="33" s="1"/>
  <c r="A92" i="33" a="1"/>
  <c r="A92" i="33" s="1"/>
  <c r="A91" i="33" a="1"/>
  <c r="A91" i="33" s="1"/>
  <c r="A90" i="33" a="1"/>
  <c r="A90" i="33" s="1"/>
  <c r="A89" i="33" a="1"/>
  <c r="A89" i="33" s="1"/>
  <c r="A88" i="33" a="1"/>
  <c r="A88" i="33" s="1"/>
  <c r="A87" i="33" a="1"/>
  <c r="A87" i="33" s="1"/>
  <c r="A86" i="33" a="1"/>
  <c r="A86" i="33" s="1"/>
  <c r="A85" i="33" a="1"/>
  <c r="A85" i="33" s="1"/>
  <c r="A84" i="33" a="1"/>
  <c r="A84" i="33" s="1"/>
  <c r="A83" i="33" a="1"/>
  <c r="A83" i="33" s="1"/>
  <c r="A82" i="33" a="1"/>
  <c r="A82" i="33" s="1"/>
  <c r="A81" i="33" a="1"/>
  <c r="A81" i="33" s="1"/>
  <c r="A80" i="33" a="1"/>
  <c r="A80" i="33" s="1"/>
  <c r="A79" i="33" a="1"/>
  <c r="A79" i="33" s="1"/>
  <c r="A78" i="33" a="1"/>
  <c r="A78" i="33" s="1"/>
  <c r="A77" i="33" a="1"/>
  <c r="A77" i="33" s="1"/>
  <c r="A76" i="33" a="1"/>
  <c r="A76" i="33" s="1"/>
  <c r="A75" i="33" a="1"/>
  <c r="A75" i="33" s="1"/>
  <c r="A74" i="33" a="1"/>
  <c r="A74" i="33" s="1"/>
  <c r="A73" i="33" a="1"/>
  <c r="A73" i="33" s="1"/>
  <c r="A72" i="33" a="1"/>
  <c r="A72" i="33" s="1"/>
  <c r="A71" i="33" a="1"/>
  <c r="A71" i="33" s="1"/>
  <c r="A70" i="33" a="1"/>
  <c r="A70" i="33" s="1"/>
  <c r="A69" i="33" a="1"/>
  <c r="A69" i="33" s="1"/>
  <c r="A68" i="33" a="1"/>
  <c r="A68" i="33" s="1"/>
  <c r="A67" i="33" a="1"/>
  <c r="A67" i="33" s="1"/>
  <c r="A66" i="33" a="1"/>
  <c r="A66" i="33" s="1"/>
  <c r="A65" i="33" a="1"/>
  <c r="A65" i="33" s="1"/>
  <c r="A64" i="33" a="1"/>
  <c r="A64" i="33" s="1"/>
  <c r="A63" i="33" a="1"/>
  <c r="A63" i="33" s="1"/>
  <c r="A62" i="33" a="1"/>
  <c r="A62" i="33" s="1"/>
  <c r="A61" i="33" a="1"/>
  <c r="A61" i="33" s="1"/>
  <c r="A60" i="33" a="1"/>
  <c r="A60" i="33" s="1"/>
  <c r="A59" i="33" a="1"/>
  <c r="A59" i="33" s="1"/>
  <c r="A58" i="33" a="1"/>
  <c r="A58" i="33" s="1"/>
  <c r="A57" i="33" a="1"/>
  <c r="A57" i="33" s="1"/>
  <c r="A56" i="33" a="1"/>
  <c r="A56" i="33" s="1"/>
  <c r="A55" i="33" a="1"/>
  <c r="A55" i="33" s="1"/>
  <c r="A54" i="33" a="1"/>
  <c r="A54" i="33" s="1"/>
  <c r="A53" i="33" a="1"/>
  <c r="A53" i="33" s="1"/>
  <c r="A52" i="33" a="1"/>
  <c r="A52" i="33" s="1"/>
  <c r="A51" i="33" a="1"/>
  <c r="A51" i="33" s="1"/>
  <c r="A50" i="33" a="1"/>
  <c r="A50" i="33" s="1"/>
  <c r="A49" i="33" a="1"/>
  <c r="A49" i="33" s="1"/>
  <c r="A48" i="33" a="1"/>
  <c r="A48" i="33" s="1"/>
  <c r="A47" i="33" a="1"/>
  <c r="A47" i="33" s="1"/>
  <c r="A46" i="33" a="1"/>
  <c r="A46" i="33" s="1"/>
  <c r="A45" i="33" a="1"/>
  <c r="A45" i="33" s="1"/>
  <c r="A44" i="33" a="1"/>
  <c r="A44" i="33" s="1"/>
  <c r="A43" i="33" a="1"/>
  <c r="A43" i="33" s="1"/>
  <c r="A42" i="33" a="1"/>
  <c r="A42" i="33" s="1"/>
  <c r="A41" i="33" a="1"/>
  <c r="A41" i="33" s="1"/>
  <c r="A40" i="33" a="1"/>
  <c r="A40" i="33" s="1"/>
  <c r="A39" i="33" a="1"/>
  <c r="A39" i="33" s="1"/>
  <c r="A38" i="33" a="1"/>
  <c r="A38" i="33" s="1"/>
  <c r="A37" i="33" a="1"/>
  <c r="A37" i="33" s="1"/>
  <c r="A36" i="33" a="1"/>
  <c r="A36" i="33" s="1"/>
  <c r="A35" i="33" a="1"/>
  <c r="A35" i="33" s="1"/>
  <c r="A34" i="33" a="1"/>
  <c r="A34" i="33" s="1"/>
  <c r="A33" i="33" a="1"/>
  <c r="A33" i="33" s="1"/>
  <c r="A32" i="33" a="1"/>
  <c r="A32" i="33" s="1"/>
  <c r="A31" i="33" a="1"/>
  <c r="A31" i="33" s="1"/>
  <c r="A30" i="33" a="1"/>
  <c r="A30" i="33" s="1"/>
  <c r="A29" i="33" a="1"/>
  <c r="A29" i="33" s="1"/>
  <c r="A28" i="33" a="1"/>
  <c r="A28" i="33" s="1"/>
  <c r="A27" i="33" a="1"/>
  <c r="A27" i="33" s="1"/>
  <c r="A26" i="33" a="1"/>
  <c r="A26" i="33" s="1"/>
  <c r="A25" i="33" a="1"/>
  <c r="A25" i="33" s="1"/>
  <c r="A24" i="33" a="1"/>
  <c r="A24" i="33" s="1"/>
  <c r="A23" i="33" a="1"/>
  <c r="A23" i="33" s="1"/>
  <c r="A22" i="33" a="1"/>
  <c r="A22" i="33" s="1"/>
  <c r="A21" i="33" a="1"/>
  <c r="A21" i="33" s="1"/>
  <c r="A20" i="33" a="1"/>
  <c r="A20" i="33" s="1"/>
  <c r="A19" i="33" a="1"/>
  <c r="A19" i="33" s="1"/>
  <c r="A18" i="33" a="1"/>
  <c r="A18" i="33" s="1"/>
  <c r="A17" i="33" a="1"/>
  <c r="A17" i="33" s="1"/>
  <c r="A16" i="33" a="1"/>
  <c r="A16" i="33" s="1"/>
  <c r="A15" i="33" a="1"/>
  <c r="A15" i="33" s="1"/>
  <c r="A14" i="33" a="1"/>
  <c r="A14" i="33" s="1"/>
  <c r="A13" i="33" a="1"/>
  <c r="A13" i="33" s="1"/>
  <c r="A12" i="33" a="1"/>
  <c r="A12" i="33" s="1"/>
  <c r="A11" i="33" a="1"/>
  <c r="A11" i="33" s="1"/>
  <c r="A10" i="33" a="1"/>
  <c r="A10" i="33" s="1"/>
  <c r="A9" i="33" a="1"/>
  <c r="A9" i="33" s="1"/>
  <c r="A8" i="33" a="1"/>
  <c r="A8" i="33" s="1"/>
  <c r="A7" i="33" a="1"/>
  <c r="A7" i="33" s="1"/>
  <c r="A6" i="33" a="1"/>
  <c r="A6" i="33" s="1"/>
  <c r="A5" i="33" a="1"/>
  <c r="A5" i="33" s="1"/>
  <c r="A4" i="33" a="1"/>
  <c r="A4" i="33" s="1"/>
  <c r="F3" i="33"/>
  <c r="A4" i="32" a="1"/>
  <c r="A4" i="32" s="1"/>
  <c r="A127" i="32" a="1"/>
  <c r="A127" i="32" s="1"/>
  <c r="A126" i="32" a="1"/>
  <c r="A126" i="32" s="1"/>
  <c r="A125" i="32" a="1"/>
  <c r="A125" i="32" s="1"/>
  <c r="A124" i="32" a="1"/>
  <c r="A124" i="32" s="1"/>
  <c r="A123" i="32" a="1"/>
  <c r="A123" i="32" s="1"/>
  <c r="A122" i="32" a="1"/>
  <c r="A122" i="32" s="1"/>
  <c r="A121" i="32" a="1"/>
  <c r="A121" i="32" s="1"/>
  <c r="A120" i="32" a="1"/>
  <c r="A120" i="32" s="1"/>
  <c r="A119" i="32" a="1"/>
  <c r="A119" i="32" s="1"/>
  <c r="A118" i="32" a="1"/>
  <c r="A118" i="32" s="1"/>
  <c r="A117" i="32" a="1"/>
  <c r="A117" i="32" s="1"/>
  <c r="A116" i="32" a="1"/>
  <c r="A116" i="32" s="1"/>
  <c r="A115" i="32" a="1"/>
  <c r="A115" i="32" s="1"/>
  <c r="A114" i="32" a="1"/>
  <c r="A114" i="32" s="1"/>
  <c r="A113" i="32" a="1"/>
  <c r="A113" i="32" s="1"/>
  <c r="A112" i="32" a="1"/>
  <c r="A112" i="32" s="1"/>
  <c r="A111" i="32" a="1"/>
  <c r="A111" i="32" s="1"/>
  <c r="A110" i="32" a="1"/>
  <c r="A110" i="32" s="1"/>
  <c r="A109" i="32" a="1"/>
  <c r="A109" i="32" s="1"/>
  <c r="A108" i="32" a="1"/>
  <c r="A108" i="32" s="1"/>
  <c r="A107" i="32" a="1"/>
  <c r="A107" i="32" s="1"/>
  <c r="A106" i="32" a="1"/>
  <c r="A106" i="32" s="1"/>
  <c r="A105" i="32" a="1"/>
  <c r="A105" i="32" s="1"/>
  <c r="A104" i="32" a="1"/>
  <c r="A104" i="32" s="1"/>
  <c r="A103" i="32" a="1"/>
  <c r="A103" i="32" s="1"/>
  <c r="A102" i="32" a="1"/>
  <c r="A102" i="32" s="1"/>
  <c r="A101" i="32" a="1"/>
  <c r="A101" i="32" s="1"/>
  <c r="A100" i="32" a="1"/>
  <c r="A100" i="32" s="1"/>
  <c r="A99" i="32" a="1"/>
  <c r="A99" i="32" s="1"/>
  <c r="A98" i="32" a="1"/>
  <c r="A98" i="32" s="1"/>
  <c r="A97" i="32" a="1"/>
  <c r="A97" i="32" s="1"/>
  <c r="A96" i="32" a="1"/>
  <c r="A96" i="32" s="1"/>
  <c r="A95" i="32" a="1"/>
  <c r="A95" i="32" s="1"/>
  <c r="A94" i="32" a="1"/>
  <c r="A94" i="32" s="1"/>
  <c r="A93" i="32" a="1"/>
  <c r="A93" i="32" s="1"/>
  <c r="A92" i="32" a="1"/>
  <c r="A92" i="32" s="1"/>
  <c r="A91" i="32" a="1"/>
  <c r="A91" i="32" s="1"/>
  <c r="A90" i="32" a="1"/>
  <c r="A90" i="32" s="1"/>
  <c r="A89" i="32" a="1"/>
  <c r="A89" i="32" s="1"/>
  <c r="A88" i="32" a="1"/>
  <c r="A88" i="32" s="1"/>
  <c r="A87" i="32" a="1"/>
  <c r="A87" i="32" s="1"/>
  <c r="A86" i="32" a="1"/>
  <c r="A86" i="32" s="1"/>
  <c r="A85" i="32" a="1"/>
  <c r="A85" i="32" s="1"/>
  <c r="A84" i="32" a="1"/>
  <c r="A84" i="32" s="1"/>
  <c r="A83" i="32" a="1"/>
  <c r="A83" i="32" s="1"/>
  <c r="A82" i="32" a="1"/>
  <c r="A82" i="32" s="1"/>
  <c r="A81" i="32" a="1"/>
  <c r="A81" i="32" s="1"/>
  <c r="A80" i="32" a="1"/>
  <c r="A80" i="32" s="1"/>
  <c r="A79" i="32" a="1"/>
  <c r="A79" i="32" s="1"/>
  <c r="A78" i="32" a="1"/>
  <c r="A78" i="32" s="1"/>
  <c r="A77" i="32" a="1"/>
  <c r="A77" i="32" s="1"/>
  <c r="A76" i="32" a="1"/>
  <c r="A76" i="32" s="1"/>
  <c r="A75" i="32" a="1"/>
  <c r="A75" i="32" s="1"/>
  <c r="A74" i="32" a="1"/>
  <c r="A74" i="32" s="1"/>
  <c r="A73" i="32" a="1"/>
  <c r="A73" i="32" s="1"/>
  <c r="A72" i="32" a="1"/>
  <c r="A72" i="32" s="1"/>
  <c r="A71" i="32" a="1"/>
  <c r="A71" i="32" s="1"/>
  <c r="A70" i="32" a="1"/>
  <c r="A70" i="32" s="1"/>
  <c r="A69" i="32" a="1"/>
  <c r="A69" i="32" s="1"/>
  <c r="A68" i="32" a="1"/>
  <c r="A68" i="32" s="1"/>
  <c r="A67" i="32" a="1"/>
  <c r="A67" i="32" s="1"/>
  <c r="A66" i="32" a="1"/>
  <c r="A66" i="32" s="1"/>
  <c r="A65" i="32" a="1"/>
  <c r="A65" i="32" s="1"/>
  <c r="A64" i="32" a="1"/>
  <c r="A64" i="32" s="1"/>
  <c r="A63" i="32" a="1"/>
  <c r="A63" i="32" s="1"/>
  <c r="A62" i="32" a="1"/>
  <c r="A62" i="32" s="1"/>
  <c r="A61" i="32" a="1"/>
  <c r="A61" i="32" s="1"/>
  <c r="A60" i="32" a="1"/>
  <c r="A60" i="32" s="1"/>
  <c r="A59" i="32" a="1"/>
  <c r="A59" i="32" s="1"/>
  <c r="A58" i="32" a="1"/>
  <c r="A58" i="32" s="1"/>
  <c r="A57" i="32" a="1"/>
  <c r="A57" i="32" s="1"/>
  <c r="A56" i="32" a="1"/>
  <c r="A56" i="32" s="1"/>
  <c r="A55" i="32" a="1"/>
  <c r="A55" i="32" s="1"/>
  <c r="A54" i="32" a="1"/>
  <c r="A54" i="32" s="1"/>
  <c r="A53" i="32" a="1"/>
  <c r="A53" i="32" s="1"/>
  <c r="A52" i="32" a="1"/>
  <c r="A52" i="32" s="1"/>
  <c r="A51" i="32" a="1"/>
  <c r="A51" i="32" s="1"/>
  <c r="A50" i="32" a="1"/>
  <c r="A50" i="32" s="1"/>
  <c r="A49" i="32" a="1"/>
  <c r="A49" i="32" s="1"/>
  <c r="A48" i="32" a="1"/>
  <c r="A48" i="32" s="1"/>
  <c r="A47" i="32" a="1"/>
  <c r="A47" i="32" s="1"/>
  <c r="A46" i="32" a="1"/>
  <c r="A46" i="32" s="1"/>
  <c r="A45" i="32" a="1"/>
  <c r="A45" i="32" s="1"/>
  <c r="A44" i="32" a="1"/>
  <c r="A44" i="32" s="1"/>
  <c r="A43" i="32" a="1"/>
  <c r="A43" i="32" s="1"/>
  <c r="A42" i="32" a="1"/>
  <c r="A42" i="32" s="1"/>
  <c r="A41" i="32" a="1"/>
  <c r="A41" i="32" s="1"/>
  <c r="A40" i="32" a="1"/>
  <c r="A40" i="32" s="1"/>
  <c r="A39" i="32" a="1"/>
  <c r="A39" i="32" s="1"/>
  <c r="A38" i="32" a="1"/>
  <c r="A38" i="32" s="1"/>
  <c r="A37" i="32" a="1"/>
  <c r="A37" i="32" s="1"/>
  <c r="A36" i="32" a="1"/>
  <c r="A36" i="32" s="1"/>
  <c r="A35" i="32" a="1"/>
  <c r="A35" i="32" s="1"/>
  <c r="A34" i="32" a="1"/>
  <c r="A34" i="32" s="1"/>
  <c r="A33" i="32" a="1"/>
  <c r="A33" i="32" s="1"/>
  <c r="A32" i="32" a="1"/>
  <c r="A32" i="32" s="1"/>
  <c r="A31" i="32" a="1"/>
  <c r="A31" i="32" s="1"/>
  <c r="A30" i="32" a="1"/>
  <c r="A30" i="32" s="1"/>
  <c r="A29" i="32" a="1"/>
  <c r="A29" i="32" s="1"/>
  <c r="A28" i="32" a="1"/>
  <c r="A28" i="32" s="1"/>
  <c r="A27" i="32" a="1"/>
  <c r="A27" i="32" s="1"/>
  <c r="A26" i="32" a="1"/>
  <c r="A26" i="32" s="1"/>
  <c r="A25" i="32" a="1"/>
  <c r="A25" i="32" s="1"/>
  <c r="A24" i="32" a="1"/>
  <c r="A24" i="32" s="1"/>
  <c r="A23" i="32" a="1"/>
  <c r="A23" i="32" s="1"/>
  <c r="A22" i="32" a="1"/>
  <c r="A22" i="32" s="1"/>
  <c r="A21" i="32" a="1"/>
  <c r="A21" i="32" s="1"/>
  <c r="A20" i="32" a="1"/>
  <c r="A20" i="32" s="1"/>
  <c r="A19" i="32" a="1"/>
  <c r="A19" i="32" s="1"/>
  <c r="A18" i="32" a="1"/>
  <c r="A18" i="32" s="1"/>
  <c r="A17" i="32" a="1"/>
  <c r="A17" i="32" s="1"/>
  <c r="A16" i="32" a="1"/>
  <c r="A16" i="32" s="1"/>
  <c r="A15" i="32" a="1"/>
  <c r="A15" i="32" s="1"/>
  <c r="A14" i="32" a="1"/>
  <c r="A14" i="32" s="1"/>
  <c r="A13" i="32" a="1"/>
  <c r="A13" i="32" s="1"/>
  <c r="A12" i="32" a="1"/>
  <c r="A12" i="32" s="1"/>
  <c r="A11" i="32" a="1"/>
  <c r="A11" i="32" s="1"/>
  <c r="A10" i="32" a="1"/>
  <c r="A10" i="32" s="1"/>
  <c r="A9" i="32" a="1"/>
  <c r="A9" i="32" s="1"/>
  <c r="A8" i="32" a="1"/>
  <c r="A8" i="32" s="1"/>
  <c r="A7" i="32" a="1"/>
  <c r="A7" i="32" s="1"/>
  <c r="A6" i="32" a="1"/>
  <c r="A6" i="32" s="1"/>
  <c r="A5" i="32" a="1"/>
  <c r="A5" i="32" s="1"/>
  <c r="E3" i="32"/>
  <c r="A127" i="29" a="1"/>
  <c r="A127" i="29" s="1"/>
  <c r="A126" i="29" a="1"/>
  <c r="A126" i="29" s="1"/>
  <c r="A125" i="29" a="1"/>
  <c r="A125" i="29" s="1"/>
  <c r="A124" i="29" a="1"/>
  <c r="A124" i="29" s="1"/>
  <c r="A123" i="29" a="1"/>
  <c r="A123" i="29" s="1"/>
  <c r="A122" i="29" a="1"/>
  <c r="A122" i="29" s="1"/>
  <c r="A121" i="29" a="1"/>
  <c r="A121" i="29" s="1"/>
  <c r="A120" i="29" a="1"/>
  <c r="A120" i="29" s="1"/>
  <c r="A119" i="29" a="1"/>
  <c r="A119" i="29" s="1"/>
  <c r="A118" i="29" a="1"/>
  <c r="A118" i="29" s="1"/>
  <c r="A117" i="29" a="1"/>
  <c r="A117" i="29" s="1"/>
  <c r="A116" i="29" a="1"/>
  <c r="A116" i="29" s="1"/>
  <c r="A115" i="29" a="1"/>
  <c r="A115" i="29" s="1"/>
  <c r="A114" i="29" a="1"/>
  <c r="A114" i="29" s="1"/>
  <c r="A113" i="29" a="1"/>
  <c r="A113" i="29" s="1"/>
  <c r="A112" i="29" a="1"/>
  <c r="A112" i="29" s="1"/>
  <c r="A111" i="29" a="1"/>
  <c r="A111" i="29" s="1"/>
  <c r="A110" i="29" a="1"/>
  <c r="A110" i="29" s="1"/>
  <c r="A109" i="29" a="1"/>
  <c r="A109" i="29" s="1"/>
  <c r="A108" i="29" a="1"/>
  <c r="A108" i="29" s="1"/>
  <c r="A107" i="29" a="1"/>
  <c r="A107" i="29" s="1"/>
  <c r="A106" i="29" a="1"/>
  <c r="A106" i="29" s="1"/>
  <c r="A105" i="29" a="1"/>
  <c r="A105" i="29" s="1"/>
  <c r="A104" i="29" a="1"/>
  <c r="A104" i="29" s="1"/>
  <c r="A103" i="29" a="1"/>
  <c r="A103" i="29" s="1"/>
  <c r="A102" i="29" a="1"/>
  <c r="A102" i="29" s="1"/>
  <c r="A101" i="29" a="1"/>
  <c r="A101" i="29" s="1"/>
  <c r="A100" i="29" a="1"/>
  <c r="A100" i="29" s="1"/>
  <c r="A99" i="29" a="1"/>
  <c r="A99" i="29" s="1"/>
  <c r="A98" i="29" a="1"/>
  <c r="A98" i="29" s="1"/>
  <c r="A97" i="29" a="1"/>
  <c r="A97" i="29" s="1"/>
  <c r="A96" i="29" a="1"/>
  <c r="A96" i="29" s="1"/>
  <c r="A95" i="29" a="1"/>
  <c r="A95" i="29" s="1"/>
  <c r="A94" i="29" a="1"/>
  <c r="A94" i="29" s="1"/>
  <c r="A93" i="29" a="1"/>
  <c r="A93" i="29" s="1"/>
  <c r="A92" i="29" a="1"/>
  <c r="A92" i="29" s="1"/>
  <c r="A91" i="29" a="1"/>
  <c r="A91" i="29" s="1"/>
  <c r="A90" i="29" a="1"/>
  <c r="A90" i="29" s="1"/>
  <c r="A89" i="29" a="1"/>
  <c r="A89" i="29" s="1"/>
  <c r="A88" i="29" a="1"/>
  <c r="A88" i="29" s="1"/>
  <c r="A87" i="29" a="1"/>
  <c r="A87" i="29" s="1"/>
  <c r="A86" i="29" a="1"/>
  <c r="A86" i="29" s="1"/>
  <c r="A85" i="29" a="1"/>
  <c r="A85" i="29" s="1"/>
  <c r="A84" i="29" a="1"/>
  <c r="A84" i="29" s="1"/>
  <c r="A83" i="29" a="1"/>
  <c r="A83" i="29" s="1"/>
  <c r="A82" i="29" a="1"/>
  <c r="A82" i="29" s="1"/>
  <c r="A81" i="29" a="1"/>
  <c r="A81" i="29" s="1"/>
  <c r="A80" i="29" a="1"/>
  <c r="A80" i="29" s="1"/>
  <c r="A79" i="29" a="1"/>
  <c r="A79" i="29" s="1"/>
  <c r="A78" i="29" a="1"/>
  <c r="A78" i="29" s="1"/>
  <c r="A77" i="29" a="1"/>
  <c r="A77" i="29" s="1"/>
  <c r="A76" i="29" a="1"/>
  <c r="A76" i="29" s="1"/>
  <c r="A75" i="29" a="1"/>
  <c r="A75" i="29" s="1"/>
  <c r="A74" i="29" a="1"/>
  <c r="A74" i="29" s="1"/>
  <c r="A73" i="29" a="1"/>
  <c r="A73" i="29" s="1"/>
  <c r="A72" i="29" a="1"/>
  <c r="A72" i="29" s="1"/>
  <c r="A71" i="29" a="1"/>
  <c r="A71" i="29" s="1"/>
  <c r="A70" i="29" a="1"/>
  <c r="A70" i="29" s="1"/>
  <c r="A69" i="29" a="1"/>
  <c r="A69" i="29" s="1"/>
  <c r="A68" i="29" a="1"/>
  <c r="A68" i="29" s="1"/>
  <c r="A67" i="29" a="1"/>
  <c r="A67" i="29" s="1"/>
  <c r="A66" i="29" a="1"/>
  <c r="A66" i="29" s="1"/>
  <c r="A65" i="29" a="1"/>
  <c r="A65" i="29" s="1"/>
  <c r="A64" i="29" a="1"/>
  <c r="A64" i="29" s="1"/>
  <c r="A63" i="29" a="1"/>
  <c r="A63" i="29" s="1"/>
  <c r="A62" i="29" a="1"/>
  <c r="A62" i="29" s="1"/>
  <c r="A61" i="29" a="1"/>
  <c r="A61" i="29" s="1"/>
  <c r="A60" i="29" a="1"/>
  <c r="A60" i="29" s="1"/>
  <c r="A59" i="29" a="1"/>
  <c r="A59" i="29" s="1"/>
  <c r="A58" i="29" a="1"/>
  <c r="A58" i="29" s="1"/>
  <c r="A57" i="29" a="1"/>
  <c r="A57" i="29" s="1"/>
  <c r="A56" i="29" a="1"/>
  <c r="A56" i="29" s="1"/>
  <c r="A55" i="29" a="1"/>
  <c r="A55" i="29" s="1"/>
  <c r="A54" i="29" a="1"/>
  <c r="A54" i="29" s="1"/>
  <c r="A53" i="29" a="1"/>
  <c r="A53" i="29" s="1"/>
  <c r="A52" i="29" a="1"/>
  <c r="A52" i="29" s="1"/>
  <c r="A51" i="29" a="1"/>
  <c r="A51" i="29" s="1"/>
  <c r="A50" i="29" a="1"/>
  <c r="A50" i="29" s="1"/>
  <c r="A49" i="29" a="1"/>
  <c r="A49" i="29" s="1"/>
  <c r="A48" i="29" a="1"/>
  <c r="A48" i="29" s="1"/>
  <c r="A47" i="29" a="1"/>
  <c r="A47" i="29" s="1"/>
  <c r="A46" i="29" a="1"/>
  <c r="A46" i="29" s="1"/>
  <c r="A45" i="29" a="1"/>
  <c r="A45" i="29" s="1"/>
  <c r="A44" i="29" a="1"/>
  <c r="A44" i="29" s="1"/>
  <c r="A43" i="29" a="1"/>
  <c r="A43" i="29" s="1"/>
  <c r="A42" i="29" a="1"/>
  <c r="A42" i="29" s="1"/>
  <c r="A41" i="29" a="1"/>
  <c r="A41" i="29" s="1"/>
  <c r="A40" i="29" a="1"/>
  <c r="A40" i="29" s="1"/>
  <c r="A39" i="29" a="1"/>
  <c r="A39" i="29" s="1"/>
  <c r="A38" i="29" a="1"/>
  <c r="A38" i="29" s="1"/>
  <c r="A37" i="29" a="1"/>
  <c r="A37" i="29" s="1"/>
  <c r="A36" i="29" a="1"/>
  <c r="A36" i="29" s="1"/>
  <c r="A35" i="29" a="1"/>
  <c r="A35" i="29" s="1"/>
  <c r="A34" i="29" a="1"/>
  <c r="A34" i="29" s="1"/>
  <c r="A33" i="29" a="1"/>
  <c r="A33" i="29" s="1"/>
  <c r="A32" i="29" a="1"/>
  <c r="A32" i="29" s="1"/>
  <c r="A31" i="29" a="1"/>
  <c r="A31" i="29" s="1"/>
  <c r="A30" i="29" a="1"/>
  <c r="A30" i="29" s="1"/>
  <c r="A29" i="29" a="1"/>
  <c r="A29" i="29" s="1"/>
  <c r="A28" i="29" a="1"/>
  <c r="A28" i="29" s="1"/>
  <c r="A27" i="29" a="1"/>
  <c r="A27" i="29" s="1"/>
  <c r="A26" i="29" a="1"/>
  <c r="A26" i="29" s="1"/>
  <c r="A25" i="29" a="1"/>
  <c r="A25" i="29" s="1"/>
  <c r="A24" i="29" a="1"/>
  <c r="A24" i="29" s="1"/>
  <c r="A23" i="29" a="1"/>
  <c r="A23" i="29" s="1"/>
  <c r="A22" i="29" a="1"/>
  <c r="A22" i="29" s="1"/>
  <c r="A21" i="29" a="1"/>
  <c r="A21" i="29" s="1"/>
  <c r="A20" i="29" a="1"/>
  <c r="A20" i="29" s="1"/>
  <c r="A19" i="29" a="1"/>
  <c r="A19" i="29" s="1"/>
  <c r="A18" i="29" a="1"/>
  <c r="A18" i="29" s="1"/>
  <c r="A17" i="29" a="1"/>
  <c r="A17" i="29" s="1"/>
  <c r="A16" i="29" a="1"/>
  <c r="A16" i="29" s="1"/>
  <c r="A15" i="29" a="1"/>
  <c r="A15" i="29" s="1"/>
  <c r="A14" i="29" a="1"/>
  <c r="A14" i="29" s="1"/>
  <c r="A13" i="29" a="1"/>
  <c r="A13" i="29" s="1"/>
  <c r="A12" i="29" a="1"/>
  <c r="A12" i="29" s="1"/>
  <c r="A11" i="29" a="1"/>
  <c r="A11" i="29" s="1"/>
  <c r="A10" i="29" a="1"/>
  <c r="A10" i="29" s="1"/>
  <c r="A9" i="29" a="1"/>
  <c r="A9" i="29" s="1"/>
  <c r="A8" i="29" a="1"/>
  <c r="A8" i="29" s="1"/>
  <c r="A7" i="29" a="1"/>
  <c r="A7" i="29" s="1"/>
  <c r="A6" i="29" a="1"/>
  <c r="A6" i="29" s="1"/>
  <c r="A5" i="29" a="1"/>
  <c r="A5" i="29" s="1"/>
  <c r="A4" i="29" a="1"/>
  <c r="A4" i="29" s="1"/>
  <c r="C127" i="28"/>
  <c r="C126" i="28"/>
  <c r="C125" i="28"/>
  <c r="C124" i="28"/>
  <c r="C123" i="28"/>
  <c r="C122" i="28"/>
  <c r="C121" i="28"/>
  <c r="C120" i="28"/>
  <c r="C119" i="28"/>
  <c r="C118" i="28"/>
  <c r="C117" i="28"/>
  <c r="C116" i="28"/>
  <c r="C115" i="28"/>
  <c r="C114" i="28"/>
  <c r="C113" i="28"/>
  <c r="C112" i="28"/>
  <c r="C111" i="28"/>
  <c r="C110" i="28"/>
  <c r="C109" i="28"/>
  <c r="C108" i="28"/>
  <c r="C107" i="28"/>
  <c r="C106" i="28"/>
  <c r="C105" i="28"/>
  <c r="C104" i="28"/>
  <c r="C103" i="28"/>
  <c r="C102" i="28"/>
  <c r="C101" i="28"/>
  <c r="C100" i="28"/>
  <c r="C99" i="28"/>
  <c r="C98" i="28"/>
  <c r="C97" i="28"/>
  <c r="C96" i="28"/>
  <c r="C95" i="28"/>
  <c r="C94" i="28"/>
  <c r="C93" i="28"/>
  <c r="C92" i="28"/>
  <c r="C91" i="28"/>
  <c r="C90" i="28"/>
  <c r="C89" i="28"/>
  <c r="C88" i="28"/>
  <c r="C87" i="28"/>
  <c r="C86" i="28"/>
  <c r="C85" i="28"/>
  <c r="C84" i="28"/>
  <c r="C83" i="28"/>
  <c r="C82" i="28"/>
  <c r="C81" i="28"/>
  <c r="C80" i="28"/>
  <c r="C79" i="28"/>
  <c r="C78" i="28"/>
  <c r="C77" i="28"/>
  <c r="C76" i="28"/>
  <c r="C75" i="28"/>
  <c r="C74" i="28"/>
  <c r="C73" i="28"/>
  <c r="C72" i="28"/>
  <c r="C71" i="28"/>
  <c r="C70" i="28"/>
  <c r="C69" i="28"/>
  <c r="C68" i="28"/>
  <c r="C67" i="28"/>
  <c r="C66" i="28"/>
  <c r="C65" i="28"/>
  <c r="C64" i="28"/>
  <c r="C63" i="28"/>
  <c r="C62" i="28"/>
  <c r="C61" i="28"/>
  <c r="C60" i="28"/>
  <c r="C59" i="28"/>
  <c r="C58" i="28"/>
  <c r="C57" i="28"/>
  <c r="C56" i="28"/>
  <c r="C55" i="28"/>
  <c r="C54" i="28"/>
  <c r="C53" i="28"/>
  <c r="C52" i="28"/>
  <c r="C51" i="28"/>
  <c r="C50" i="28"/>
  <c r="C49" i="28"/>
  <c r="C48" i="28"/>
  <c r="C47" i="28"/>
  <c r="C46" i="28"/>
  <c r="C45" i="28"/>
  <c r="C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C4" i="28"/>
  <c r="A127" i="27" a="1"/>
  <c r="A127" i="27" s="1"/>
  <c r="A126" i="27" a="1"/>
  <c r="A126" i="27" s="1"/>
  <c r="A125" i="27" a="1"/>
  <c r="A125" i="27" s="1"/>
  <c r="A124" i="27"/>
  <c r="A124" i="27" a="1"/>
  <c r="A123" i="27" a="1"/>
  <c r="A123" i="27" s="1"/>
  <c r="A122" i="27" a="1"/>
  <c r="A122" i="27" s="1"/>
  <c r="A121" i="27" a="1"/>
  <c r="A121" i="27" s="1"/>
  <c r="A120" i="27"/>
  <c r="A120" i="27" a="1"/>
  <c r="A119" i="27" a="1"/>
  <c r="A119" i="27" s="1"/>
  <c r="A118" i="27" a="1"/>
  <c r="A118" i="27" s="1"/>
  <c r="A117" i="27" a="1"/>
  <c r="A117" i="27" s="1"/>
  <c r="A116" i="27"/>
  <c r="A116" i="27" a="1"/>
  <c r="A115" i="27" a="1"/>
  <c r="A115" i="27" s="1"/>
  <c r="A114" i="27" a="1"/>
  <c r="A114" i="27" s="1"/>
  <c r="A113" i="27" a="1"/>
  <c r="A113" i="27" s="1"/>
  <c r="A112" i="27"/>
  <c r="A112" i="27" a="1"/>
  <c r="A111" i="27" a="1"/>
  <c r="A111" i="27" s="1"/>
  <c r="A110" i="27" a="1"/>
  <c r="A110" i="27" s="1"/>
  <c r="A109" i="27" a="1"/>
  <c r="A109" i="27" s="1"/>
  <c r="A108" i="27"/>
  <c r="A108" i="27" a="1"/>
  <c r="A107" i="27" a="1"/>
  <c r="A107" i="27" s="1"/>
  <c r="A106" i="27" a="1"/>
  <c r="A106" i="27" s="1"/>
  <c r="A105" i="27" a="1"/>
  <c r="A105" i="27" s="1"/>
  <c r="A104" i="27"/>
  <c r="A104" i="27" a="1"/>
  <c r="A103" i="27" a="1"/>
  <c r="A103" i="27" s="1"/>
  <c r="A102" i="27" a="1"/>
  <c r="A102" i="27" s="1"/>
  <c r="A101" i="27" a="1"/>
  <c r="A101" i="27" s="1"/>
  <c r="A100" i="27"/>
  <c r="A100" i="27" a="1"/>
  <c r="A99" i="27" a="1"/>
  <c r="A99" i="27" s="1"/>
  <c r="A98" i="27" a="1"/>
  <c r="A98" i="27" s="1"/>
  <c r="A97" i="27" a="1"/>
  <c r="A97" i="27" s="1"/>
  <c r="A96" i="27" a="1"/>
  <c r="A96" i="27" s="1"/>
  <c r="A95" i="27" a="1"/>
  <c r="A95" i="27" s="1"/>
  <c r="A94" i="27" a="1"/>
  <c r="A94" i="27" s="1"/>
  <c r="A93" i="27" a="1"/>
  <c r="A93" i="27" s="1"/>
  <c r="A92" i="27" a="1"/>
  <c r="A92" i="27" s="1"/>
  <c r="A91" i="27" a="1"/>
  <c r="A91" i="27" s="1"/>
  <c r="A90" i="27" a="1"/>
  <c r="A90" i="27" s="1"/>
  <c r="A89" i="27" a="1"/>
  <c r="A89" i="27" s="1"/>
  <c r="A88" i="27" a="1"/>
  <c r="A88" i="27" s="1"/>
  <c r="A87" i="27" a="1"/>
  <c r="A87" i="27" s="1"/>
  <c r="A86" i="27" a="1"/>
  <c r="A86" i="27" s="1"/>
  <c r="A85" i="27" a="1"/>
  <c r="A85" i="27" s="1"/>
  <c r="A84" i="27" a="1"/>
  <c r="A84" i="27" s="1"/>
  <c r="A83" i="27" a="1"/>
  <c r="A83" i="27" s="1"/>
  <c r="A82" i="27" a="1"/>
  <c r="A82" i="27" s="1"/>
  <c r="A81" i="27" a="1"/>
  <c r="A81" i="27" s="1"/>
  <c r="A80" i="27" a="1"/>
  <c r="A80" i="27" s="1"/>
  <c r="A79" i="27" a="1"/>
  <c r="A79" i="27" s="1"/>
  <c r="A78" i="27" a="1"/>
  <c r="A78" i="27" s="1"/>
  <c r="A77" i="27" a="1"/>
  <c r="A77" i="27" s="1"/>
  <c r="A76" i="27" a="1"/>
  <c r="A76" i="27" s="1"/>
  <c r="A75" i="27" a="1"/>
  <c r="A75" i="27" s="1"/>
  <c r="A74" i="27" a="1"/>
  <c r="A74" i="27" s="1"/>
  <c r="A73" i="27" a="1"/>
  <c r="A73" i="27" s="1"/>
  <c r="A72" i="27" a="1"/>
  <c r="A72" i="27" s="1"/>
  <c r="A71" i="27" a="1"/>
  <c r="A71" i="27" s="1"/>
  <c r="A70" i="27" a="1"/>
  <c r="A70" i="27" s="1"/>
  <c r="A69" i="27" a="1"/>
  <c r="A69" i="27" s="1"/>
  <c r="A68" i="27" a="1"/>
  <c r="A68" i="27" s="1"/>
  <c r="A67" i="27" a="1"/>
  <c r="A67" i="27" s="1"/>
  <c r="A66" i="27" a="1"/>
  <c r="A66" i="27" s="1"/>
  <c r="A65" i="27" a="1"/>
  <c r="A65" i="27" s="1"/>
  <c r="A64" i="27" a="1"/>
  <c r="A64" i="27" s="1"/>
  <c r="A63" i="27" a="1"/>
  <c r="A63" i="27" s="1"/>
  <c r="A62" i="27" a="1"/>
  <c r="A62" i="27" s="1"/>
  <c r="A61" i="27" a="1"/>
  <c r="A61" i="27" s="1"/>
  <c r="A60" i="27" a="1"/>
  <c r="A60" i="27" s="1"/>
  <c r="A59" i="27" a="1"/>
  <c r="A59" i="27" s="1"/>
  <c r="A58" i="27" a="1"/>
  <c r="A58" i="27" s="1"/>
  <c r="A57" i="27" a="1"/>
  <c r="A57" i="27" s="1"/>
  <c r="A56" i="27" a="1"/>
  <c r="A56" i="27" s="1"/>
  <c r="A55" i="27" a="1"/>
  <c r="A55" i="27" s="1"/>
  <c r="A54" i="27" a="1"/>
  <c r="A54" i="27" s="1"/>
  <c r="A53" i="27" a="1"/>
  <c r="A53" i="27" s="1"/>
  <c r="A52" i="27" a="1"/>
  <c r="A52" i="27" s="1"/>
  <c r="A51" i="27" a="1"/>
  <c r="A51" i="27" s="1"/>
  <c r="A50" i="27" a="1"/>
  <c r="A50" i="27" s="1"/>
  <c r="A49" i="27" a="1"/>
  <c r="A49" i="27" s="1"/>
  <c r="A48" i="27" a="1"/>
  <c r="A48" i="27" s="1"/>
  <c r="A47" i="27" a="1"/>
  <c r="A47" i="27" s="1"/>
  <c r="A46" i="27" a="1"/>
  <c r="A46" i="27" s="1"/>
  <c r="A45" i="27" a="1"/>
  <c r="A45" i="27" s="1"/>
  <c r="A44" i="27" a="1"/>
  <c r="A44" i="27" s="1"/>
  <c r="A43" i="27" a="1"/>
  <c r="A43" i="27" s="1"/>
  <c r="A42" i="27" a="1"/>
  <c r="A42" i="27" s="1"/>
  <c r="A41" i="27" a="1"/>
  <c r="A41" i="27" s="1"/>
  <c r="A40" i="27" a="1"/>
  <c r="A40" i="27" s="1"/>
  <c r="A39" i="27" a="1"/>
  <c r="A39" i="27" s="1"/>
  <c r="A38" i="27" a="1"/>
  <c r="A38" i="27" s="1"/>
  <c r="A37" i="27" a="1"/>
  <c r="A37" i="27" s="1"/>
  <c r="A36" i="27" a="1"/>
  <c r="A36" i="27" s="1"/>
  <c r="A35" i="27" a="1"/>
  <c r="A35" i="27" s="1"/>
  <c r="A34" i="27" a="1"/>
  <c r="A34" i="27" s="1"/>
  <c r="A33" i="27" a="1"/>
  <c r="A33" i="27" s="1"/>
  <c r="A32" i="27" a="1"/>
  <c r="A32" i="27" s="1"/>
  <c r="A31" i="27" a="1"/>
  <c r="A31" i="27" s="1"/>
  <c r="A30" i="27" a="1"/>
  <c r="A30" i="27" s="1"/>
  <c r="A29" i="27" a="1"/>
  <c r="A29" i="27" s="1"/>
  <c r="A28" i="27" a="1"/>
  <c r="A28" i="27" s="1"/>
  <c r="A27" i="27" a="1"/>
  <c r="A27" i="27" s="1"/>
  <c r="A26" i="27" a="1"/>
  <c r="A26" i="27" s="1"/>
  <c r="A25" i="27" a="1"/>
  <c r="A25" i="27" s="1"/>
  <c r="A24" i="27" a="1"/>
  <c r="A24" i="27" s="1"/>
  <c r="A23" i="27" a="1"/>
  <c r="A23" i="27" s="1"/>
  <c r="A22" i="27" a="1"/>
  <c r="A22" i="27" s="1"/>
  <c r="A21" i="27" a="1"/>
  <c r="A21" i="27" s="1"/>
  <c r="A20" i="27" a="1"/>
  <c r="A20" i="27" s="1"/>
  <c r="A19" i="27" a="1"/>
  <c r="A19" i="27" s="1"/>
  <c r="A18" i="27" a="1"/>
  <c r="A18" i="27" s="1"/>
  <c r="A17" i="27" a="1"/>
  <c r="A17" i="27" s="1"/>
  <c r="A16" i="27" a="1"/>
  <c r="A16" i="27" s="1"/>
  <c r="A15" i="27" a="1"/>
  <c r="A15" i="27" s="1"/>
  <c r="A14" i="27" a="1"/>
  <c r="A14" i="27" s="1"/>
  <c r="A13" i="27" a="1"/>
  <c r="A13" i="27" s="1"/>
  <c r="A12" i="27" a="1"/>
  <c r="A12" i="27" s="1"/>
  <c r="A11" i="27" a="1"/>
  <c r="A11" i="27" s="1"/>
  <c r="A10" i="27" a="1"/>
  <c r="A10" i="27" s="1"/>
  <c r="A9" i="27" a="1"/>
  <c r="A9" i="27" s="1"/>
  <c r="A8" i="27" a="1"/>
  <c r="A8" i="27" s="1"/>
  <c r="A7" i="27" a="1"/>
  <c r="A7" i="27" s="1"/>
  <c r="A6" i="27" a="1"/>
  <c r="A6" i="27" s="1"/>
  <c r="A5" i="27" a="1"/>
  <c r="A5" i="27" s="1"/>
  <c r="A4" i="27" a="1"/>
  <c r="A4" i="27" s="1"/>
  <c r="E3" i="27"/>
  <c r="E3" i="2"/>
  <c r="A11" i="28" l="1" a="1"/>
  <c r="A11" i="28" s="1"/>
  <c r="A40" i="28" a="1"/>
  <c r="A40" i="28" s="1"/>
  <c r="A48" i="28" a="1"/>
  <c r="A48" i="28" s="1"/>
  <c r="A56" i="28" a="1"/>
  <c r="A56" i="28" s="1"/>
  <c r="A64" i="28" a="1"/>
  <c r="A64" i="28" s="1"/>
  <c r="A72" i="28" a="1"/>
  <c r="A72" i="28" s="1"/>
  <c r="A80" i="28" a="1"/>
  <c r="A80" i="28" s="1"/>
  <c r="A88" i="28" a="1"/>
  <c r="A88" i="28" s="1"/>
  <c r="A96" i="28" a="1"/>
  <c r="A96" i="28" s="1"/>
  <c r="A104" i="28" a="1"/>
  <c r="A104" i="28" s="1"/>
  <c r="A112" i="28" a="1"/>
  <c r="A112" i="28" s="1"/>
  <c r="A120" i="28" a="1"/>
  <c r="A120" i="28" s="1"/>
  <c r="A16" i="28" a="1"/>
  <c r="A16" i="28" s="1"/>
  <c r="A83" i="28" a="1"/>
  <c r="A83" i="28" s="1"/>
  <c r="A107" i="28" a="1"/>
  <c r="A107" i="28" s="1"/>
  <c r="A5" i="28" a="1"/>
  <c r="A5" i="28" s="1"/>
  <c r="A21" i="28" a="1"/>
  <c r="A21" i="28" s="1"/>
  <c r="A45" i="28" a="1"/>
  <c r="A45" i="28" s="1"/>
  <c r="A69" i="28" a="1"/>
  <c r="A69" i="28" s="1"/>
  <c r="A93" i="28" a="1"/>
  <c r="A93" i="28" s="1"/>
  <c r="A117" i="28" a="1"/>
  <c r="A117" i="28" s="1"/>
  <c r="A125" i="28" a="1"/>
  <c r="A125" i="28" s="1"/>
  <c r="A32" i="28" a="1"/>
  <c r="A32" i="28" s="1"/>
  <c r="A18" i="28" a="1"/>
  <c r="A18" i="28" s="1"/>
  <c r="A75" i="28" a="1"/>
  <c r="A75" i="28" s="1"/>
  <c r="A99" i="28" a="1"/>
  <c r="A99" i="28" s="1"/>
  <c r="A123" i="28" a="1"/>
  <c r="A123" i="28" s="1"/>
  <c r="A29" i="28" a="1"/>
  <c r="A29" i="28" s="1"/>
  <c r="A53" i="28" a="1"/>
  <c r="A53" i="28" s="1"/>
  <c r="A77" i="28" a="1"/>
  <c r="A77" i="28" s="1"/>
  <c r="A101" i="28" a="1"/>
  <c r="A101" i="28" s="1"/>
  <c r="A118" i="28" a="1"/>
  <c r="A118" i="28" s="1"/>
  <c r="A24" i="28" a="1"/>
  <c r="A24" i="28" s="1"/>
  <c r="A67" i="28" a="1"/>
  <c r="A67" i="28" s="1"/>
  <c r="A91" i="28" a="1"/>
  <c r="A91" i="28" s="1"/>
  <c r="A115" i="28" a="1"/>
  <c r="A115" i="28" s="1"/>
  <c r="A13" i="28" a="1"/>
  <c r="A13" i="28" s="1"/>
  <c r="A37" i="28" a="1"/>
  <c r="A37" i="28" s="1"/>
  <c r="A61" i="28" a="1"/>
  <c r="A61" i="28" s="1"/>
  <c r="A85" i="28" a="1"/>
  <c r="A85" i="28" s="1"/>
  <c r="A109" i="28" a="1"/>
  <c r="A109" i="28" s="1"/>
  <c r="A8" i="28" a="1"/>
  <c r="A8" i="28" s="1"/>
  <c r="A19" i="28" a="1"/>
  <c r="A19" i="28" s="1"/>
  <c r="A22" i="28" a="1"/>
  <c r="A22" i="28" s="1"/>
  <c r="A70" i="28" a="1"/>
  <c r="A70" i="28" s="1"/>
  <c r="A25" i="28" a="1"/>
  <c r="A25" i="28" s="1"/>
  <c r="A57" i="28" a="1"/>
  <c r="A57" i="28" s="1"/>
  <c r="A97" i="28" a="1"/>
  <c r="A97" i="28" s="1"/>
  <c r="A4" i="28" a="1"/>
  <c r="A4" i="28" s="1"/>
  <c r="A36" i="28" a="1"/>
  <c r="A36" i="28" s="1"/>
  <c r="A76" i="28" a="1"/>
  <c r="A76" i="28" s="1"/>
  <c r="A108" i="28" a="1"/>
  <c r="A108" i="28" s="1"/>
  <c r="A10" i="28" a="1"/>
  <c r="A10" i="28" s="1"/>
  <c r="A35" i="28" a="1"/>
  <c r="A35" i="28" s="1"/>
  <c r="A51" i="28" a="1"/>
  <c r="A51" i="28" s="1"/>
  <c r="A59" i="28" a="1"/>
  <c r="A59" i="28" s="1"/>
  <c r="A54" i="28" a="1"/>
  <c r="A54" i="28" s="1"/>
  <c r="A86" i="28" a="1"/>
  <c r="A86" i="28" s="1"/>
  <c r="A94" i="28" a="1"/>
  <c r="A94" i="28" s="1"/>
  <c r="A102" i="28" a="1"/>
  <c r="A102" i="28" s="1"/>
  <c r="A110" i="28" a="1"/>
  <c r="A110" i="28" s="1"/>
  <c r="A126" i="28" a="1"/>
  <c r="A126" i="28" s="1"/>
  <c r="A46" i="28" a="1"/>
  <c r="A46" i="28" s="1"/>
  <c r="A65" i="28" a="1"/>
  <c r="A65" i="28" s="1"/>
  <c r="A100" i="28" a="1"/>
  <c r="A100" i="28" s="1"/>
  <c r="A124" i="28" a="1"/>
  <c r="A124" i="28" s="1"/>
  <c r="A43" i="28" a="1"/>
  <c r="A43" i="28" s="1"/>
  <c r="A30" i="28" a="1"/>
  <c r="A30" i="28" s="1"/>
  <c r="A9" i="28" a="1"/>
  <c r="A9" i="28" s="1"/>
  <c r="A41" i="28" a="1"/>
  <c r="A41" i="28" s="1"/>
  <c r="A81" i="28" a="1"/>
  <c r="A81" i="28" s="1"/>
  <c r="A113" i="28" a="1"/>
  <c r="A113" i="28" s="1"/>
  <c r="A20" i="28" a="1"/>
  <c r="A20" i="28" s="1"/>
  <c r="A52" i="28" a="1"/>
  <c r="A52" i="28" s="1"/>
  <c r="A84" i="28" a="1"/>
  <c r="A84" i="28" s="1"/>
  <c r="A7" i="28" a="1"/>
  <c r="A7" i="28" s="1"/>
  <c r="A23" i="28" a="1"/>
  <c r="A23" i="28" s="1"/>
  <c r="A31" i="28" a="1"/>
  <c r="A31" i="28" s="1"/>
  <c r="A39" i="28" a="1"/>
  <c r="A39" i="28" s="1"/>
  <c r="A47" i="28" a="1"/>
  <c r="A47" i="28" s="1"/>
  <c r="A55" i="28" a="1"/>
  <c r="A55" i="28" s="1"/>
  <c r="A63" i="28" a="1"/>
  <c r="A63" i="28" s="1"/>
  <c r="A71" i="28" a="1"/>
  <c r="A71" i="28" s="1"/>
  <c r="A79" i="28" a="1"/>
  <c r="A79" i="28" s="1"/>
  <c r="A87" i="28" a="1"/>
  <c r="A87" i="28" s="1"/>
  <c r="A95" i="28" a="1"/>
  <c r="A95" i="28" s="1"/>
  <c r="A103" i="28" a="1"/>
  <c r="A103" i="28" s="1"/>
  <c r="A111" i="28" a="1"/>
  <c r="A111" i="28" s="1"/>
  <c r="A119" i="28" a="1"/>
  <c r="A119" i="28" s="1"/>
  <c r="A127" i="28" a="1"/>
  <c r="A127" i="28" s="1"/>
  <c r="A27" i="28" a="1"/>
  <c r="A27" i="28" s="1"/>
  <c r="A14" i="28" a="1"/>
  <c r="A14" i="28" s="1"/>
  <c r="A62" i="28" a="1"/>
  <c r="A62" i="28" s="1"/>
  <c r="A17" i="28" a="1"/>
  <c r="A17" i="28" s="1"/>
  <c r="A49" i="28" a="1"/>
  <c r="A49" i="28" s="1"/>
  <c r="A89" i="28" a="1"/>
  <c r="A89" i="28" s="1"/>
  <c r="A121" i="28" a="1"/>
  <c r="A121" i="28" s="1"/>
  <c r="A28" i="28" a="1"/>
  <c r="A28" i="28" s="1"/>
  <c r="A60" i="28" a="1"/>
  <c r="A60" i="28" s="1"/>
  <c r="A92" i="28" a="1"/>
  <c r="A92" i="28" s="1"/>
  <c r="A15" i="28" a="1"/>
  <c r="A15" i="28" s="1"/>
  <c r="A26" i="28" a="1"/>
  <c r="A26" i="28" s="1"/>
  <c r="A34" i="28" a="1"/>
  <c r="A34" i="28" s="1"/>
  <c r="A42" i="28" a="1"/>
  <c r="A42" i="28" s="1"/>
  <c r="A50" i="28" a="1"/>
  <c r="A50" i="28" s="1"/>
  <c r="A58" i="28" a="1"/>
  <c r="A58" i="28" s="1"/>
  <c r="A66" i="28" a="1"/>
  <c r="A66" i="28" s="1"/>
  <c r="A74" i="28" a="1"/>
  <c r="A74" i="28" s="1"/>
  <c r="A82" i="28" a="1"/>
  <c r="A82" i="28" s="1"/>
  <c r="A90" i="28" a="1"/>
  <c r="A90" i="28" s="1"/>
  <c r="A98" i="28" a="1"/>
  <c r="A98" i="28" s="1"/>
  <c r="A106" i="28" a="1"/>
  <c r="A106" i="28" s="1"/>
  <c r="A114" i="28" a="1"/>
  <c r="A114" i="28" s="1"/>
  <c r="A122" i="28" a="1"/>
  <c r="A122" i="28" s="1"/>
  <c r="A6" i="28" a="1"/>
  <c r="A6" i="28" s="1"/>
  <c r="A38" i="28" a="1"/>
  <c r="A38" i="28" s="1"/>
  <c r="A78" i="28" a="1"/>
  <c r="A78" i="28" s="1"/>
  <c r="A33" i="28" a="1"/>
  <c r="A33" i="28" s="1"/>
  <c r="A73" i="28" a="1"/>
  <c r="A73" i="28" s="1"/>
  <c r="A105" i="28" a="1"/>
  <c r="A105" i="28" s="1"/>
  <c r="A12" i="28" a="1"/>
  <c r="A12" i="28" s="1"/>
  <c r="A44" i="28" a="1"/>
  <c r="A44" i="28" s="1"/>
  <c r="A68" i="28" a="1"/>
  <c r="A68" i="28" s="1"/>
  <c r="A116" i="28" a="1"/>
  <c r="A116" i="28" s="1"/>
  <c r="A111" i="2" a="1"/>
  <c r="A111" i="2" s="1"/>
  <c r="A16" i="2" a="1"/>
  <c r="A16" i="2" s="1"/>
  <c r="A38" i="2" a="1"/>
  <c r="A38" i="2" s="1"/>
  <c r="A100" i="2" a="1"/>
  <c r="A100" i="2" s="1"/>
  <c r="A5" i="2" a="1"/>
  <c r="A5" i="2" s="1"/>
  <c r="A40" i="2" a="1"/>
  <c r="A40" i="2" s="1"/>
  <c r="A17" i="2" a="1"/>
  <c r="A17" i="2" s="1"/>
  <c r="A65" i="2" a="1"/>
  <c r="A65" i="2" s="1"/>
  <c r="A4" i="2" a="1"/>
  <c r="A4" i="2" s="1"/>
  <c r="A34" i="2" a="1"/>
  <c r="A34" i="2" s="1"/>
  <c r="A67" i="2" a="1"/>
  <c r="A67" i="2" s="1"/>
  <c r="A92" i="2" a="1"/>
  <c r="A92" i="2" s="1"/>
  <c r="A9" i="2" a="1"/>
  <c r="A9" i="2" s="1"/>
  <c r="A49" i="2" a="1"/>
  <c r="A49" i="2" s="1"/>
  <c r="A20" i="2" a="1"/>
  <c r="A20" i="2" s="1"/>
  <c r="A30" i="2" a="1"/>
  <c r="A30" i="2" s="1"/>
  <c r="A48" i="2" a="1"/>
  <c r="A48" i="2" s="1"/>
  <c r="A53" i="2" a="1"/>
  <c r="A53" i="2" s="1"/>
  <c r="A83" i="2" a="1"/>
  <c r="A83" i="2" s="1"/>
  <c r="A113" i="2" a="1"/>
  <c r="A113" i="2" s="1"/>
  <c r="A120" i="2" a="1"/>
  <c r="A120" i="2" s="1"/>
  <c r="A75" i="2" a="1"/>
  <c r="A75" i="2" s="1"/>
  <c r="A88" i="2" a="1"/>
  <c r="A88" i="2" s="1"/>
  <c r="A98" i="2" a="1"/>
  <c r="A98" i="2" s="1"/>
  <c r="A103" i="2" a="1"/>
  <c r="A103" i="2" s="1"/>
  <c r="A108" i="2" a="1"/>
  <c r="A108" i="2" s="1"/>
  <c r="A115" i="2" a="1"/>
  <c r="A115" i="2" s="1"/>
  <c r="A125" i="2" a="1"/>
  <c r="A125" i="2" s="1"/>
  <c r="A63" i="2" a="1"/>
  <c r="A63" i="2" s="1"/>
  <c r="A50" i="2" a="1"/>
  <c r="A50" i="2" s="1"/>
  <c r="A85" i="2" a="1"/>
  <c r="A85" i="2" s="1"/>
  <c r="A90" i="2" a="1"/>
  <c r="A90" i="2" s="1"/>
  <c r="A95" i="2" a="1"/>
  <c r="A95" i="2" s="1"/>
  <c r="A117" i="2" a="1"/>
  <c r="A117" i="2" s="1"/>
  <c r="A122" i="2" a="1"/>
  <c r="A122" i="2" s="1"/>
  <c r="A35" i="2" a="1"/>
  <c r="A35" i="2" s="1"/>
  <c r="A42" i="2" a="1"/>
  <c r="A42" i="2" s="1"/>
  <c r="A72" i="2" a="1"/>
  <c r="A72" i="2" s="1"/>
  <c r="A105" i="2" a="1"/>
  <c r="A105" i="2" s="1"/>
  <c r="A110" i="2" a="1"/>
  <c r="A110" i="2" s="1"/>
  <c r="A119" i="2" a="1"/>
  <c r="A119" i="2" s="1"/>
  <c r="A127" i="2" a="1"/>
  <c r="A127" i="2" s="1"/>
  <c r="A15" i="2" a="1"/>
  <c r="A15" i="2" s="1"/>
  <c r="A22" i="2" a="1"/>
  <c r="A22" i="2" s="1"/>
  <c r="A19" i="2" a="1"/>
  <c r="A19" i="2" s="1"/>
  <c r="A12" i="2" a="1"/>
  <c r="A12" i="2" s="1"/>
  <c r="A69" i="2" a="1"/>
  <c r="A69" i="2" s="1"/>
  <c r="A112" i="2" a="1"/>
  <c r="A112" i="2" s="1"/>
  <c r="A124" i="2" a="1"/>
  <c r="A124" i="2" s="1"/>
  <c r="A45" i="2" a="1"/>
  <c r="A45" i="2" s="1"/>
  <c r="A10" i="2" a="1"/>
  <c r="A10" i="2" s="1"/>
  <c r="A55" i="2" a="1"/>
  <c r="A55" i="2" s="1"/>
  <c r="A37" i="2" a="1"/>
  <c r="A37" i="2" s="1"/>
  <c r="A77" i="2" a="1"/>
  <c r="A77" i="2" s="1"/>
  <c r="A14" i="2" a="1"/>
  <c r="A14" i="2" s="1"/>
  <c r="A44" i="2" a="1"/>
  <c r="A44" i="2" s="1"/>
  <c r="A74" i="2" a="1"/>
  <c r="A74" i="2" s="1"/>
  <c r="A97" i="2" a="1"/>
  <c r="A97" i="2" s="1"/>
  <c r="A21" i="2" a="1"/>
  <c r="A21" i="2" s="1"/>
  <c r="A54" i="2" a="1"/>
  <c r="A54" i="2" s="1"/>
  <c r="A84" i="2" a="1"/>
  <c r="A84" i="2" s="1"/>
  <c r="A89" i="2" a="1"/>
  <c r="A89" i="2" s="1"/>
  <c r="A94" i="2" a="1"/>
  <c r="A94" i="2" s="1"/>
  <c r="A114" i="2" a="1"/>
  <c r="A114" i="2" s="1"/>
  <c r="A121" i="2" a="1"/>
  <c r="A121" i="2" s="1"/>
  <c r="A70" i="2" a="1"/>
  <c r="A70" i="2" s="1"/>
  <c r="A32" i="2" a="1"/>
  <c r="A32" i="2" s="1"/>
  <c r="A7" i="2" a="1"/>
  <c r="A7" i="2" s="1"/>
  <c r="A47" i="2" a="1"/>
  <c r="A47" i="2" s="1"/>
  <c r="A82" i="2" a="1"/>
  <c r="A82" i="2" s="1"/>
  <c r="A29" i="2" a="1"/>
  <c r="A29" i="2" s="1"/>
  <c r="A62" i="2" a="1"/>
  <c r="A62" i="2" s="1"/>
  <c r="A87" i="2" a="1"/>
  <c r="A87" i="2" s="1"/>
  <c r="A102" i="2" a="1"/>
  <c r="A102" i="2" s="1"/>
  <c r="A39" i="2" a="1"/>
  <c r="A39" i="2" s="1"/>
  <c r="A6" i="2" a="1"/>
  <c r="A6" i="2" s="1"/>
  <c r="A64" i="2" a="1"/>
  <c r="A64" i="2" s="1"/>
  <c r="A71" i="2" a="1"/>
  <c r="A71" i="2" s="1"/>
  <c r="A76" i="2" a="1"/>
  <c r="A76" i="2" s="1"/>
  <c r="A81" i="2" a="1"/>
  <c r="A81" i="2" s="1"/>
  <c r="A58" i="2" a="1"/>
  <c r="A58" i="2" s="1"/>
  <c r="A27" i="2" a="1"/>
  <c r="A27" i="2" s="1"/>
  <c r="A60" i="2" a="1"/>
  <c r="A60" i="2" s="1"/>
  <c r="A52" i="2" a="1"/>
  <c r="A52" i="2" s="1"/>
  <c r="A24" i="2" a="1"/>
  <c r="A24" i="2" s="1"/>
  <c r="A57" i="2" a="1"/>
  <c r="A57" i="2" s="1"/>
  <c r="A79" i="2" a="1"/>
  <c r="A79" i="2" s="1"/>
  <c r="A107" i="2" a="1"/>
  <c r="A107" i="2" s="1"/>
  <c r="A25" i="2" l="1" a="1"/>
  <c r="A25" i="2" s="1"/>
  <c r="A51" i="2" a="1"/>
  <c r="A51" i="2" s="1"/>
  <c r="A68" i="2" a="1"/>
  <c r="A68" i="2" s="1"/>
  <c r="A11" i="2" a="1"/>
  <c r="A11" i="2" s="1"/>
  <c r="A123" i="2" a="1"/>
  <c r="A123" i="2" s="1"/>
  <c r="A80" i="2" a="1"/>
  <c r="A80" i="2" s="1"/>
  <c r="A31" i="2" a="1"/>
  <c r="A31" i="2" s="1"/>
  <c r="A23" i="2" a="1"/>
  <c r="A23" i="2" s="1"/>
  <c r="A28" i="2" a="1"/>
  <c r="A28" i="2" s="1"/>
  <c r="A96" i="2" a="1"/>
  <c r="A96" i="2" s="1"/>
  <c r="A8" i="2" a="1"/>
  <c r="A8" i="2" s="1"/>
  <c r="A118" i="2" a="1"/>
  <c r="A118" i="2" s="1"/>
  <c r="A93" i="2" a="1"/>
  <c r="A93" i="2" s="1"/>
  <c r="A46" i="2" a="1"/>
  <c r="A46" i="2" s="1"/>
  <c r="A13" i="2" a="1"/>
  <c r="A13" i="2" s="1"/>
  <c r="A33" i="2" a="1"/>
  <c r="A33" i="2" s="1"/>
  <c r="A73" i="2" a="1"/>
  <c r="A73" i="2" s="1"/>
  <c r="A86" i="2" a="1"/>
  <c r="A86" i="2" s="1"/>
  <c r="A126" i="2" a="1"/>
  <c r="A126" i="2" s="1"/>
  <c r="A104" i="2" a="1"/>
  <c r="A104" i="2" s="1"/>
  <c r="A36" i="2" a="1"/>
  <c r="A36" i="2" s="1"/>
  <c r="A43" i="2" a="1"/>
  <c r="A43" i="2" s="1"/>
  <c r="A116" i="2" a="1"/>
  <c r="A116" i="2" s="1"/>
  <c r="A56" i="2" a="1"/>
  <c r="A56" i="2" s="1"/>
  <c r="A66" i="2" a="1"/>
  <c r="A66" i="2" s="1"/>
  <c r="A101" i="2" a="1"/>
  <c r="A101" i="2" s="1"/>
  <c r="A18" i="2" a="1"/>
  <c r="A18" i="2" s="1"/>
  <c r="A109" i="2" a="1"/>
  <c r="A109" i="2" s="1"/>
  <c r="A59" i="2" a="1"/>
  <c r="A59" i="2" s="1"/>
  <c r="A91" i="2" a="1"/>
  <c r="A91" i="2" s="1"/>
  <c r="A106" i="2" a="1"/>
  <c r="A106" i="2" s="1"/>
  <c r="A78" i="2" a="1"/>
  <c r="A78" i="2" s="1"/>
  <c r="A41" i="2" a="1"/>
  <c r="A41" i="2" s="1"/>
  <c r="A26" i="2" a="1"/>
  <c r="A26" i="2" s="1"/>
  <c r="A61" i="2" a="1"/>
  <c r="A61" i="2" s="1"/>
  <c r="A99" i="2" a="1"/>
  <c r="A99" i="2" s="1"/>
  <c r="F127" i="26" l="1"/>
  <c r="H127" i="26" s="1"/>
  <c r="F126" i="26"/>
  <c r="H126" i="26" s="1"/>
  <c r="F125" i="26"/>
  <c r="H125" i="26" s="1"/>
  <c r="F124" i="26"/>
  <c r="H124" i="26" s="1"/>
  <c r="F123" i="26"/>
  <c r="H123" i="26" s="1"/>
  <c r="F122" i="26"/>
  <c r="H122" i="26" s="1"/>
  <c r="F121" i="26"/>
  <c r="H121" i="26" s="1"/>
  <c r="F120" i="26"/>
  <c r="H120" i="26" s="1"/>
  <c r="F119" i="26"/>
  <c r="H119" i="26" s="1"/>
  <c r="F118" i="26"/>
  <c r="H118" i="26" s="1"/>
  <c r="F117" i="26"/>
  <c r="H117" i="26" s="1"/>
  <c r="F116" i="26"/>
  <c r="H116" i="26" s="1"/>
  <c r="F115" i="26"/>
  <c r="H115" i="26" s="1"/>
  <c r="F114" i="26"/>
  <c r="H114" i="26" s="1"/>
  <c r="F113" i="26"/>
  <c r="H113" i="26" s="1"/>
  <c r="F112" i="26"/>
  <c r="H112" i="26" s="1"/>
  <c r="F111" i="26"/>
  <c r="H111" i="26" s="1"/>
  <c r="F110" i="26"/>
  <c r="H110" i="26" s="1"/>
  <c r="F109" i="26"/>
  <c r="H109" i="26" s="1"/>
  <c r="F108" i="26"/>
  <c r="H108" i="26" s="1"/>
  <c r="F107" i="26"/>
  <c r="H107" i="26" s="1"/>
  <c r="F106" i="26"/>
  <c r="H106" i="26" s="1"/>
  <c r="F105" i="26"/>
  <c r="H105" i="26" s="1"/>
  <c r="F104" i="26"/>
  <c r="H104" i="26" s="1"/>
  <c r="F103" i="26"/>
  <c r="H103" i="26" s="1"/>
  <c r="F102" i="26"/>
  <c r="H102" i="26" s="1"/>
  <c r="F101" i="26"/>
  <c r="H101" i="26" s="1"/>
  <c r="F100" i="26"/>
  <c r="H100" i="26" s="1"/>
  <c r="F99" i="26"/>
  <c r="H99" i="26" s="1"/>
  <c r="F98" i="26"/>
  <c r="H98" i="26" s="1"/>
  <c r="F97" i="26"/>
  <c r="H97" i="26" s="1"/>
  <c r="F96" i="26"/>
  <c r="H96" i="26" s="1"/>
  <c r="F95" i="26"/>
  <c r="H95" i="26" s="1"/>
  <c r="F94" i="26"/>
  <c r="H94" i="26" s="1"/>
  <c r="F93" i="26"/>
  <c r="H93" i="26" s="1"/>
  <c r="F92" i="26"/>
  <c r="H92" i="26" s="1"/>
  <c r="F91" i="26"/>
  <c r="H91" i="26" s="1"/>
  <c r="F90" i="26"/>
  <c r="H90" i="26" s="1"/>
  <c r="F89" i="26"/>
  <c r="H89" i="26" s="1"/>
  <c r="F88" i="26"/>
  <c r="H88" i="26" s="1"/>
  <c r="F87" i="26"/>
  <c r="H87" i="26" s="1"/>
  <c r="F86" i="26"/>
  <c r="H86" i="26" s="1"/>
  <c r="F85" i="26"/>
  <c r="H85" i="26" s="1"/>
  <c r="F84" i="26"/>
  <c r="H84" i="26" s="1"/>
  <c r="F83" i="26"/>
  <c r="H83" i="26" s="1"/>
  <c r="F82" i="26"/>
  <c r="H82" i="26" s="1"/>
  <c r="F81" i="26"/>
  <c r="H81" i="26" s="1"/>
  <c r="F80" i="26"/>
  <c r="H80" i="26" s="1"/>
  <c r="F79" i="26"/>
  <c r="H79" i="26" s="1"/>
  <c r="F78" i="26"/>
  <c r="H78" i="26" s="1"/>
  <c r="F77" i="26"/>
  <c r="H77" i="26" s="1"/>
  <c r="F76" i="26"/>
  <c r="H76" i="26" s="1"/>
  <c r="F75" i="26"/>
  <c r="H75" i="26" s="1"/>
  <c r="F74" i="26"/>
  <c r="H74" i="26" s="1"/>
  <c r="F73" i="26"/>
  <c r="H73" i="26" s="1"/>
  <c r="F72" i="26"/>
  <c r="H72" i="26" s="1"/>
  <c r="A72" i="26" a="1"/>
  <c r="A72" i="26" s="1"/>
  <c r="F71" i="26"/>
  <c r="H71" i="26" s="1"/>
  <c r="F70" i="26"/>
  <c r="H70" i="26" s="1"/>
  <c r="A70" i="26" a="1"/>
  <c r="A70" i="26" s="1"/>
  <c r="F69" i="26"/>
  <c r="H69" i="26" s="1"/>
  <c r="F68" i="26"/>
  <c r="H68" i="26" s="1"/>
  <c r="A68" i="26" a="1"/>
  <c r="A68" i="26" s="1"/>
  <c r="F67" i="26"/>
  <c r="H67" i="26" s="1"/>
  <c r="F66" i="26"/>
  <c r="H66" i="26" s="1"/>
  <c r="A66" i="26" a="1"/>
  <c r="A66" i="26" s="1"/>
  <c r="F65" i="26"/>
  <c r="H65" i="26" s="1"/>
  <c r="F64" i="26"/>
  <c r="H64" i="26" s="1"/>
  <c r="A64" i="26" a="1"/>
  <c r="A64" i="26" s="1"/>
  <c r="F63" i="26"/>
  <c r="H63" i="26" s="1"/>
  <c r="F62" i="26"/>
  <c r="H62" i="26" s="1"/>
  <c r="A62" i="26" a="1"/>
  <c r="A62" i="26" s="1"/>
  <c r="F61" i="26"/>
  <c r="H61" i="26" s="1"/>
  <c r="F60" i="26"/>
  <c r="H60" i="26" s="1"/>
  <c r="A60" i="26" a="1"/>
  <c r="A60" i="26" s="1"/>
  <c r="F59" i="26"/>
  <c r="H59" i="26" s="1"/>
  <c r="F58" i="26"/>
  <c r="H58" i="26" s="1"/>
  <c r="A58" i="26" a="1"/>
  <c r="A58" i="26" s="1"/>
  <c r="F57" i="26"/>
  <c r="H57" i="26" s="1"/>
  <c r="F56" i="26"/>
  <c r="H56" i="26" s="1"/>
  <c r="A56" i="26" a="1"/>
  <c r="A56" i="26" s="1"/>
  <c r="F55" i="26"/>
  <c r="H55" i="26" s="1"/>
  <c r="F54" i="26"/>
  <c r="H54" i="26" s="1"/>
  <c r="A54" i="26" a="1"/>
  <c r="A54" i="26" s="1"/>
  <c r="F53" i="26"/>
  <c r="H53" i="26" s="1"/>
  <c r="F52" i="26"/>
  <c r="H52" i="26" s="1"/>
  <c r="A52" i="26" a="1"/>
  <c r="A52" i="26" s="1"/>
  <c r="F51" i="26"/>
  <c r="H51" i="26" s="1"/>
  <c r="F50" i="26"/>
  <c r="H50" i="26" s="1"/>
  <c r="A50" i="26" a="1"/>
  <c r="A50" i="26" s="1"/>
  <c r="F49" i="26"/>
  <c r="H49" i="26" s="1"/>
  <c r="F48" i="26"/>
  <c r="H48" i="26" s="1"/>
  <c r="A48" i="26" a="1"/>
  <c r="A48" i="26" s="1"/>
  <c r="F47" i="26"/>
  <c r="H47" i="26" s="1"/>
  <c r="A47" i="26" a="1"/>
  <c r="A47" i="26" s="1"/>
  <c r="F46" i="26"/>
  <c r="H46" i="26" s="1"/>
  <c r="A46" i="26" a="1"/>
  <c r="A46" i="26" s="1"/>
  <c r="F45" i="26"/>
  <c r="H45" i="26" s="1"/>
  <c r="A45" i="26" a="1"/>
  <c r="A45" i="26" s="1"/>
  <c r="F44" i="26"/>
  <c r="H44" i="26" s="1"/>
  <c r="A44" i="26" a="1"/>
  <c r="A44" i="26" s="1"/>
  <c r="F43" i="26"/>
  <c r="H43" i="26" s="1"/>
  <c r="A43" i="26" a="1"/>
  <c r="A43" i="26" s="1"/>
  <c r="F42" i="26"/>
  <c r="H42" i="26" s="1"/>
  <c r="A42" i="26" a="1"/>
  <c r="A42" i="26" s="1"/>
  <c r="F41" i="26"/>
  <c r="H41" i="26" s="1"/>
  <c r="A41" i="26" a="1"/>
  <c r="A41" i="26" s="1"/>
  <c r="F40" i="26"/>
  <c r="H40" i="26" s="1"/>
  <c r="A40" i="26" a="1"/>
  <c r="A40" i="26" s="1"/>
  <c r="F39" i="26"/>
  <c r="H39" i="26" s="1"/>
  <c r="A39" i="26" a="1"/>
  <c r="A39" i="26" s="1"/>
  <c r="F38" i="26"/>
  <c r="H38" i="26" s="1"/>
  <c r="A38" i="26" a="1"/>
  <c r="A38" i="26" s="1"/>
  <c r="F37" i="26"/>
  <c r="H37" i="26" s="1"/>
  <c r="A37" i="26" a="1"/>
  <c r="A37" i="26" s="1"/>
  <c r="F36" i="26"/>
  <c r="H36" i="26" s="1"/>
  <c r="A36" i="26" a="1"/>
  <c r="A36" i="26" s="1"/>
  <c r="F35" i="26"/>
  <c r="H35" i="26" s="1"/>
  <c r="A35" i="26" a="1"/>
  <c r="A35" i="26" s="1"/>
  <c r="F34" i="26"/>
  <c r="H34" i="26" s="1"/>
  <c r="A34" i="26" a="1"/>
  <c r="A34" i="26" s="1"/>
  <c r="F33" i="26"/>
  <c r="H33" i="26" s="1"/>
  <c r="A33" i="26" a="1"/>
  <c r="A33" i="26" s="1"/>
  <c r="F32" i="26"/>
  <c r="H32" i="26" s="1"/>
  <c r="A32" i="26" a="1"/>
  <c r="A32" i="26" s="1"/>
  <c r="F31" i="26"/>
  <c r="H31" i="26" s="1"/>
  <c r="A31" i="26" a="1"/>
  <c r="A31" i="26" s="1"/>
  <c r="F30" i="26"/>
  <c r="H30" i="26" s="1"/>
  <c r="A30" i="26" a="1"/>
  <c r="A30" i="26" s="1"/>
  <c r="F29" i="26"/>
  <c r="H29" i="26" s="1"/>
  <c r="A29" i="26" a="1"/>
  <c r="A29" i="26" s="1"/>
  <c r="F28" i="26"/>
  <c r="H28" i="26" s="1"/>
  <c r="A28" i="26" a="1"/>
  <c r="A28" i="26" s="1"/>
  <c r="F27" i="26"/>
  <c r="H27" i="26" s="1"/>
  <c r="A27" i="26" a="1"/>
  <c r="A27" i="26" s="1"/>
  <c r="F26" i="26"/>
  <c r="H26" i="26" s="1"/>
  <c r="A26" i="26" a="1"/>
  <c r="A26" i="26" s="1"/>
  <c r="F25" i="26"/>
  <c r="H25" i="26" s="1"/>
  <c r="A25" i="26" a="1"/>
  <c r="A25" i="26" s="1"/>
  <c r="F24" i="26"/>
  <c r="H24" i="26" s="1"/>
  <c r="A24" i="26" a="1"/>
  <c r="A24" i="26" s="1"/>
  <c r="F23" i="26"/>
  <c r="H23" i="26" s="1"/>
  <c r="A23" i="26" a="1"/>
  <c r="A23" i="26" s="1"/>
  <c r="F22" i="26"/>
  <c r="H22" i="26" s="1"/>
  <c r="A22" i="26" a="1"/>
  <c r="A22" i="26" s="1"/>
  <c r="F21" i="26"/>
  <c r="H21" i="26" s="1"/>
  <c r="A21" i="26" a="1"/>
  <c r="A21" i="26" s="1"/>
  <c r="F20" i="26"/>
  <c r="H20" i="26" s="1"/>
  <c r="A20" i="26" a="1"/>
  <c r="A20" i="26" s="1"/>
  <c r="F19" i="26"/>
  <c r="H19" i="26" s="1"/>
  <c r="A19" i="26" a="1"/>
  <c r="A19" i="26" s="1"/>
  <c r="F18" i="26"/>
  <c r="H18" i="26" s="1"/>
  <c r="A18" i="26" a="1"/>
  <c r="A18" i="26" s="1"/>
  <c r="F17" i="26"/>
  <c r="H17" i="26" s="1"/>
  <c r="A17" i="26" a="1"/>
  <c r="A17" i="26" s="1"/>
  <c r="F16" i="26"/>
  <c r="H16" i="26" s="1"/>
  <c r="A16" i="26" a="1"/>
  <c r="A16" i="26" s="1"/>
  <c r="F15" i="26"/>
  <c r="H15" i="26" s="1"/>
  <c r="A15" i="26" a="1"/>
  <c r="A15" i="26" s="1"/>
  <c r="F14" i="26"/>
  <c r="H14" i="26" s="1"/>
  <c r="A14" i="26" a="1"/>
  <c r="A14" i="26" s="1"/>
  <c r="F13" i="26"/>
  <c r="H13" i="26" s="1"/>
  <c r="A13" i="26" a="1"/>
  <c r="A13" i="26" s="1"/>
  <c r="F12" i="26"/>
  <c r="H12" i="26" s="1"/>
  <c r="A12" i="26" a="1"/>
  <c r="A12" i="26" s="1"/>
  <c r="F11" i="26"/>
  <c r="H11" i="26" s="1"/>
  <c r="A11" i="26" a="1"/>
  <c r="A11" i="26" s="1"/>
  <c r="F10" i="26"/>
  <c r="H10" i="26" s="1"/>
  <c r="A10" i="26" a="1"/>
  <c r="A10" i="26" s="1"/>
  <c r="F9" i="26"/>
  <c r="H9" i="26" s="1"/>
  <c r="A9" i="26" a="1"/>
  <c r="A9" i="26" s="1"/>
  <c r="F8" i="26"/>
  <c r="H8" i="26" s="1"/>
  <c r="A8" i="26" a="1"/>
  <c r="A8" i="26" s="1"/>
  <c r="F7" i="26"/>
  <c r="H7" i="26" s="1"/>
  <c r="A7" i="26" a="1"/>
  <c r="A7" i="26" s="1"/>
  <c r="F6" i="26"/>
  <c r="H6" i="26" s="1"/>
  <c r="A6" i="26" a="1"/>
  <c r="A6" i="26" s="1"/>
  <c r="F5" i="26"/>
  <c r="H5" i="26" s="1"/>
  <c r="A5" i="26" a="1"/>
  <c r="A5" i="26" s="1"/>
  <c r="F4" i="26"/>
  <c r="A125" i="26" s="1" a="1"/>
  <c r="A125" i="26" s="1"/>
  <c r="F3" i="26"/>
  <c r="H3" i="26" s="1"/>
  <c r="F127" i="25"/>
  <c r="H127" i="25" s="1"/>
  <c r="F126" i="25"/>
  <c r="H126" i="25" s="1"/>
  <c r="F125" i="25"/>
  <c r="H125" i="25" s="1"/>
  <c r="F124" i="25"/>
  <c r="H124" i="25" s="1"/>
  <c r="F123" i="25"/>
  <c r="H123" i="25" s="1"/>
  <c r="F122" i="25"/>
  <c r="H122" i="25" s="1"/>
  <c r="F121" i="25"/>
  <c r="H121" i="25" s="1"/>
  <c r="F120" i="25"/>
  <c r="H120" i="25" s="1"/>
  <c r="F119" i="25"/>
  <c r="H119" i="25" s="1"/>
  <c r="F118" i="25"/>
  <c r="H118" i="25" s="1"/>
  <c r="F117" i="25"/>
  <c r="H117" i="25" s="1"/>
  <c r="F116" i="25"/>
  <c r="H116" i="25" s="1"/>
  <c r="F115" i="25"/>
  <c r="H115" i="25" s="1"/>
  <c r="F114" i="25"/>
  <c r="H114" i="25" s="1"/>
  <c r="F113" i="25"/>
  <c r="H113" i="25" s="1"/>
  <c r="F112" i="25"/>
  <c r="H112" i="25" s="1"/>
  <c r="F111" i="25"/>
  <c r="H111" i="25" s="1"/>
  <c r="F110" i="25"/>
  <c r="H110" i="25" s="1"/>
  <c r="F109" i="25"/>
  <c r="H109" i="25" s="1"/>
  <c r="F108" i="25"/>
  <c r="H108" i="25" s="1"/>
  <c r="F107" i="25"/>
  <c r="H107" i="25" s="1"/>
  <c r="F106" i="25"/>
  <c r="H106" i="25" s="1"/>
  <c r="F105" i="25"/>
  <c r="H105" i="25" s="1"/>
  <c r="F104" i="25"/>
  <c r="H104" i="25" s="1"/>
  <c r="F103" i="25"/>
  <c r="H103" i="25" s="1"/>
  <c r="F102" i="25"/>
  <c r="H102" i="25" s="1"/>
  <c r="F101" i="25"/>
  <c r="H101" i="25" s="1"/>
  <c r="F100" i="25"/>
  <c r="H100" i="25" s="1"/>
  <c r="F99" i="25"/>
  <c r="H99" i="25" s="1"/>
  <c r="F98" i="25"/>
  <c r="H98" i="25" s="1"/>
  <c r="F97" i="25"/>
  <c r="H97" i="25" s="1"/>
  <c r="F96" i="25"/>
  <c r="H96" i="25" s="1"/>
  <c r="F95" i="25"/>
  <c r="H95" i="25" s="1"/>
  <c r="F94" i="25"/>
  <c r="H94" i="25" s="1"/>
  <c r="F93" i="25"/>
  <c r="H93" i="25" s="1"/>
  <c r="F92" i="25"/>
  <c r="H92" i="25" s="1"/>
  <c r="F91" i="25"/>
  <c r="H91" i="25" s="1"/>
  <c r="F90" i="25"/>
  <c r="H90" i="25" s="1"/>
  <c r="F89" i="25"/>
  <c r="H89" i="25" s="1"/>
  <c r="F88" i="25"/>
  <c r="H88" i="25" s="1"/>
  <c r="F87" i="25"/>
  <c r="H87" i="25" s="1"/>
  <c r="F86" i="25"/>
  <c r="H86" i="25" s="1"/>
  <c r="F85" i="25"/>
  <c r="H85" i="25" s="1"/>
  <c r="F84" i="25"/>
  <c r="H84" i="25" s="1"/>
  <c r="F83" i="25"/>
  <c r="H83" i="25" s="1"/>
  <c r="F82" i="25"/>
  <c r="H82" i="25" s="1"/>
  <c r="F81" i="25"/>
  <c r="H81" i="25" s="1"/>
  <c r="F80" i="25"/>
  <c r="H80" i="25" s="1"/>
  <c r="F79" i="25"/>
  <c r="H79" i="25" s="1"/>
  <c r="F78" i="25"/>
  <c r="H78" i="25" s="1"/>
  <c r="A78" i="25"/>
  <c r="A78" i="25" a="1"/>
  <c r="F77" i="25"/>
  <c r="H77" i="25" s="1"/>
  <c r="F76" i="25"/>
  <c r="H76" i="25" s="1"/>
  <c r="A76" i="25" a="1"/>
  <c r="A76" i="25" s="1"/>
  <c r="F75" i="25"/>
  <c r="H75" i="25" s="1"/>
  <c r="F74" i="25"/>
  <c r="H74" i="25" s="1"/>
  <c r="A74" i="25" a="1"/>
  <c r="A74" i="25" s="1"/>
  <c r="F73" i="25"/>
  <c r="H73" i="25" s="1"/>
  <c r="F72" i="25"/>
  <c r="H72" i="25" s="1"/>
  <c r="A72" i="25" a="1"/>
  <c r="A72" i="25" s="1"/>
  <c r="F71" i="25"/>
  <c r="H71" i="25" s="1"/>
  <c r="F70" i="25"/>
  <c r="H70" i="25" s="1"/>
  <c r="A70" i="25" a="1"/>
  <c r="A70" i="25" s="1"/>
  <c r="F69" i="25"/>
  <c r="H69" i="25" s="1"/>
  <c r="F68" i="25"/>
  <c r="H68" i="25" s="1"/>
  <c r="A68" i="25" a="1"/>
  <c r="A68" i="25" s="1"/>
  <c r="F67" i="25"/>
  <c r="H67" i="25" s="1"/>
  <c r="F66" i="25"/>
  <c r="H66" i="25" s="1"/>
  <c r="A66" i="25" a="1"/>
  <c r="A66" i="25" s="1"/>
  <c r="F65" i="25"/>
  <c r="H65" i="25" s="1"/>
  <c r="F64" i="25"/>
  <c r="H64" i="25" s="1"/>
  <c r="A64" i="25" a="1"/>
  <c r="A64" i="25" s="1"/>
  <c r="F63" i="25"/>
  <c r="H63" i="25" s="1"/>
  <c r="F62" i="25"/>
  <c r="H62" i="25" s="1"/>
  <c r="A62" i="25" a="1"/>
  <c r="A62" i="25" s="1"/>
  <c r="F61" i="25"/>
  <c r="H61" i="25" s="1"/>
  <c r="F60" i="25"/>
  <c r="H60" i="25" s="1"/>
  <c r="A60" i="25" a="1"/>
  <c r="A60" i="25" s="1"/>
  <c r="F59" i="25"/>
  <c r="H59" i="25" s="1"/>
  <c r="F58" i="25"/>
  <c r="H58" i="25" s="1"/>
  <c r="A58" i="25" a="1"/>
  <c r="A58" i="25" s="1"/>
  <c r="F57" i="25"/>
  <c r="H57" i="25" s="1"/>
  <c r="F56" i="25"/>
  <c r="H56" i="25" s="1"/>
  <c r="A56" i="25" a="1"/>
  <c r="A56" i="25" s="1"/>
  <c r="F55" i="25"/>
  <c r="H55" i="25" s="1"/>
  <c r="F54" i="25"/>
  <c r="H54" i="25" s="1"/>
  <c r="A54" i="25" a="1"/>
  <c r="A54" i="25" s="1"/>
  <c r="F53" i="25"/>
  <c r="H53" i="25" s="1"/>
  <c r="F52" i="25"/>
  <c r="H52" i="25" s="1"/>
  <c r="A52" i="25" a="1"/>
  <c r="A52" i="25" s="1"/>
  <c r="F51" i="25"/>
  <c r="H51" i="25" s="1"/>
  <c r="F50" i="25"/>
  <c r="H50" i="25" s="1"/>
  <c r="A50" i="25" a="1"/>
  <c r="A50" i="25" s="1"/>
  <c r="F49" i="25"/>
  <c r="H49" i="25" s="1"/>
  <c r="F48" i="25"/>
  <c r="H48" i="25" s="1"/>
  <c r="A48" i="25" a="1"/>
  <c r="A48" i="25" s="1"/>
  <c r="F47" i="25"/>
  <c r="H47" i="25" s="1"/>
  <c r="F46" i="25"/>
  <c r="H46" i="25" s="1"/>
  <c r="A46" i="25" a="1"/>
  <c r="A46" i="25" s="1"/>
  <c r="F45" i="25"/>
  <c r="H45" i="25" s="1"/>
  <c r="A45" i="25" a="1"/>
  <c r="A45" i="25" s="1"/>
  <c r="F44" i="25"/>
  <c r="H44" i="25" s="1"/>
  <c r="A44" i="25" a="1"/>
  <c r="A44" i="25" s="1"/>
  <c r="F43" i="25"/>
  <c r="H43" i="25" s="1"/>
  <c r="A43" i="25" a="1"/>
  <c r="A43" i="25" s="1"/>
  <c r="F42" i="25"/>
  <c r="H42" i="25" s="1"/>
  <c r="A42" i="25" a="1"/>
  <c r="A42" i="25" s="1"/>
  <c r="F41" i="25"/>
  <c r="H41" i="25" s="1"/>
  <c r="A41" i="25" a="1"/>
  <c r="A41" i="25" s="1"/>
  <c r="F40" i="25"/>
  <c r="H40" i="25" s="1"/>
  <c r="A40" i="25" a="1"/>
  <c r="A40" i="25" s="1"/>
  <c r="F39" i="25"/>
  <c r="H39" i="25" s="1"/>
  <c r="A39" i="25" a="1"/>
  <c r="A39" i="25" s="1"/>
  <c r="F38" i="25"/>
  <c r="H38" i="25" s="1"/>
  <c r="A38" i="25" a="1"/>
  <c r="A38" i="25" s="1"/>
  <c r="F37" i="25"/>
  <c r="H37" i="25" s="1"/>
  <c r="A37" i="25" a="1"/>
  <c r="A37" i="25" s="1"/>
  <c r="F36" i="25"/>
  <c r="H36" i="25" s="1"/>
  <c r="A36" i="25" a="1"/>
  <c r="A36" i="25" s="1"/>
  <c r="F35" i="25"/>
  <c r="H35" i="25" s="1"/>
  <c r="A35" i="25" a="1"/>
  <c r="A35" i="25" s="1"/>
  <c r="F34" i="25"/>
  <c r="H34" i="25" s="1"/>
  <c r="A34" i="25" a="1"/>
  <c r="A34" i="25" s="1"/>
  <c r="F33" i="25"/>
  <c r="H33" i="25" s="1"/>
  <c r="A33" i="25" a="1"/>
  <c r="A33" i="25" s="1"/>
  <c r="F32" i="25"/>
  <c r="H32" i="25" s="1"/>
  <c r="A32" i="25" a="1"/>
  <c r="A32" i="25" s="1"/>
  <c r="F31" i="25"/>
  <c r="H31" i="25" s="1"/>
  <c r="A31" i="25" a="1"/>
  <c r="A31" i="25" s="1"/>
  <c r="F30" i="25"/>
  <c r="H30" i="25" s="1"/>
  <c r="A30" i="25" a="1"/>
  <c r="A30" i="25" s="1"/>
  <c r="F29" i="25"/>
  <c r="H29" i="25" s="1"/>
  <c r="A29" i="25" a="1"/>
  <c r="A29" i="25" s="1"/>
  <c r="F28" i="25"/>
  <c r="H28" i="25" s="1"/>
  <c r="A28" i="25"/>
  <c r="A28" i="25" a="1"/>
  <c r="F27" i="25"/>
  <c r="H27" i="25" s="1"/>
  <c r="A27" i="25" a="1"/>
  <c r="A27" i="25" s="1"/>
  <c r="F26" i="25"/>
  <c r="H26" i="25" s="1"/>
  <c r="A26" i="25" a="1"/>
  <c r="A26" i="25" s="1"/>
  <c r="F25" i="25"/>
  <c r="H25" i="25" s="1"/>
  <c r="A25" i="25" a="1"/>
  <c r="A25" i="25" s="1"/>
  <c r="F24" i="25"/>
  <c r="H24" i="25" s="1"/>
  <c r="A24" i="25" a="1"/>
  <c r="A24" i="25" s="1"/>
  <c r="F23" i="25"/>
  <c r="H23" i="25" s="1"/>
  <c r="A23" i="25" a="1"/>
  <c r="A23" i="25" s="1"/>
  <c r="F22" i="25"/>
  <c r="H22" i="25" s="1"/>
  <c r="A22" i="25" a="1"/>
  <c r="A22" i="25" s="1"/>
  <c r="F21" i="25"/>
  <c r="H21" i="25" s="1"/>
  <c r="A21" i="25" a="1"/>
  <c r="A21" i="25" s="1"/>
  <c r="F20" i="25"/>
  <c r="H20" i="25" s="1"/>
  <c r="A20" i="25" a="1"/>
  <c r="A20" i="25" s="1"/>
  <c r="F19" i="25"/>
  <c r="H19" i="25" s="1"/>
  <c r="A19" i="25" a="1"/>
  <c r="A19" i="25" s="1"/>
  <c r="F18" i="25"/>
  <c r="H18" i="25" s="1"/>
  <c r="A18" i="25"/>
  <c r="A18" i="25" a="1"/>
  <c r="F17" i="25"/>
  <c r="H17" i="25" s="1"/>
  <c r="A17" i="25" a="1"/>
  <c r="A17" i="25" s="1"/>
  <c r="F16" i="25"/>
  <c r="H16" i="25" s="1"/>
  <c r="A16" i="25" a="1"/>
  <c r="A16" i="25" s="1"/>
  <c r="F15" i="25"/>
  <c r="H15" i="25" s="1"/>
  <c r="A15" i="25" a="1"/>
  <c r="A15" i="25" s="1"/>
  <c r="F14" i="25"/>
  <c r="H14" i="25" s="1"/>
  <c r="A14" i="25" a="1"/>
  <c r="A14" i="25" s="1"/>
  <c r="F13" i="25"/>
  <c r="H13" i="25" s="1"/>
  <c r="A13" i="25" a="1"/>
  <c r="A13" i="25" s="1"/>
  <c r="F12" i="25"/>
  <c r="H12" i="25" s="1"/>
  <c r="A12" i="25"/>
  <c r="A12" i="25" a="1"/>
  <c r="F11" i="25"/>
  <c r="H11" i="25" s="1"/>
  <c r="A11" i="25" a="1"/>
  <c r="A11" i="25" s="1"/>
  <c r="F10" i="25"/>
  <c r="H10" i="25" s="1"/>
  <c r="A10" i="25" a="1"/>
  <c r="A10" i="25" s="1"/>
  <c r="F9" i="25"/>
  <c r="H9" i="25" s="1"/>
  <c r="A9" i="25" a="1"/>
  <c r="A9" i="25" s="1"/>
  <c r="F8" i="25"/>
  <c r="H8" i="25" s="1"/>
  <c r="A8" i="25" a="1"/>
  <c r="A8" i="25" s="1"/>
  <c r="F7" i="25"/>
  <c r="H7" i="25" s="1"/>
  <c r="A7" i="25" a="1"/>
  <c r="A7" i="25" s="1"/>
  <c r="F6" i="25"/>
  <c r="H6" i="25" s="1"/>
  <c r="A6" i="25" a="1"/>
  <c r="A6" i="25" s="1"/>
  <c r="F5" i="25"/>
  <c r="H5" i="25" s="1"/>
  <c r="A5" i="25" a="1"/>
  <c r="A5" i="25" s="1"/>
  <c r="F4" i="25"/>
  <c r="A123" i="25" s="1" a="1"/>
  <c r="A123" i="25" s="1"/>
  <c r="F3" i="25"/>
  <c r="H3" i="25" s="1"/>
  <c r="F127" i="24"/>
  <c r="H127" i="24" s="1"/>
  <c r="F126" i="24"/>
  <c r="H126" i="24" s="1"/>
  <c r="F125" i="24"/>
  <c r="H125" i="24" s="1"/>
  <c r="F124" i="24"/>
  <c r="H124" i="24" s="1"/>
  <c r="F123" i="24"/>
  <c r="H123" i="24" s="1"/>
  <c r="F122" i="24"/>
  <c r="H122" i="24" s="1"/>
  <c r="F121" i="24"/>
  <c r="H121" i="24" s="1"/>
  <c r="F120" i="24"/>
  <c r="H120" i="24" s="1"/>
  <c r="F119" i="24"/>
  <c r="H119" i="24" s="1"/>
  <c r="F118" i="24"/>
  <c r="H118" i="24" s="1"/>
  <c r="F117" i="24"/>
  <c r="H117" i="24" s="1"/>
  <c r="F116" i="24"/>
  <c r="H116" i="24" s="1"/>
  <c r="F115" i="24"/>
  <c r="H115" i="24" s="1"/>
  <c r="F114" i="24"/>
  <c r="H114" i="24" s="1"/>
  <c r="F113" i="24"/>
  <c r="H113" i="24" s="1"/>
  <c r="F112" i="24"/>
  <c r="H112" i="24" s="1"/>
  <c r="F111" i="24"/>
  <c r="H111" i="24" s="1"/>
  <c r="F110" i="24"/>
  <c r="H110" i="24" s="1"/>
  <c r="F109" i="24"/>
  <c r="H109" i="24" s="1"/>
  <c r="F108" i="24"/>
  <c r="H108" i="24" s="1"/>
  <c r="F107" i="24"/>
  <c r="H107" i="24" s="1"/>
  <c r="F106" i="24"/>
  <c r="H106" i="24" s="1"/>
  <c r="F105" i="24"/>
  <c r="H105" i="24" s="1"/>
  <c r="F104" i="24"/>
  <c r="H104" i="24" s="1"/>
  <c r="F103" i="24"/>
  <c r="H103" i="24" s="1"/>
  <c r="F102" i="24"/>
  <c r="H102" i="24" s="1"/>
  <c r="F101" i="24"/>
  <c r="H101" i="24" s="1"/>
  <c r="F100" i="24"/>
  <c r="H100" i="24" s="1"/>
  <c r="F99" i="24"/>
  <c r="H99" i="24" s="1"/>
  <c r="F98" i="24"/>
  <c r="H98" i="24" s="1"/>
  <c r="F97" i="24"/>
  <c r="H97" i="24" s="1"/>
  <c r="F96" i="24"/>
  <c r="H96" i="24" s="1"/>
  <c r="F95" i="24"/>
  <c r="H95" i="24" s="1"/>
  <c r="F94" i="24"/>
  <c r="H94" i="24" s="1"/>
  <c r="F93" i="24"/>
  <c r="H93" i="24" s="1"/>
  <c r="F92" i="24"/>
  <c r="H92" i="24" s="1"/>
  <c r="F91" i="24"/>
  <c r="H91" i="24" s="1"/>
  <c r="F90" i="24"/>
  <c r="H90" i="24" s="1"/>
  <c r="F89" i="24"/>
  <c r="H89" i="24" s="1"/>
  <c r="F88" i="24"/>
  <c r="H88" i="24" s="1"/>
  <c r="F87" i="24"/>
  <c r="H87" i="24" s="1"/>
  <c r="F86" i="24"/>
  <c r="H86" i="24" s="1"/>
  <c r="F85" i="24"/>
  <c r="H85" i="24" s="1"/>
  <c r="F84" i="24"/>
  <c r="H84" i="24" s="1"/>
  <c r="F83" i="24"/>
  <c r="H83" i="24" s="1"/>
  <c r="F82" i="24"/>
  <c r="H82" i="24" s="1"/>
  <c r="F81" i="24"/>
  <c r="H81" i="24" s="1"/>
  <c r="F80" i="24"/>
  <c r="H80" i="24" s="1"/>
  <c r="F79" i="24"/>
  <c r="H79" i="24" s="1"/>
  <c r="F78" i="24"/>
  <c r="H78" i="24" s="1"/>
  <c r="F77" i="24"/>
  <c r="H77" i="24" s="1"/>
  <c r="F76" i="24"/>
  <c r="H76" i="24" s="1"/>
  <c r="F75" i="24"/>
  <c r="H75" i="24" s="1"/>
  <c r="F74" i="24"/>
  <c r="H74" i="24" s="1"/>
  <c r="F73" i="24"/>
  <c r="H73" i="24" s="1"/>
  <c r="F72" i="24"/>
  <c r="H72" i="24" s="1"/>
  <c r="F71" i="24"/>
  <c r="H71" i="24" s="1"/>
  <c r="F70" i="24"/>
  <c r="H70" i="24" s="1"/>
  <c r="F69" i="24"/>
  <c r="H69" i="24" s="1"/>
  <c r="F68" i="24"/>
  <c r="H68" i="24" s="1"/>
  <c r="F67" i="24"/>
  <c r="H67" i="24" s="1"/>
  <c r="F66" i="24"/>
  <c r="H66" i="24" s="1"/>
  <c r="F65" i="24"/>
  <c r="H65" i="24" s="1"/>
  <c r="F64" i="24"/>
  <c r="H64" i="24" s="1"/>
  <c r="F63" i="24"/>
  <c r="H63" i="24" s="1"/>
  <c r="F62" i="24"/>
  <c r="H62" i="24" s="1"/>
  <c r="F61" i="24"/>
  <c r="H61" i="24" s="1"/>
  <c r="F60" i="24"/>
  <c r="H60" i="24" s="1"/>
  <c r="F59" i="24"/>
  <c r="H59" i="24" s="1"/>
  <c r="F58" i="24"/>
  <c r="H58" i="24" s="1"/>
  <c r="F57" i="24"/>
  <c r="H57" i="24" s="1"/>
  <c r="F56" i="24"/>
  <c r="H56" i="24" s="1"/>
  <c r="F55" i="24"/>
  <c r="H55" i="24" s="1"/>
  <c r="F54" i="24"/>
  <c r="H54" i="24" s="1"/>
  <c r="F53" i="24"/>
  <c r="H53" i="24" s="1"/>
  <c r="F52" i="24"/>
  <c r="H52" i="24" s="1"/>
  <c r="F51" i="24"/>
  <c r="H51" i="24" s="1"/>
  <c r="F50" i="24"/>
  <c r="H50" i="24" s="1"/>
  <c r="F49" i="24"/>
  <c r="H49" i="24" s="1"/>
  <c r="F48" i="24"/>
  <c r="H48" i="24" s="1"/>
  <c r="F47" i="24"/>
  <c r="H47" i="24" s="1"/>
  <c r="F46" i="24"/>
  <c r="H46" i="24" s="1"/>
  <c r="F45" i="24"/>
  <c r="H45" i="24" s="1"/>
  <c r="F44" i="24"/>
  <c r="H44" i="24" s="1"/>
  <c r="F43" i="24"/>
  <c r="H43" i="24" s="1"/>
  <c r="F42" i="24"/>
  <c r="H42" i="24" s="1"/>
  <c r="F41" i="24"/>
  <c r="H41" i="24" s="1"/>
  <c r="F40" i="24"/>
  <c r="H40" i="24" s="1"/>
  <c r="F39" i="24"/>
  <c r="H39" i="24" s="1"/>
  <c r="F38" i="24"/>
  <c r="H38" i="24" s="1"/>
  <c r="F37" i="24"/>
  <c r="H37" i="24" s="1"/>
  <c r="F36" i="24"/>
  <c r="H36" i="24" s="1"/>
  <c r="F35" i="24"/>
  <c r="H35" i="24" s="1"/>
  <c r="F34" i="24"/>
  <c r="H34" i="24" s="1"/>
  <c r="F33" i="24"/>
  <c r="H33" i="24" s="1"/>
  <c r="F32" i="24"/>
  <c r="H32" i="24" s="1"/>
  <c r="F31" i="24"/>
  <c r="H31" i="24" s="1"/>
  <c r="F30" i="24"/>
  <c r="H30" i="24" s="1"/>
  <c r="F29" i="24"/>
  <c r="H29" i="24" s="1"/>
  <c r="F28" i="24"/>
  <c r="H28" i="24" s="1"/>
  <c r="A28" i="24" a="1"/>
  <c r="A28" i="24" s="1"/>
  <c r="F27" i="24"/>
  <c r="H27" i="24" s="1"/>
  <c r="F26" i="24"/>
  <c r="H26" i="24" s="1"/>
  <c r="F25" i="24"/>
  <c r="H25" i="24" s="1"/>
  <c r="F24" i="24"/>
  <c r="H24" i="24" s="1"/>
  <c r="F23" i="24"/>
  <c r="H23" i="24" s="1"/>
  <c r="F22" i="24"/>
  <c r="H22" i="24" s="1"/>
  <c r="A22" i="24" a="1"/>
  <c r="A22" i="24" s="1"/>
  <c r="F21" i="24"/>
  <c r="H21" i="24" s="1"/>
  <c r="F20" i="24"/>
  <c r="H20" i="24" s="1"/>
  <c r="F19" i="24"/>
  <c r="H19" i="24" s="1"/>
  <c r="F18" i="24"/>
  <c r="H18" i="24" s="1"/>
  <c r="F17" i="24"/>
  <c r="H17" i="24" s="1"/>
  <c r="F16" i="24"/>
  <c r="H16" i="24" s="1"/>
  <c r="F15" i="24"/>
  <c r="H15" i="24" s="1"/>
  <c r="F14" i="24"/>
  <c r="H14" i="24" s="1"/>
  <c r="F13" i="24"/>
  <c r="H13" i="24" s="1"/>
  <c r="F12" i="24"/>
  <c r="H12" i="24" s="1"/>
  <c r="F11" i="24"/>
  <c r="H11" i="24" s="1"/>
  <c r="F10" i="24"/>
  <c r="H10" i="24" s="1"/>
  <c r="F9" i="24"/>
  <c r="H9" i="24" s="1"/>
  <c r="F8" i="24"/>
  <c r="H8" i="24" s="1"/>
  <c r="A8" i="24" a="1"/>
  <c r="A8" i="24" s="1"/>
  <c r="F7" i="24"/>
  <c r="H7" i="24" s="1"/>
  <c r="F6" i="24"/>
  <c r="H6" i="24" s="1"/>
  <c r="F5" i="24"/>
  <c r="H5" i="24" s="1"/>
  <c r="F4" i="24"/>
  <c r="F3" i="24"/>
  <c r="H3" i="24" s="1"/>
  <c r="F127" i="23"/>
  <c r="H127" i="23" s="1"/>
  <c r="F126" i="23"/>
  <c r="H126" i="23" s="1"/>
  <c r="F125" i="23"/>
  <c r="H125" i="23" s="1"/>
  <c r="F124" i="23"/>
  <c r="H124" i="23" s="1"/>
  <c r="F123" i="23"/>
  <c r="H123" i="23" s="1"/>
  <c r="F122" i="23"/>
  <c r="H122" i="23" s="1"/>
  <c r="F121" i="23"/>
  <c r="H121" i="23" s="1"/>
  <c r="F120" i="23"/>
  <c r="H120" i="23" s="1"/>
  <c r="F119" i="23"/>
  <c r="H119" i="23" s="1"/>
  <c r="F118" i="23"/>
  <c r="H118" i="23" s="1"/>
  <c r="F117" i="23"/>
  <c r="H117" i="23" s="1"/>
  <c r="F116" i="23"/>
  <c r="H116" i="23" s="1"/>
  <c r="F115" i="23"/>
  <c r="H115" i="23" s="1"/>
  <c r="F114" i="23"/>
  <c r="H114" i="23" s="1"/>
  <c r="F113" i="23"/>
  <c r="H113" i="23" s="1"/>
  <c r="F112" i="23"/>
  <c r="H112" i="23" s="1"/>
  <c r="F111" i="23"/>
  <c r="H111" i="23" s="1"/>
  <c r="F110" i="23"/>
  <c r="H110" i="23" s="1"/>
  <c r="F109" i="23"/>
  <c r="H109" i="23" s="1"/>
  <c r="F108" i="23"/>
  <c r="H108" i="23" s="1"/>
  <c r="F107" i="23"/>
  <c r="H107" i="23" s="1"/>
  <c r="F106" i="23"/>
  <c r="H106" i="23" s="1"/>
  <c r="F105" i="23"/>
  <c r="H105" i="23" s="1"/>
  <c r="F104" i="23"/>
  <c r="H104" i="23" s="1"/>
  <c r="F103" i="23"/>
  <c r="H103" i="23" s="1"/>
  <c r="F102" i="23"/>
  <c r="H102" i="23" s="1"/>
  <c r="F101" i="23"/>
  <c r="H101" i="23" s="1"/>
  <c r="F100" i="23"/>
  <c r="H100" i="23" s="1"/>
  <c r="F99" i="23"/>
  <c r="H99" i="23" s="1"/>
  <c r="F98" i="23"/>
  <c r="H98" i="23" s="1"/>
  <c r="F97" i="23"/>
  <c r="H97" i="23" s="1"/>
  <c r="F96" i="23"/>
  <c r="H96" i="23" s="1"/>
  <c r="F95" i="23"/>
  <c r="H95" i="23" s="1"/>
  <c r="F94" i="23"/>
  <c r="H94" i="23" s="1"/>
  <c r="F93" i="23"/>
  <c r="H93" i="23" s="1"/>
  <c r="F92" i="23"/>
  <c r="H92" i="23" s="1"/>
  <c r="F91" i="23"/>
  <c r="H91" i="23" s="1"/>
  <c r="F90" i="23"/>
  <c r="H90" i="23" s="1"/>
  <c r="F89" i="23"/>
  <c r="H89" i="23" s="1"/>
  <c r="F88" i="23"/>
  <c r="H88" i="23" s="1"/>
  <c r="F87" i="23"/>
  <c r="H87" i="23" s="1"/>
  <c r="F86" i="23"/>
  <c r="H86" i="23" s="1"/>
  <c r="F85" i="23"/>
  <c r="H85" i="23" s="1"/>
  <c r="F84" i="23"/>
  <c r="H84" i="23" s="1"/>
  <c r="F83" i="23"/>
  <c r="H83" i="23" s="1"/>
  <c r="F82" i="23"/>
  <c r="H82" i="23" s="1"/>
  <c r="F81" i="23"/>
  <c r="H81" i="23" s="1"/>
  <c r="F80" i="23"/>
  <c r="H80" i="23" s="1"/>
  <c r="F79" i="23"/>
  <c r="H79" i="23" s="1"/>
  <c r="F78" i="23"/>
  <c r="H78" i="23" s="1"/>
  <c r="F77" i="23"/>
  <c r="H77" i="23" s="1"/>
  <c r="F76" i="23"/>
  <c r="H76" i="23" s="1"/>
  <c r="F75" i="23"/>
  <c r="H75" i="23" s="1"/>
  <c r="F74" i="23"/>
  <c r="H74" i="23" s="1"/>
  <c r="F73" i="23"/>
  <c r="H73" i="23" s="1"/>
  <c r="F72" i="23"/>
  <c r="H72" i="23" s="1"/>
  <c r="F71" i="23"/>
  <c r="H71" i="23" s="1"/>
  <c r="F70" i="23"/>
  <c r="H70" i="23" s="1"/>
  <c r="F69" i="23"/>
  <c r="H69" i="23" s="1"/>
  <c r="F68" i="23"/>
  <c r="H68" i="23" s="1"/>
  <c r="F67" i="23"/>
  <c r="H67" i="23" s="1"/>
  <c r="F66" i="23"/>
  <c r="H66" i="23" s="1"/>
  <c r="F65" i="23"/>
  <c r="H65" i="23" s="1"/>
  <c r="F64" i="23"/>
  <c r="H64" i="23" s="1"/>
  <c r="F63" i="23"/>
  <c r="H63" i="23" s="1"/>
  <c r="F62" i="23"/>
  <c r="H62" i="23" s="1"/>
  <c r="F61" i="23"/>
  <c r="H61" i="23" s="1"/>
  <c r="F60" i="23"/>
  <c r="H60" i="23" s="1"/>
  <c r="F59" i="23"/>
  <c r="H59" i="23" s="1"/>
  <c r="F58" i="23"/>
  <c r="H58" i="23" s="1"/>
  <c r="F57" i="23"/>
  <c r="H57" i="23" s="1"/>
  <c r="F56" i="23"/>
  <c r="H56" i="23" s="1"/>
  <c r="F55" i="23"/>
  <c r="H55" i="23" s="1"/>
  <c r="F54" i="23"/>
  <c r="H54" i="23" s="1"/>
  <c r="F53" i="23"/>
  <c r="H53" i="23" s="1"/>
  <c r="F52" i="23"/>
  <c r="H52" i="23" s="1"/>
  <c r="F51" i="23"/>
  <c r="H51" i="23" s="1"/>
  <c r="F50" i="23"/>
  <c r="H50" i="23" s="1"/>
  <c r="F49" i="23"/>
  <c r="H49" i="23" s="1"/>
  <c r="F48" i="23"/>
  <c r="H48" i="23" s="1"/>
  <c r="F47" i="23"/>
  <c r="H47" i="23" s="1"/>
  <c r="F46" i="23"/>
  <c r="H46" i="23" s="1"/>
  <c r="F45" i="23"/>
  <c r="H45" i="23" s="1"/>
  <c r="F44" i="23"/>
  <c r="H44" i="23" s="1"/>
  <c r="F43" i="23"/>
  <c r="H43" i="23" s="1"/>
  <c r="F42" i="23"/>
  <c r="H42" i="23" s="1"/>
  <c r="F41" i="23"/>
  <c r="H41" i="23" s="1"/>
  <c r="F40" i="23"/>
  <c r="H40" i="23" s="1"/>
  <c r="F39" i="23"/>
  <c r="H39" i="23" s="1"/>
  <c r="F38" i="23"/>
  <c r="H38" i="23" s="1"/>
  <c r="A38" i="23" a="1"/>
  <c r="A38" i="23" s="1"/>
  <c r="F37" i="23"/>
  <c r="H37" i="23" s="1"/>
  <c r="F36" i="23"/>
  <c r="H36" i="23" s="1"/>
  <c r="F35" i="23"/>
  <c r="H35" i="23" s="1"/>
  <c r="F34" i="23"/>
  <c r="H34" i="23" s="1"/>
  <c r="F33" i="23"/>
  <c r="H33" i="23" s="1"/>
  <c r="F32" i="23"/>
  <c r="H32" i="23" s="1"/>
  <c r="F31" i="23"/>
  <c r="H31" i="23" s="1"/>
  <c r="F30" i="23"/>
  <c r="H30" i="23" s="1"/>
  <c r="F29" i="23"/>
  <c r="H29" i="23" s="1"/>
  <c r="F28" i="23"/>
  <c r="H28" i="23" s="1"/>
  <c r="F27" i="23"/>
  <c r="H27" i="23" s="1"/>
  <c r="F26" i="23"/>
  <c r="H26" i="23" s="1"/>
  <c r="F25" i="23"/>
  <c r="H25" i="23" s="1"/>
  <c r="F24" i="23"/>
  <c r="H24" i="23" s="1"/>
  <c r="F23" i="23"/>
  <c r="H23" i="23" s="1"/>
  <c r="F22" i="23"/>
  <c r="H22" i="23" s="1"/>
  <c r="A22" i="23" a="1"/>
  <c r="A22" i="23" s="1"/>
  <c r="F21" i="23"/>
  <c r="H21" i="23" s="1"/>
  <c r="F20" i="23"/>
  <c r="H20" i="23" s="1"/>
  <c r="F19" i="23"/>
  <c r="H19" i="23" s="1"/>
  <c r="F18" i="23"/>
  <c r="H18" i="23" s="1"/>
  <c r="F17" i="23"/>
  <c r="H17" i="23" s="1"/>
  <c r="F16" i="23"/>
  <c r="H16" i="23" s="1"/>
  <c r="F15" i="23"/>
  <c r="H15" i="23" s="1"/>
  <c r="F14" i="23"/>
  <c r="H14" i="23" s="1"/>
  <c r="F13" i="23"/>
  <c r="H13" i="23" s="1"/>
  <c r="F12" i="23"/>
  <c r="H12" i="23" s="1"/>
  <c r="F11" i="23"/>
  <c r="H11" i="23" s="1"/>
  <c r="F10" i="23"/>
  <c r="H10" i="23" s="1"/>
  <c r="F9" i="23"/>
  <c r="H9" i="23" s="1"/>
  <c r="F8" i="23"/>
  <c r="H8" i="23" s="1"/>
  <c r="A8" i="23" a="1"/>
  <c r="A8" i="23" s="1"/>
  <c r="F7" i="23"/>
  <c r="H7" i="23" s="1"/>
  <c r="F6" i="23"/>
  <c r="H6" i="23" s="1"/>
  <c r="F5" i="23"/>
  <c r="H5" i="23" s="1"/>
  <c r="F4" i="23"/>
  <c r="F3" i="23"/>
  <c r="H3" i="23" s="1"/>
  <c r="A14" i="24" l="1" a="1"/>
  <c r="A14" i="24" s="1"/>
  <c r="A18" i="24" a="1"/>
  <c r="A18" i="24" s="1"/>
  <c r="A6" i="24" a="1"/>
  <c r="A6" i="24" s="1"/>
  <c r="A24" i="24" a="1"/>
  <c r="A24" i="24" s="1"/>
  <c r="A12" i="24" a="1"/>
  <c r="A12" i="24" s="1"/>
  <c r="A10" i="24" a="1"/>
  <c r="A10" i="24" s="1"/>
  <c r="A16" i="24" a="1"/>
  <c r="A16" i="24" s="1"/>
  <c r="A30" i="24" a="1"/>
  <c r="A30" i="24" s="1"/>
  <c r="A20" i="24" a="1"/>
  <c r="A20" i="24" s="1"/>
  <c r="A123" i="24" a="1"/>
  <c r="A123" i="24" s="1"/>
  <c r="A26" i="24" a="1"/>
  <c r="A26" i="24" s="1"/>
  <c r="A123" i="23" a="1"/>
  <c r="A123" i="23" s="1"/>
  <c r="A64" i="23" a="1"/>
  <c r="A64" i="23" s="1"/>
  <c r="A12" i="23" a="1"/>
  <c r="A12" i="23" s="1"/>
  <c r="A54" i="23" a="1"/>
  <c r="A54" i="23" s="1"/>
  <c r="A18" i="23" a="1"/>
  <c r="A18" i="23" s="1"/>
  <c r="A24" i="23" a="1"/>
  <c r="A24" i="23" s="1"/>
  <c r="A14" i="23" a="1"/>
  <c r="A14" i="23" s="1"/>
  <c r="A16" i="23" a="1"/>
  <c r="A16" i="23" s="1"/>
  <c r="A32" i="23" a="1"/>
  <c r="A32" i="23" s="1"/>
  <c r="A48" i="23" a="1"/>
  <c r="A48" i="23" s="1"/>
  <c r="A58" i="23" a="1"/>
  <c r="A58" i="23" s="1"/>
  <c r="A44" i="23" a="1"/>
  <c r="A44" i="23" s="1"/>
  <c r="A13" i="23" a="1"/>
  <c r="A13" i="23" s="1"/>
  <c r="A28" i="23" a="1"/>
  <c r="A28" i="23" s="1"/>
  <c r="A9" i="23" a="1"/>
  <c r="A9" i="23" s="1"/>
  <c r="A60" i="23" a="1"/>
  <c r="A60" i="23" s="1"/>
  <c r="A10" i="23" a="1"/>
  <c r="A10" i="23" s="1"/>
  <c r="A46" i="23" a="1"/>
  <c r="A46" i="23" s="1"/>
  <c r="A51" i="23" a="1"/>
  <c r="A51" i="23" s="1"/>
  <c r="A72" i="23" a="1"/>
  <c r="A72" i="23" s="1"/>
  <c r="A70" i="23" a="1"/>
  <c r="A70" i="23" s="1"/>
  <c r="A34" i="23" a="1"/>
  <c r="A34" i="23" s="1"/>
  <c r="A40" i="23" a="1"/>
  <c r="A40" i="23" s="1"/>
  <c r="A30" i="23" a="1"/>
  <c r="A30" i="23" s="1"/>
  <c r="A56" i="23" a="1"/>
  <c r="A56" i="23" s="1"/>
  <c r="A20" i="23" a="1"/>
  <c r="A20" i="23" s="1"/>
  <c r="A36" i="23" a="1"/>
  <c r="A36" i="23" s="1"/>
  <c r="A62" i="23" a="1"/>
  <c r="A62" i="23" s="1"/>
  <c r="A5" i="23" a="1"/>
  <c r="A5" i="23" s="1"/>
  <c r="A50" i="23" a="1"/>
  <c r="A50" i="23" s="1"/>
  <c r="A66" i="23" a="1"/>
  <c r="A66" i="23" s="1"/>
  <c r="A6" i="23" a="1"/>
  <c r="A6" i="23" s="1"/>
  <c r="A7" i="23" a="1"/>
  <c r="A7" i="23" s="1"/>
  <c r="A11" i="23" a="1"/>
  <c r="A11" i="23" s="1"/>
  <c r="A26" i="23" a="1"/>
  <c r="A26" i="23" s="1"/>
  <c r="A42" i="23" a="1"/>
  <c r="A42" i="23" s="1"/>
  <c r="A52" i="23" a="1"/>
  <c r="A52" i="23" s="1"/>
  <c r="A68" i="23" a="1"/>
  <c r="A68" i="23" s="1"/>
  <c r="A74" i="26" a="1"/>
  <c r="A74" i="26" s="1"/>
  <c r="A76" i="26" a="1"/>
  <c r="A76" i="26" s="1"/>
  <c r="A78" i="26" a="1"/>
  <c r="A78" i="26" s="1"/>
  <c r="A80" i="26" a="1"/>
  <c r="A80" i="26" s="1"/>
  <c r="A82" i="26" a="1"/>
  <c r="A82" i="26" s="1"/>
  <c r="A84" i="26" a="1"/>
  <c r="A84" i="26" s="1"/>
  <c r="A86" i="26" a="1"/>
  <c r="A86" i="26" s="1"/>
  <c r="A88" i="26" a="1"/>
  <c r="A88" i="26" s="1"/>
  <c r="A90" i="26" a="1"/>
  <c r="A90" i="26" s="1"/>
  <c r="A92" i="26" a="1"/>
  <c r="A92" i="26" s="1"/>
  <c r="A94" i="26" a="1"/>
  <c r="A94" i="26" s="1"/>
  <c r="A96" i="26" a="1"/>
  <c r="A96" i="26" s="1"/>
  <c r="A98" i="26" a="1"/>
  <c r="A98" i="26" s="1"/>
  <c r="A100" i="26" a="1"/>
  <c r="A100" i="26" s="1"/>
  <c r="A102" i="26" a="1"/>
  <c r="A102" i="26" s="1"/>
  <c r="A104" i="26" a="1"/>
  <c r="A104" i="26" s="1"/>
  <c r="A106" i="26" a="1"/>
  <c r="A106" i="26" s="1"/>
  <c r="A108" i="26" a="1"/>
  <c r="A108" i="26" s="1"/>
  <c r="A110" i="26" a="1"/>
  <c r="A110" i="26" s="1"/>
  <c r="A112" i="26" a="1"/>
  <c r="A112" i="26" s="1"/>
  <c r="A114" i="26" a="1"/>
  <c r="A114" i="26" s="1"/>
  <c r="A116" i="26" a="1"/>
  <c r="A116" i="26" s="1"/>
  <c r="A118" i="26" a="1"/>
  <c r="A118" i="26" s="1"/>
  <c r="A120" i="26" a="1"/>
  <c r="A120" i="26" s="1"/>
  <c r="A122" i="26" a="1"/>
  <c r="A122" i="26" s="1"/>
  <c r="A124" i="26" a="1"/>
  <c r="A124" i="26" s="1"/>
  <c r="A126" i="26" a="1"/>
  <c r="A126" i="26" s="1"/>
  <c r="H4" i="26"/>
  <c r="A4" i="26" s="1" a="1"/>
  <c r="A4" i="26" s="1"/>
  <c r="A59" i="26" a="1"/>
  <c r="A59" i="26" s="1"/>
  <c r="A109" i="26" a="1"/>
  <c r="A109" i="26" s="1"/>
  <c r="A49" i="26" a="1"/>
  <c r="A49" i="26" s="1"/>
  <c r="A55" i="26" a="1"/>
  <c r="A55" i="26" s="1"/>
  <c r="A63" i="26" a="1"/>
  <c r="A63" i="26" s="1"/>
  <c r="A69" i="26" a="1"/>
  <c r="A69" i="26" s="1"/>
  <c r="A75" i="26" a="1"/>
  <c r="A75" i="26" s="1"/>
  <c r="A79" i="26" a="1"/>
  <c r="A79" i="26" s="1"/>
  <c r="A85" i="26" a="1"/>
  <c r="A85" i="26" s="1"/>
  <c r="A91" i="26" a="1"/>
  <c r="A91" i="26" s="1"/>
  <c r="A97" i="26" a="1"/>
  <c r="A97" i="26" s="1"/>
  <c r="A105" i="26" a="1"/>
  <c r="A105" i="26" s="1"/>
  <c r="A113" i="26" a="1"/>
  <c r="A113" i="26" s="1"/>
  <c r="A119" i="26" a="1"/>
  <c r="A119" i="26" s="1"/>
  <c r="A127" i="26" a="1"/>
  <c r="A127" i="26" s="1"/>
  <c r="A53" i="26" a="1"/>
  <c r="A53" i="26" s="1"/>
  <c r="A61" i="26" a="1"/>
  <c r="A61" i="26" s="1"/>
  <c r="A67" i="26" a="1"/>
  <c r="A67" i="26" s="1"/>
  <c r="A73" i="26" a="1"/>
  <c r="A73" i="26" s="1"/>
  <c r="A81" i="26" a="1"/>
  <c r="A81" i="26" s="1"/>
  <c r="A87" i="26" a="1"/>
  <c r="A87" i="26" s="1"/>
  <c r="A93" i="26" a="1"/>
  <c r="A93" i="26" s="1"/>
  <c r="A101" i="26" a="1"/>
  <c r="A101" i="26" s="1"/>
  <c r="A107" i="26" a="1"/>
  <c r="A107" i="26" s="1"/>
  <c r="A115" i="26" a="1"/>
  <c r="A115" i="26" s="1"/>
  <c r="A117" i="26" a="1"/>
  <c r="A117" i="26" s="1"/>
  <c r="A123" i="26" a="1"/>
  <c r="A123" i="26" s="1"/>
  <c r="A51" i="26" a="1"/>
  <c r="A51" i="26" s="1"/>
  <c r="A57" i="26" a="1"/>
  <c r="A57" i="26" s="1"/>
  <c r="A65" i="26" a="1"/>
  <c r="A65" i="26" s="1"/>
  <c r="A71" i="26" a="1"/>
  <c r="A71" i="26" s="1"/>
  <c r="A77" i="26" a="1"/>
  <c r="A77" i="26" s="1"/>
  <c r="A83" i="26" a="1"/>
  <c r="A83" i="26" s="1"/>
  <c r="A89" i="26" a="1"/>
  <c r="A89" i="26" s="1"/>
  <c r="A95" i="26" a="1"/>
  <c r="A95" i="26" s="1"/>
  <c r="A99" i="26" a="1"/>
  <c r="A99" i="26" s="1"/>
  <c r="A103" i="26" a="1"/>
  <c r="A103" i="26" s="1"/>
  <c r="A111" i="26" a="1"/>
  <c r="A111" i="26" s="1"/>
  <c r="A121" i="26" a="1"/>
  <c r="A121" i="26" s="1"/>
  <c r="A80" i="25" a="1"/>
  <c r="A80" i="25" s="1"/>
  <c r="A82" i="25" a="1"/>
  <c r="A82" i="25" s="1"/>
  <c r="A84" i="25" a="1"/>
  <c r="A84" i="25" s="1"/>
  <c r="A86" i="25" a="1"/>
  <c r="A86" i="25" s="1"/>
  <c r="A88" i="25" a="1"/>
  <c r="A88" i="25" s="1"/>
  <c r="A90" i="25" a="1"/>
  <c r="A90" i="25" s="1"/>
  <c r="A92" i="25" a="1"/>
  <c r="A92" i="25" s="1"/>
  <c r="A94" i="25" a="1"/>
  <c r="A94" i="25" s="1"/>
  <c r="A96" i="25" a="1"/>
  <c r="A96" i="25" s="1"/>
  <c r="A98" i="25" a="1"/>
  <c r="A98" i="25" s="1"/>
  <c r="A100" i="25" a="1"/>
  <c r="A100" i="25" s="1"/>
  <c r="A102" i="25" a="1"/>
  <c r="A102" i="25" s="1"/>
  <c r="A104" i="25" a="1"/>
  <c r="A104" i="25" s="1"/>
  <c r="A106" i="25" a="1"/>
  <c r="A106" i="25" s="1"/>
  <c r="A108" i="25" a="1"/>
  <c r="A108" i="25" s="1"/>
  <c r="A110" i="25" a="1"/>
  <c r="A110" i="25" s="1"/>
  <c r="A112" i="25" a="1"/>
  <c r="A112" i="25" s="1"/>
  <c r="A114" i="25" a="1"/>
  <c r="A114" i="25" s="1"/>
  <c r="A116" i="25" a="1"/>
  <c r="A116" i="25" s="1"/>
  <c r="A118" i="25" a="1"/>
  <c r="A118" i="25" s="1"/>
  <c r="A120" i="25" a="1"/>
  <c r="A120" i="25" s="1"/>
  <c r="A122" i="25" a="1"/>
  <c r="A122" i="25" s="1"/>
  <c r="A124" i="25" a="1"/>
  <c r="A124" i="25" s="1"/>
  <c r="A126" i="25" a="1"/>
  <c r="A126" i="25" s="1"/>
  <c r="H4" i="25"/>
  <c r="A4" i="25" s="1" a="1"/>
  <c r="A4" i="25" s="1"/>
  <c r="A65" i="25" a="1"/>
  <c r="A65" i="25" s="1"/>
  <c r="A115" i="25" a="1"/>
  <c r="A115" i="25" s="1"/>
  <c r="A49" i="25" a="1"/>
  <c r="A49" i="25" s="1"/>
  <c r="A55" i="25" a="1"/>
  <c r="A55" i="25" s="1"/>
  <c r="A61" i="25" a="1"/>
  <c r="A61" i="25" s="1"/>
  <c r="A69" i="25" a="1"/>
  <c r="A69" i="25" s="1"/>
  <c r="A77" i="25" a="1"/>
  <c r="A77" i="25" s="1"/>
  <c r="A81" i="25" a="1"/>
  <c r="A81" i="25" s="1"/>
  <c r="A89" i="25" a="1"/>
  <c r="A89" i="25" s="1"/>
  <c r="A95" i="25" a="1"/>
  <c r="A95" i="25" s="1"/>
  <c r="A99" i="25" a="1"/>
  <c r="A99" i="25" s="1"/>
  <c r="A107" i="25" a="1"/>
  <c r="A107" i="25" s="1"/>
  <c r="A113" i="25" a="1"/>
  <c r="A113" i="25" s="1"/>
  <c r="A121" i="25" a="1"/>
  <c r="A121" i="25" s="1"/>
  <c r="A127" i="25" a="1"/>
  <c r="A127" i="25" s="1"/>
  <c r="A51" i="25" a="1"/>
  <c r="A51" i="25" s="1"/>
  <c r="A57" i="25" a="1"/>
  <c r="A57" i="25" s="1"/>
  <c r="A63" i="25" a="1"/>
  <c r="A63" i="25" s="1"/>
  <c r="A71" i="25" a="1"/>
  <c r="A71" i="25" s="1"/>
  <c r="A73" i="25" a="1"/>
  <c r="A73" i="25" s="1"/>
  <c r="A83" i="25" a="1"/>
  <c r="A83" i="25" s="1"/>
  <c r="A85" i="25" a="1"/>
  <c r="A85" i="25" s="1"/>
  <c r="A91" i="25" a="1"/>
  <c r="A91" i="25" s="1"/>
  <c r="A97" i="25" a="1"/>
  <c r="A97" i="25" s="1"/>
  <c r="A103" i="25" a="1"/>
  <c r="A103" i="25" s="1"/>
  <c r="A109" i="25" a="1"/>
  <c r="A109" i="25" s="1"/>
  <c r="A117" i="25" a="1"/>
  <c r="A117" i="25" s="1"/>
  <c r="A125" i="25" a="1"/>
  <c r="A125" i="25" s="1"/>
  <c r="A47" i="25" a="1"/>
  <c r="A47" i="25" s="1"/>
  <c r="A53" i="25" a="1"/>
  <c r="A53" i="25" s="1"/>
  <c r="A59" i="25" a="1"/>
  <c r="A59" i="25" s="1"/>
  <c r="A67" i="25" a="1"/>
  <c r="A67" i="25" s="1"/>
  <c r="A75" i="25" a="1"/>
  <c r="A75" i="25" s="1"/>
  <c r="A79" i="25" a="1"/>
  <c r="A79" i="25" s="1"/>
  <c r="A87" i="25" a="1"/>
  <c r="A87" i="25" s="1"/>
  <c r="A93" i="25" a="1"/>
  <c r="A93" i="25" s="1"/>
  <c r="A101" i="25" a="1"/>
  <c r="A101" i="25" s="1"/>
  <c r="A105" i="25" a="1"/>
  <c r="A105" i="25" s="1"/>
  <c r="A111" i="25" a="1"/>
  <c r="A111" i="25" s="1"/>
  <c r="A119" i="25" a="1"/>
  <c r="A119" i="25" s="1"/>
  <c r="A32" i="24" a="1"/>
  <c r="A32" i="24" s="1"/>
  <c r="A36" i="24" a="1"/>
  <c r="A36" i="24" s="1"/>
  <c r="A38" i="24" a="1"/>
  <c r="A38" i="24" s="1"/>
  <c r="A40" i="24" a="1"/>
  <c r="A40" i="24" s="1"/>
  <c r="A44" i="24" a="1"/>
  <c r="A44" i="24" s="1"/>
  <c r="A46" i="24" a="1"/>
  <c r="A46" i="24" s="1"/>
  <c r="A50" i="24" a="1"/>
  <c r="A50" i="24" s="1"/>
  <c r="A52" i="24" a="1"/>
  <c r="A52" i="24" s="1"/>
  <c r="A54" i="24" a="1"/>
  <c r="A54" i="24" s="1"/>
  <c r="A58" i="24" a="1"/>
  <c r="A58" i="24" s="1"/>
  <c r="A60" i="24" a="1"/>
  <c r="A60" i="24" s="1"/>
  <c r="A62" i="24" a="1"/>
  <c r="A62" i="24" s="1"/>
  <c r="A64" i="24" a="1"/>
  <c r="A64" i="24" s="1"/>
  <c r="A68" i="24" a="1"/>
  <c r="A68" i="24" s="1"/>
  <c r="A70" i="24" a="1"/>
  <c r="A70" i="24" s="1"/>
  <c r="A72" i="24" a="1"/>
  <c r="A72" i="24" s="1"/>
  <c r="A74" i="24" a="1"/>
  <c r="A74" i="24" s="1"/>
  <c r="A76" i="24" a="1"/>
  <c r="A76" i="24" s="1"/>
  <c r="A78" i="24" a="1"/>
  <c r="A78" i="24" s="1"/>
  <c r="A80" i="24" a="1"/>
  <c r="A80" i="24" s="1"/>
  <c r="A82" i="24" a="1"/>
  <c r="A82" i="24" s="1"/>
  <c r="A84" i="24" a="1"/>
  <c r="A84" i="24" s="1"/>
  <c r="A86" i="24" a="1"/>
  <c r="A86" i="24" s="1"/>
  <c r="A88" i="24" a="1"/>
  <c r="A88" i="24" s="1"/>
  <c r="A90" i="24" a="1"/>
  <c r="A90" i="24" s="1"/>
  <c r="A92" i="24" a="1"/>
  <c r="A92" i="24" s="1"/>
  <c r="A94" i="24" a="1"/>
  <c r="A94" i="24" s="1"/>
  <c r="A96" i="24" a="1"/>
  <c r="A96" i="24" s="1"/>
  <c r="A98" i="24" a="1"/>
  <c r="A98" i="24" s="1"/>
  <c r="A100" i="24" a="1"/>
  <c r="A100" i="24" s="1"/>
  <c r="A102" i="24" a="1"/>
  <c r="A102" i="24" s="1"/>
  <c r="A104" i="24" a="1"/>
  <c r="A104" i="24" s="1"/>
  <c r="A106" i="24" a="1"/>
  <c r="A106" i="24" s="1"/>
  <c r="A108" i="24" a="1"/>
  <c r="A108" i="24" s="1"/>
  <c r="A110" i="24" a="1"/>
  <c r="A110" i="24" s="1"/>
  <c r="A112" i="24" a="1"/>
  <c r="A112" i="24" s="1"/>
  <c r="A114" i="24" a="1"/>
  <c r="A114" i="24" s="1"/>
  <c r="A116" i="24" a="1"/>
  <c r="A116" i="24" s="1"/>
  <c r="A118" i="24" a="1"/>
  <c r="A118" i="24" s="1"/>
  <c r="A120" i="24" a="1"/>
  <c r="A120" i="24" s="1"/>
  <c r="A122" i="24" a="1"/>
  <c r="A122" i="24" s="1"/>
  <c r="A124" i="24" a="1"/>
  <c r="A124" i="24" s="1"/>
  <c r="A126" i="24" a="1"/>
  <c r="A126" i="24" s="1"/>
  <c r="A34" i="24" a="1"/>
  <c r="A34" i="24" s="1"/>
  <c r="A42" i="24" a="1"/>
  <c r="A42" i="24" s="1"/>
  <c r="A48" i="24" a="1"/>
  <c r="A48" i="24" s="1"/>
  <c r="A56" i="24" a="1"/>
  <c r="A56" i="24" s="1"/>
  <c r="A66" i="24" a="1"/>
  <c r="A66" i="24" s="1"/>
  <c r="H4" i="24"/>
  <c r="A4" i="24" s="1" a="1"/>
  <c r="A4" i="24" s="1"/>
  <c r="A19" i="24" a="1"/>
  <c r="A19" i="24" s="1"/>
  <c r="A33" i="24" a="1"/>
  <c r="A33" i="24" s="1"/>
  <c r="A53" i="24" a="1"/>
  <c r="A53" i="24" s="1"/>
  <c r="A115" i="24" a="1"/>
  <c r="A115" i="24" s="1"/>
  <c r="A7" i="24" a="1"/>
  <c r="A7" i="24" s="1"/>
  <c r="A13" i="24" a="1"/>
  <c r="A13" i="24" s="1"/>
  <c r="A21" i="24" a="1"/>
  <c r="A21" i="24" s="1"/>
  <c r="A27" i="24" a="1"/>
  <c r="A27" i="24" s="1"/>
  <c r="A35" i="24" a="1"/>
  <c r="A35" i="24" s="1"/>
  <c r="A41" i="24" a="1"/>
  <c r="A41" i="24" s="1"/>
  <c r="A47" i="24" a="1"/>
  <c r="A47" i="24" s="1"/>
  <c r="A55" i="24" a="1"/>
  <c r="A55" i="24" s="1"/>
  <c r="A61" i="24" a="1"/>
  <c r="A61" i="24" s="1"/>
  <c r="A67" i="24" a="1"/>
  <c r="A67" i="24" s="1"/>
  <c r="A75" i="24" a="1"/>
  <c r="A75" i="24" s="1"/>
  <c r="A81" i="24" a="1"/>
  <c r="A81" i="24" s="1"/>
  <c r="A85" i="24" a="1"/>
  <c r="A85" i="24" s="1"/>
  <c r="A93" i="24" a="1"/>
  <c r="A93" i="24" s="1"/>
  <c r="A97" i="24" a="1"/>
  <c r="A97" i="24" s="1"/>
  <c r="A103" i="24" a="1"/>
  <c r="A103" i="24" s="1"/>
  <c r="A111" i="24" a="1"/>
  <c r="A111" i="24" s="1"/>
  <c r="A119" i="24" a="1"/>
  <c r="A119" i="24" s="1"/>
  <c r="A127" i="24" a="1"/>
  <c r="A127" i="24" s="1"/>
  <c r="A11" i="24" a="1"/>
  <c r="A11" i="24" s="1"/>
  <c r="A17" i="24" a="1"/>
  <c r="A17" i="24" s="1"/>
  <c r="A23" i="24" a="1"/>
  <c r="A23" i="24" s="1"/>
  <c r="A29" i="24" a="1"/>
  <c r="A29" i="24" s="1"/>
  <c r="A37" i="24" a="1"/>
  <c r="A37" i="24" s="1"/>
  <c r="A43" i="24" a="1"/>
  <c r="A43" i="24" s="1"/>
  <c r="A49" i="24" a="1"/>
  <c r="A49" i="24" s="1"/>
  <c r="A57" i="24" a="1"/>
  <c r="A57" i="24" s="1"/>
  <c r="A63" i="24" a="1"/>
  <c r="A63" i="24" s="1"/>
  <c r="A69" i="24" a="1"/>
  <c r="A69" i="24" s="1"/>
  <c r="A73" i="24" a="1"/>
  <c r="A73" i="24" s="1"/>
  <c r="A79" i="24" a="1"/>
  <c r="A79" i="24" s="1"/>
  <c r="A87" i="24" a="1"/>
  <c r="A87" i="24" s="1"/>
  <c r="A91" i="24" a="1"/>
  <c r="A91" i="24" s="1"/>
  <c r="A101" i="24" a="1"/>
  <c r="A101" i="24" s="1"/>
  <c r="A105" i="24" a="1"/>
  <c r="A105" i="24" s="1"/>
  <c r="A109" i="24" a="1"/>
  <c r="A109" i="24" s="1"/>
  <c r="A117" i="24" a="1"/>
  <c r="A117" i="24" s="1"/>
  <c r="A125" i="24" a="1"/>
  <c r="A125" i="24" s="1"/>
  <c r="A5" i="24" a="1"/>
  <c r="A5" i="24" s="1"/>
  <c r="A9" i="24" a="1"/>
  <c r="A9" i="24" s="1"/>
  <c r="A15" i="24" a="1"/>
  <c r="A15" i="24" s="1"/>
  <c r="A25" i="24" a="1"/>
  <c r="A25" i="24" s="1"/>
  <c r="A31" i="24" a="1"/>
  <c r="A31" i="24" s="1"/>
  <c r="A39" i="24" a="1"/>
  <c r="A39" i="24" s="1"/>
  <c r="A45" i="24" a="1"/>
  <c r="A45" i="24" s="1"/>
  <c r="A51" i="24" a="1"/>
  <c r="A51" i="24" s="1"/>
  <c r="A59" i="24" a="1"/>
  <c r="A59" i="24" s="1"/>
  <c r="A65" i="24" a="1"/>
  <c r="A65" i="24" s="1"/>
  <c r="A71" i="24" a="1"/>
  <c r="A71" i="24" s="1"/>
  <c r="A77" i="24" a="1"/>
  <c r="A77" i="24" s="1"/>
  <c r="A83" i="24" a="1"/>
  <c r="A83" i="24" s="1"/>
  <c r="A89" i="24" a="1"/>
  <c r="A89" i="24" s="1"/>
  <c r="A95" i="24" a="1"/>
  <c r="A95" i="24" s="1"/>
  <c r="A99" i="24" a="1"/>
  <c r="A99" i="24" s="1"/>
  <c r="A107" i="24" a="1"/>
  <c r="A107" i="24" s="1"/>
  <c r="A113" i="24" a="1"/>
  <c r="A113" i="24" s="1"/>
  <c r="A121" i="24" a="1"/>
  <c r="A121" i="24" s="1"/>
  <c r="A74" i="23" a="1"/>
  <c r="A74" i="23" s="1"/>
  <c r="A76" i="23" a="1"/>
  <c r="A76" i="23" s="1"/>
  <c r="A78" i="23" a="1"/>
  <c r="A78" i="23" s="1"/>
  <c r="A80" i="23" a="1"/>
  <c r="A80" i="23" s="1"/>
  <c r="A82" i="23" a="1"/>
  <c r="A82" i="23" s="1"/>
  <c r="A84" i="23" a="1"/>
  <c r="A84" i="23" s="1"/>
  <c r="A86" i="23" a="1"/>
  <c r="A86" i="23" s="1"/>
  <c r="A88" i="23" a="1"/>
  <c r="A88" i="23" s="1"/>
  <c r="A90" i="23" a="1"/>
  <c r="A90" i="23" s="1"/>
  <c r="A92" i="23" a="1"/>
  <c r="A92" i="23" s="1"/>
  <c r="A94" i="23" a="1"/>
  <c r="A94" i="23" s="1"/>
  <c r="A98" i="23" a="1"/>
  <c r="A98" i="23" s="1"/>
  <c r="A100" i="23" a="1"/>
  <c r="A100" i="23" s="1"/>
  <c r="A102" i="23" a="1"/>
  <c r="A102" i="23" s="1"/>
  <c r="A104" i="23" a="1"/>
  <c r="A104" i="23" s="1"/>
  <c r="A106" i="23" a="1"/>
  <c r="A106" i="23" s="1"/>
  <c r="A108" i="23" a="1"/>
  <c r="A108" i="23" s="1"/>
  <c r="A110" i="23" a="1"/>
  <c r="A110" i="23" s="1"/>
  <c r="A112" i="23" a="1"/>
  <c r="A112" i="23" s="1"/>
  <c r="A114" i="23" a="1"/>
  <c r="A114" i="23" s="1"/>
  <c r="A116" i="23" a="1"/>
  <c r="A116" i="23" s="1"/>
  <c r="A118" i="23" a="1"/>
  <c r="A118" i="23" s="1"/>
  <c r="A120" i="23" a="1"/>
  <c r="A120" i="23" s="1"/>
  <c r="A122" i="23" a="1"/>
  <c r="A122" i="23" s="1"/>
  <c r="A124" i="23" a="1"/>
  <c r="A124" i="23" s="1"/>
  <c r="A126" i="23" a="1"/>
  <c r="A126" i="23" s="1"/>
  <c r="A96" i="23" a="1"/>
  <c r="A96" i="23" s="1"/>
  <c r="H4" i="23"/>
  <c r="A4" i="23" s="1" a="1"/>
  <c r="A4" i="23" s="1"/>
  <c r="A15" i="23" a="1"/>
  <c r="A15" i="23" s="1"/>
  <c r="A21" i="23" a="1"/>
  <c r="A21" i="23" s="1"/>
  <c r="A27" i="23" a="1"/>
  <c r="A27" i="23" s="1"/>
  <c r="A35" i="23" a="1"/>
  <c r="A35" i="23" s="1"/>
  <c r="A111" i="23" a="1"/>
  <c r="A111" i="23" s="1"/>
  <c r="A57" i="23" a="1"/>
  <c r="A57" i="23" s="1"/>
  <c r="A63" i="23" a="1"/>
  <c r="A63" i="23" s="1"/>
  <c r="A69" i="23" a="1"/>
  <c r="A69" i="23" s="1"/>
  <c r="A75" i="23" a="1"/>
  <c r="A75" i="23" s="1"/>
  <c r="A81" i="23" a="1"/>
  <c r="A81" i="23" s="1"/>
  <c r="A87" i="23" a="1"/>
  <c r="A87" i="23" s="1"/>
  <c r="A93" i="23" a="1"/>
  <c r="A93" i="23" s="1"/>
  <c r="A99" i="23" a="1"/>
  <c r="A99" i="23" s="1"/>
  <c r="A107" i="23" a="1"/>
  <c r="A107" i="23" s="1"/>
  <c r="A115" i="23" a="1"/>
  <c r="A115" i="23" s="1"/>
  <c r="A121" i="23" a="1"/>
  <c r="A121" i="23" s="1"/>
  <c r="A127" i="23" a="1"/>
  <c r="A127" i="23" s="1"/>
  <c r="A17" i="23" a="1"/>
  <c r="A17" i="23" s="1"/>
  <c r="A23" i="23" a="1"/>
  <c r="A23" i="23" s="1"/>
  <c r="A29" i="23" a="1"/>
  <c r="A29" i="23" s="1"/>
  <c r="A33" i="23" a="1"/>
  <c r="A33" i="23" s="1"/>
  <c r="A39" i="23" a="1"/>
  <c r="A39" i="23" s="1"/>
  <c r="A43" i="23" a="1"/>
  <c r="A43" i="23" s="1"/>
  <c r="A47" i="23" a="1"/>
  <c r="A47" i="23" s="1"/>
  <c r="A53" i="23" a="1"/>
  <c r="A53" i="23" s="1"/>
  <c r="A59" i="23" a="1"/>
  <c r="A59" i="23" s="1"/>
  <c r="A65" i="23" a="1"/>
  <c r="A65" i="23" s="1"/>
  <c r="A71" i="23" a="1"/>
  <c r="A71" i="23" s="1"/>
  <c r="A77" i="23" a="1"/>
  <c r="A77" i="23" s="1"/>
  <c r="A83" i="23" a="1"/>
  <c r="A83" i="23" s="1"/>
  <c r="A89" i="23" a="1"/>
  <c r="A89" i="23" s="1"/>
  <c r="A95" i="23" a="1"/>
  <c r="A95" i="23" s="1"/>
  <c r="A101" i="23" a="1"/>
  <c r="A101" i="23" s="1"/>
  <c r="A105" i="23" a="1"/>
  <c r="A105" i="23" s="1"/>
  <c r="A113" i="23" a="1"/>
  <c r="A113" i="23" s="1"/>
  <c r="A119" i="23" a="1"/>
  <c r="A119" i="23" s="1"/>
  <c r="A125" i="23" a="1"/>
  <c r="A125" i="23" s="1"/>
  <c r="A19" i="23" a="1"/>
  <c r="A19" i="23" s="1"/>
  <c r="A25" i="23" a="1"/>
  <c r="A25" i="23" s="1"/>
  <c r="A31" i="23" a="1"/>
  <c r="A31" i="23" s="1"/>
  <c r="A37" i="23" a="1"/>
  <c r="A37" i="23" s="1"/>
  <c r="A41" i="23" a="1"/>
  <c r="A41" i="23" s="1"/>
  <c r="A45" i="23" a="1"/>
  <c r="A45" i="23" s="1"/>
  <c r="A49" i="23" a="1"/>
  <c r="A49" i="23" s="1"/>
  <c r="A55" i="23" a="1"/>
  <c r="A55" i="23" s="1"/>
  <c r="A61" i="23" a="1"/>
  <c r="A61" i="23" s="1"/>
  <c r="A67" i="23" a="1"/>
  <c r="A67" i="23" s="1"/>
  <c r="A73" i="23" a="1"/>
  <c r="A73" i="23" s="1"/>
  <c r="A79" i="23" a="1"/>
  <c r="A79" i="23" s="1"/>
  <c r="A85" i="23" a="1"/>
  <c r="A85" i="23" s="1"/>
  <c r="A91" i="23" a="1"/>
  <c r="A91" i="23" s="1"/>
  <c r="A97" i="23" a="1"/>
  <c r="A97" i="23" s="1"/>
  <c r="A103" i="23" a="1"/>
  <c r="A103" i="23" s="1"/>
  <c r="A109" i="23" a="1"/>
  <c r="A109" i="23" s="1"/>
  <c r="A117" i="23" a="1"/>
  <c r="A117" i="23" s="1"/>
  <c r="C127" i="17" l="1"/>
  <c r="C126" i="17"/>
  <c r="C45" i="17"/>
  <c r="C125" i="17"/>
  <c r="C124" i="17"/>
  <c r="C123" i="17"/>
  <c r="C122" i="17"/>
  <c r="C22" i="17"/>
  <c r="C12" i="17"/>
  <c r="C121" i="17"/>
  <c r="C120" i="17"/>
  <c r="C119" i="17"/>
  <c r="C44" i="17"/>
  <c r="C118" i="17"/>
  <c r="C117" i="17"/>
  <c r="C43" i="17"/>
  <c r="C116" i="17"/>
  <c r="C21" i="17"/>
  <c r="C42" i="17"/>
  <c r="C115" i="17"/>
  <c r="C114" i="17"/>
  <c r="C113" i="17"/>
  <c r="C112" i="17"/>
  <c r="C111" i="17"/>
  <c r="C20" i="17"/>
  <c r="C110" i="17"/>
  <c r="C109" i="17"/>
  <c r="C108" i="17"/>
  <c r="C19" i="17"/>
  <c r="C107" i="17"/>
  <c r="C106" i="17"/>
  <c r="C41" i="17"/>
  <c r="C105" i="17"/>
  <c r="C104" i="17"/>
  <c r="C103" i="17"/>
  <c r="C5" i="17"/>
  <c r="C102" i="17"/>
  <c r="C101" i="17"/>
  <c r="C18" i="17"/>
  <c r="C100" i="17"/>
  <c r="C99" i="17"/>
  <c r="C98" i="17"/>
  <c r="C97" i="17"/>
  <c r="C40" i="17"/>
  <c r="C15" i="17"/>
  <c r="C39" i="17"/>
  <c r="C96" i="17"/>
  <c r="C38" i="17"/>
  <c r="C37" i="17"/>
  <c r="C14" i="17"/>
  <c r="C95" i="17"/>
  <c r="C94" i="17"/>
  <c r="C93" i="17"/>
  <c r="C92" i="17"/>
  <c r="C17" i="17"/>
  <c r="C4" i="17"/>
  <c r="C91" i="17"/>
  <c r="C90" i="17"/>
  <c r="C36" i="17"/>
  <c r="C11" i="17"/>
  <c r="C89" i="17"/>
  <c r="C88" i="17"/>
  <c r="C35" i="17"/>
  <c r="C34" i="17"/>
  <c r="C87" i="17"/>
  <c r="C86" i="17"/>
  <c r="C85" i="17"/>
  <c r="C84" i="17"/>
  <c r="C33" i="17"/>
  <c r="C83" i="17"/>
  <c r="C82" i="17"/>
  <c r="C81" i="17"/>
  <c r="C80" i="17"/>
  <c r="C7" i="17"/>
  <c r="C32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10" i="17"/>
  <c r="C65" i="17"/>
  <c r="C16" i="17"/>
  <c r="C64" i="17"/>
  <c r="C63" i="17"/>
  <c r="C62" i="17"/>
  <c r="C13" i="17"/>
  <c r="C61" i="17"/>
  <c r="C60" i="17"/>
  <c r="C59" i="17"/>
  <c r="C31" i="17"/>
  <c r="C30" i="17"/>
  <c r="C58" i="17"/>
  <c r="C57" i="17"/>
  <c r="C29" i="17"/>
  <c r="C56" i="17"/>
  <c r="C55" i="17"/>
  <c r="C28" i="17"/>
  <c r="C54" i="17"/>
  <c r="C53" i="17"/>
  <c r="C52" i="17"/>
  <c r="C27" i="17"/>
  <c r="C51" i="17"/>
  <c r="C50" i="17"/>
  <c r="C49" i="17"/>
  <c r="C26" i="17"/>
  <c r="C48" i="17"/>
  <c r="C25" i="17"/>
  <c r="C47" i="17"/>
  <c r="C9" i="17"/>
  <c r="C6" i="17"/>
  <c r="C24" i="17"/>
  <c r="C8" i="17"/>
  <c r="C23" i="17"/>
  <c r="C46" i="17"/>
  <c r="C128" i="19" l="1"/>
  <c r="C127" i="19" l="1"/>
  <c r="C126" i="19"/>
  <c r="C125" i="19"/>
  <c r="C124" i="19"/>
  <c r="C123" i="19"/>
  <c r="C122" i="19"/>
  <c r="C121" i="19"/>
  <c r="C120" i="19"/>
  <c r="C119" i="19"/>
  <c r="C118" i="19"/>
  <c r="C117" i="19"/>
  <c r="C116" i="19"/>
  <c r="C115" i="19"/>
  <c r="C114" i="19"/>
  <c r="C113" i="19"/>
  <c r="C112" i="19"/>
  <c r="C111" i="19"/>
  <c r="C110" i="19"/>
  <c r="C109" i="19"/>
  <c r="C108" i="19"/>
  <c r="C107" i="19"/>
  <c r="C106" i="19"/>
  <c r="C105" i="19"/>
  <c r="C104" i="19"/>
  <c r="C103" i="19"/>
  <c r="C102" i="19"/>
  <c r="C101" i="19"/>
  <c r="C100" i="19"/>
  <c r="C99" i="19"/>
  <c r="C98" i="19"/>
  <c r="C97" i="19"/>
  <c r="C96" i="19"/>
  <c r="C95" i="19"/>
  <c r="C94" i="19"/>
  <c r="C93" i="19"/>
  <c r="C92" i="19"/>
  <c r="C91" i="19"/>
  <c r="C90" i="19"/>
  <c r="C89" i="19"/>
  <c r="C88" i="19"/>
  <c r="C87" i="19"/>
  <c r="C86" i="19"/>
  <c r="C85" i="19"/>
  <c r="C84" i="19"/>
  <c r="C83" i="19"/>
  <c r="C82" i="19"/>
  <c r="C81" i="19"/>
  <c r="C80" i="19"/>
  <c r="C79" i="19"/>
  <c r="C78" i="19"/>
  <c r="C77" i="19"/>
  <c r="C76" i="19"/>
  <c r="C75" i="19"/>
  <c r="C74" i="19"/>
  <c r="C73" i="19"/>
  <c r="C72" i="19"/>
  <c r="C71" i="19"/>
  <c r="C70" i="19"/>
  <c r="C69" i="19"/>
  <c r="C68" i="19"/>
  <c r="C67" i="19"/>
  <c r="C66" i="19"/>
  <c r="C65" i="19"/>
  <c r="C64" i="19"/>
  <c r="C63" i="19"/>
  <c r="C62" i="19"/>
  <c r="C61" i="19"/>
  <c r="C60" i="19"/>
  <c r="C59" i="19"/>
  <c r="C58" i="19"/>
  <c r="C57" i="19"/>
  <c r="C56" i="19"/>
  <c r="C55" i="19"/>
  <c r="C54" i="19"/>
  <c r="C53" i="19"/>
  <c r="C52" i="19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D4" i="20"/>
  <c r="E4" i="20"/>
  <c r="F4" i="20"/>
  <c r="G4" i="20"/>
  <c r="H4" i="20"/>
  <c r="I4" i="20"/>
  <c r="J4" i="20"/>
  <c r="C4" i="20"/>
  <c r="A128" i="19" l="1" a="1"/>
  <c r="A128" i="19" s="1"/>
  <c r="A61" i="19" a="1"/>
  <c r="A61" i="19" s="1"/>
  <c r="A62" i="19" a="1"/>
  <c r="A62" i="19" s="1"/>
  <c r="A96" i="19" a="1"/>
  <c r="A96" i="19" s="1"/>
  <c r="K122" i="20"/>
  <c r="K126" i="20"/>
  <c r="K117" i="20"/>
  <c r="K127" i="20"/>
  <c r="K107" i="20"/>
  <c r="K125" i="20"/>
  <c r="K108" i="20"/>
  <c r="K109" i="20"/>
  <c r="K118" i="20"/>
  <c r="K123" i="20"/>
  <c r="K124" i="20"/>
  <c r="K110" i="20"/>
  <c r="K119" i="20"/>
  <c r="K120" i="20"/>
  <c r="K121" i="20"/>
  <c r="K111" i="20"/>
  <c r="K112" i="20"/>
  <c r="K113" i="20"/>
  <c r="K5" i="20"/>
  <c r="K114" i="20"/>
  <c r="K94" i="20"/>
  <c r="K95" i="20"/>
  <c r="K6" i="20"/>
  <c r="K115" i="20"/>
  <c r="K116" i="20"/>
  <c r="K96" i="20"/>
  <c r="K97" i="20"/>
  <c r="K7" i="20"/>
  <c r="K98" i="20"/>
  <c r="K8" i="20"/>
  <c r="K99" i="20"/>
  <c r="K9" i="20"/>
  <c r="K100" i="20"/>
  <c r="K101" i="20"/>
  <c r="K10" i="20"/>
  <c r="K102" i="20"/>
  <c r="K11" i="20"/>
  <c r="K12" i="20"/>
  <c r="K13" i="20"/>
  <c r="K103" i="20"/>
  <c r="K104" i="20"/>
  <c r="K105" i="20"/>
  <c r="K106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49" i="20"/>
  <c r="K50" i="20"/>
  <c r="K51" i="20"/>
  <c r="K52" i="20"/>
  <c r="K53" i="20"/>
  <c r="K54" i="20"/>
  <c r="K55" i="20"/>
  <c r="K56" i="20"/>
  <c r="K57" i="20"/>
  <c r="K58" i="20"/>
  <c r="K59" i="20"/>
  <c r="K60" i="20"/>
  <c r="K61" i="20"/>
  <c r="K62" i="20"/>
  <c r="K63" i="20"/>
  <c r="K64" i="20"/>
  <c r="K65" i="20"/>
  <c r="K66" i="20"/>
  <c r="K67" i="20"/>
  <c r="K68" i="20"/>
  <c r="K69" i="20"/>
  <c r="K70" i="20"/>
  <c r="K71" i="20"/>
  <c r="K72" i="20"/>
  <c r="K73" i="20"/>
  <c r="K74" i="20"/>
  <c r="K75" i="20"/>
  <c r="K76" i="20"/>
  <c r="K77" i="20"/>
  <c r="K78" i="20"/>
  <c r="K79" i="20"/>
  <c r="K80" i="20"/>
  <c r="K81" i="20"/>
  <c r="K82" i="20"/>
  <c r="K83" i="20"/>
  <c r="K84" i="20"/>
  <c r="K85" i="20"/>
  <c r="K86" i="20"/>
  <c r="K87" i="20"/>
  <c r="K88" i="20"/>
  <c r="K89" i="20"/>
  <c r="K90" i="20"/>
  <c r="K91" i="20"/>
  <c r="K92" i="20"/>
  <c r="K93" i="20"/>
  <c r="K128" i="20"/>
  <c r="F4" i="3"/>
  <c r="H4" i="3" s="1"/>
  <c r="F5" i="3"/>
  <c r="H5" i="3" s="1"/>
  <c r="F6" i="3"/>
  <c r="H6" i="3" s="1"/>
  <c r="F7" i="3"/>
  <c r="H7" i="3" s="1"/>
  <c r="F8" i="3"/>
  <c r="H8" i="3" s="1"/>
  <c r="F9" i="3"/>
  <c r="H9" i="3" s="1"/>
  <c r="F10" i="3"/>
  <c r="H10" i="3" s="1"/>
  <c r="F11" i="3"/>
  <c r="H11" i="3" s="1"/>
  <c r="F12" i="3"/>
  <c r="H12" i="3" s="1"/>
  <c r="F13" i="3"/>
  <c r="H13" i="3" s="1"/>
  <c r="F14" i="3"/>
  <c r="H14" i="3" s="1"/>
  <c r="F15" i="3"/>
  <c r="H15" i="3" s="1"/>
  <c r="F16" i="3"/>
  <c r="H16" i="3" s="1"/>
  <c r="F17" i="3"/>
  <c r="H17" i="3" s="1"/>
  <c r="F18" i="3"/>
  <c r="H18" i="3" s="1"/>
  <c r="F19" i="3"/>
  <c r="H19" i="3" s="1"/>
  <c r="F20" i="3"/>
  <c r="H20" i="3" s="1"/>
  <c r="F21" i="3"/>
  <c r="H21" i="3" s="1"/>
  <c r="F22" i="3"/>
  <c r="H22" i="3" s="1"/>
  <c r="F23" i="3"/>
  <c r="H23" i="3" s="1"/>
  <c r="F24" i="3"/>
  <c r="H24" i="3" s="1"/>
  <c r="F25" i="3"/>
  <c r="H25" i="3" s="1"/>
  <c r="F26" i="3"/>
  <c r="H26" i="3" s="1"/>
  <c r="F27" i="3"/>
  <c r="H27" i="3" s="1"/>
  <c r="F28" i="3"/>
  <c r="H28" i="3" s="1"/>
  <c r="F29" i="3"/>
  <c r="H29" i="3" s="1"/>
  <c r="F30" i="3"/>
  <c r="H30" i="3" s="1"/>
  <c r="F31" i="3"/>
  <c r="H31" i="3" s="1"/>
  <c r="F32" i="3"/>
  <c r="H32" i="3" s="1"/>
  <c r="F33" i="3"/>
  <c r="H33" i="3" s="1"/>
  <c r="F34" i="3"/>
  <c r="H34" i="3" s="1"/>
  <c r="F35" i="3"/>
  <c r="H35" i="3" s="1"/>
  <c r="F36" i="3"/>
  <c r="H36" i="3" s="1"/>
  <c r="F37" i="3"/>
  <c r="H37" i="3" s="1"/>
  <c r="F38" i="3"/>
  <c r="H38" i="3" s="1"/>
  <c r="F39" i="3"/>
  <c r="H39" i="3" s="1"/>
  <c r="F40" i="3"/>
  <c r="H40" i="3" s="1"/>
  <c r="F41" i="3"/>
  <c r="H41" i="3" s="1"/>
  <c r="F42" i="3"/>
  <c r="H42" i="3" s="1"/>
  <c r="F43" i="3"/>
  <c r="H43" i="3" s="1"/>
  <c r="F44" i="3"/>
  <c r="H44" i="3" s="1"/>
  <c r="F45" i="3"/>
  <c r="H45" i="3" s="1"/>
  <c r="F46" i="3"/>
  <c r="H46" i="3" s="1"/>
  <c r="F47" i="3"/>
  <c r="H47" i="3" s="1"/>
  <c r="F48" i="3"/>
  <c r="H48" i="3" s="1"/>
  <c r="F49" i="3"/>
  <c r="H49" i="3" s="1"/>
  <c r="F50" i="3"/>
  <c r="H50" i="3" s="1"/>
  <c r="F51" i="3"/>
  <c r="H51" i="3" s="1"/>
  <c r="F52" i="3"/>
  <c r="H52" i="3" s="1"/>
  <c r="F53" i="3"/>
  <c r="H53" i="3" s="1"/>
  <c r="F54" i="3"/>
  <c r="H54" i="3" s="1"/>
  <c r="F55" i="3"/>
  <c r="H55" i="3" s="1"/>
  <c r="F56" i="3"/>
  <c r="H56" i="3" s="1"/>
  <c r="F57" i="3"/>
  <c r="H57" i="3" s="1"/>
  <c r="F58" i="3"/>
  <c r="H58" i="3" s="1"/>
  <c r="F59" i="3"/>
  <c r="H59" i="3" s="1"/>
  <c r="F60" i="3"/>
  <c r="H60" i="3" s="1"/>
  <c r="F61" i="3"/>
  <c r="H61" i="3" s="1"/>
  <c r="F62" i="3"/>
  <c r="H62" i="3" s="1"/>
  <c r="F63" i="3"/>
  <c r="H63" i="3" s="1"/>
  <c r="F64" i="3"/>
  <c r="H64" i="3" s="1"/>
  <c r="F65" i="3"/>
  <c r="H65" i="3" s="1"/>
  <c r="F66" i="3"/>
  <c r="H66" i="3" s="1"/>
  <c r="F67" i="3"/>
  <c r="H67" i="3" s="1"/>
  <c r="F68" i="3"/>
  <c r="H68" i="3" s="1"/>
  <c r="F69" i="3"/>
  <c r="H69" i="3" s="1"/>
  <c r="F70" i="3"/>
  <c r="H70" i="3" s="1"/>
  <c r="F71" i="3"/>
  <c r="H71" i="3" s="1"/>
  <c r="F72" i="3"/>
  <c r="H72" i="3" s="1"/>
  <c r="F73" i="3"/>
  <c r="H73" i="3" s="1"/>
  <c r="F74" i="3"/>
  <c r="H74" i="3" s="1"/>
  <c r="F75" i="3"/>
  <c r="H75" i="3" s="1"/>
  <c r="F76" i="3"/>
  <c r="H76" i="3" s="1"/>
  <c r="F77" i="3"/>
  <c r="H77" i="3" s="1"/>
  <c r="F78" i="3"/>
  <c r="H78" i="3" s="1"/>
  <c r="F79" i="3"/>
  <c r="H79" i="3" s="1"/>
  <c r="F80" i="3"/>
  <c r="H80" i="3" s="1"/>
  <c r="F81" i="3"/>
  <c r="H81" i="3" s="1"/>
  <c r="F82" i="3"/>
  <c r="H82" i="3" s="1"/>
  <c r="F83" i="3"/>
  <c r="H83" i="3" s="1"/>
  <c r="F84" i="3"/>
  <c r="H84" i="3" s="1"/>
  <c r="F85" i="3"/>
  <c r="H85" i="3" s="1"/>
  <c r="F86" i="3"/>
  <c r="H86" i="3" s="1"/>
  <c r="F87" i="3"/>
  <c r="H87" i="3" s="1"/>
  <c r="F88" i="3"/>
  <c r="H88" i="3" s="1"/>
  <c r="F89" i="3"/>
  <c r="H89" i="3" s="1"/>
  <c r="F90" i="3"/>
  <c r="H90" i="3" s="1"/>
  <c r="F91" i="3"/>
  <c r="H91" i="3" s="1"/>
  <c r="F92" i="3"/>
  <c r="H92" i="3" s="1"/>
  <c r="F93" i="3"/>
  <c r="H93" i="3" s="1"/>
  <c r="F94" i="3"/>
  <c r="H94" i="3" s="1"/>
  <c r="F95" i="3"/>
  <c r="H95" i="3" s="1"/>
  <c r="F96" i="3"/>
  <c r="H96" i="3" s="1"/>
  <c r="F97" i="3"/>
  <c r="H97" i="3" s="1"/>
  <c r="F98" i="3"/>
  <c r="H98" i="3" s="1"/>
  <c r="F99" i="3"/>
  <c r="H99" i="3" s="1"/>
  <c r="F100" i="3"/>
  <c r="H100" i="3" s="1"/>
  <c r="F101" i="3"/>
  <c r="H101" i="3" s="1"/>
  <c r="F102" i="3"/>
  <c r="H102" i="3" s="1"/>
  <c r="F103" i="3"/>
  <c r="H103" i="3" s="1"/>
  <c r="F104" i="3"/>
  <c r="H104" i="3" s="1"/>
  <c r="F105" i="3"/>
  <c r="H105" i="3" s="1"/>
  <c r="F106" i="3"/>
  <c r="H106" i="3" s="1"/>
  <c r="F107" i="3"/>
  <c r="H107" i="3" s="1"/>
  <c r="F108" i="3"/>
  <c r="H108" i="3" s="1"/>
  <c r="F109" i="3"/>
  <c r="H109" i="3" s="1"/>
  <c r="F110" i="3"/>
  <c r="H110" i="3" s="1"/>
  <c r="F111" i="3"/>
  <c r="H111" i="3" s="1"/>
  <c r="F112" i="3"/>
  <c r="H112" i="3" s="1"/>
  <c r="F113" i="3"/>
  <c r="H113" i="3" s="1"/>
  <c r="F114" i="3"/>
  <c r="H114" i="3" s="1"/>
  <c r="F115" i="3"/>
  <c r="H115" i="3" s="1"/>
  <c r="F116" i="3"/>
  <c r="H116" i="3" s="1"/>
  <c r="F117" i="3"/>
  <c r="H117" i="3" s="1"/>
  <c r="F118" i="3"/>
  <c r="H118" i="3" s="1"/>
  <c r="F119" i="3"/>
  <c r="H119" i="3" s="1"/>
  <c r="F120" i="3"/>
  <c r="H120" i="3" s="1"/>
  <c r="F121" i="3"/>
  <c r="H121" i="3" s="1"/>
  <c r="F122" i="3"/>
  <c r="H122" i="3" s="1"/>
  <c r="F123" i="3"/>
  <c r="H123" i="3" s="1"/>
  <c r="F124" i="3"/>
  <c r="H124" i="3" s="1"/>
  <c r="F125" i="3"/>
  <c r="H125" i="3" s="1"/>
  <c r="F126" i="3"/>
  <c r="H126" i="3" s="1"/>
  <c r="F127" i="3"/>
  <c r="H127" i="3" s="1"/>
  <c r="F3" i="3"/>
  <c r="H3" i="3" s="1"/>
  <c r="J21" i="15"/>
  <c r="J87" i="15"/>
  <c r="J122" i="15"/>
  <c r="F3" i="15"/>
  <c r="G3" i="15"/>
  <c r="H3" i="15"/>
  <c r="I3" i="15"/>
  <c r="D3" i="15"/>
  <c r="J6" i="15"/>
  <c r="J68" i="15"/>
  <c r="J13" i="15"/>
  <c r="J111" i="15"/>
  <c r="J69" i="15"/>
  <c r="J79" i="15"/>
  <c r="J20" i="15"/>
  <c r="J102" i="15"/>
  <c r="J28" i="15"/>
  <c r="J115" i="15"/>
  <c r="J34" i="15"/>
  <c r="J110" i="15"/>
  <c r="J36" i="15"/>
  <c r="J40" i="15"/>
  <c r="J112" i="15"/>
  <c r="J46" i="15"/>
  <c r="J91" i="15"/>
  <c r="J55" i="15"/>
  <c r="J56" i="15"/>
  <c r="J101" i="15"/>
  <c r="J109" i="15"/>
  <c r="J114" i="15"/>
  <c r="J14" i="15"/>
  <c r="J18" i="15"/>
  <c r="J89" i="15"/>
  <c r="J126" i="15"/>
  <c r="J29" i="15"/>
  <c r="J80" i="15"/>
  <c r="J100" i="15"/>
  <c r="J41" i="15"/>
  <c r="J47" i="15"/>
  <c r="J51" i="15"/>
  <c r="J52" i="15"/>
  <c r="A80" i="20" l="1" a="1"/>
  <c r="A80" i="20" s="1"/>
  <c r="A87" i="20" a="1"/>
  <c r="A87" i="20" s="1"/>
  <c r="A96" i="20" a="1"/>
  <c r="A96" i="20" s="1"/>
  <c r="A78" i="20" a="1"/>
  <c r="A78" i="20" s="1"/>
  <c r="A124" i="20" a="1"/>
  <c r="A124" i="20" s="1"/>
  <c r="A117" i="20" a="1"/>
  <c r="A117" i="20" s="1"/>
  <c r="A123" i="20" a="1"/>
  <c r="A123" i="20" s="1"/>
  <c r="A126" i="20" a="1"/>
  <c r="A126" i="20" s="1"/>
  <c r="A112" i="20" a="1"/>
  <c r="A112" i="20" s="1"/>
  <c r="A118" i="20" a="1"/>
  <c r="A118" i="20" s="1"/>
  <c r="A122" i="20" a="1"/>
  <c r="A122" i="20" s="1"/>
  <c r="A5" i="20" a="1"/>
  <c r="A5" i="20" s="1"/>
  <c r="K4" i="20"/>
  <c r="A90" i="20" a="1"/>
  <c r="A90" i="20" s="1"/>
  <c r="A82" i="20" a="1"/>
  <c r="A82" i="20" s="1"/>
  <c r="A113" i="20" a="1"/>
  <c r="A113" i="20" s="1"/>
  <c r="A89" i="20" a="1"/>
  <c r="A89" i="20" s="1"/>
  <c r="A81" i="20" a="1"/>
  <c r="A81" i="20" s="1"/>
  <c r="A4" i="3" a="1"/>
  <c r="A4" i="3" s="1"/>
  <c r="A94" i="20" a="1"/>
  <c r="A94" i="20" s="1"/>
  <c r="A119" i="20" a="1"/>
  <c r="A119" i="20" s="1"/>
  <c r="A107" i="20" a="1"/>
  <c r="A107" i="20" s="1"/>
  <c r="A74" i="20" a="1"/>
  <c r="A74" i="20" s="1"/>
  <c r="A66" i="20" a="1"/>
  <c r="A66" i="20" s="1"/>
  <c r="A58" i="20" a="1"/>
  <c r="A58" i="20" s="1"/>
  <c r="A50" i="20" a="1"/>
  <c r="A50" i="20" s="1"/>
  <c r="A42" i="20" a="1"/>
  <c r="A42" i="20" s="1"/>
  <c r="A34" i="20" a="1"/>
  <c r="A34" i="20" s="1"/>
  <c r="A26" i="20" a="1"/>
  <c r="A26" i="20" s="1"/>
  <c r="A18" i="20" a="1"/>
  <c r="A18" i="20" s="1"/>
  <c r="A103" i="20" a="1"/>
  <c r="A103" i="20" s="1"/>
  <c r="A9" i="20" a="1"/>
  <c r="A9" i="20" s="1"/>
  <c r="A116" i="20" a="1"/>
  <c r="A116" i="20" s="1"/>
  <c r="A114" i="20" a="1"/>
  <c r="A114" i="20" s="1"/>
  <c r="A110" i="20" a="1"/>
  <c r="A110" i="20" s="1"/>
  <c r="A127" i="20" a="1"/>
  <c r="A127" i="20" s="1"/>
  <c r="A73" i="20" a="1"/>
  <c r="A73" i="20" s="1"/>
  <c r="A65" i="20" a="1"/>
  <c r="A65" i="20" s="1"/>
  <c r="A57" i="20" a="1"/>
  <c r="A57" i="20" s="1"/>
  <c r="A49" i="20" a="1"/>
  <c r="A49" i="20" s="1"/>
  <c r="A41" i="20" a="1"/>
  <c r="A41" i="20" s="1"/>
  <c r="A33" i="20" a="1"/>
  <c r="A33" i="20" s="1"/>
  <c r="A25" i="20" a="1"/>
  <c r="A25" i="20" s="1"/>
  <c r="A17" i="20" a="1"/>
  <c r="A17" i="20" s="1"/>
  <c r="A13" i="20" a="1"/>
  <c r="A13" i="20" s="1"/>
  <c r="A99" i="20" a="1"/>
  <c r="A99" i="20" s="1"/>
  <c r="A128" i="20" a="1"/>
  <c r="A128" i="20" s="1"/>
  <c r="A88" i="20" a="1"/>
  <c r="A88" i="20" s="1"/>
  <c r="A72" i="20" a="1"/>
  <c r="A72" i="20" s="1"/>
  <c r="A64" i="20" a="1"/>
  <c r="A64" i="20" s="1"/>
  <c r="A56" i="20" a="1"/>
  <c r="A56" i="20" s="1"/>
  <c r="A48" i="20" a="1"/>
  <c r="A48" i="20" s="1"/>
  <c r="A40" i="20" a="1"/>
  <c r="A40" i="20" s="1"/>
  <c r="A32" i="20" a="1"/>
  <c r="A32" i="20" s="1"/>
  <c r="A24" i="20" a="1"/>
  <c r="A24" i="20" s="1"/>
  <c r="A16" i="20" a="1"/>
  <c r="A16" i="20" s="1"/>
  <c r="A12" i="20" a="1"/>
  <c r="A12" i="20" s="1"/>
  <c r="A8" i="20" a="1"/>
  <c r="A8" i="20" s="1"/>
  <c r="A79" i="20" a="1"/>
  <c r="A79" i="20" s="1"/>
  <c r="A71" i="20" a="1"/>
  <c r="A71" i="20" s="1"/>
  <c r="A63" i="20" a="1"/>
  <c r="A63" i="20" s="1"/>
  <c r="A55" i="20" a="1"/>
  <c r="A55" i="20" s="1"/>
  <c r="A47" i="20" a="1"/>
  <c r="A47" i="20" s="1"/>
  <c r="A39" i="20" a="1"/>
  <c r="A39" i="20" s="1"/>
  <c r="A31" i="20" a="1"/>
  <c r="A31" i="20" s="1"/>
  <c r="A23" i="20" a="1"/>
  <c r="A23" i="20" s="1"/>
  <c r="A15" i="20" a="1"/>
  <c r="A15" i="20" s="1"/>
  <c r="A11" i="20" a="1"/>
  <c r="A11" i="20" s="1"/>
  <c r="A98" i="20" a="1"/>
  <c r="A98" i="20" s="1"/>
  <c r="A86" i="20" a="1"/>
  <c r="A86" i="20" s="1"/>
  <c r="A70" i="20" a="1"/>
  <c r="A70" i="20" s="1"/>
  <c r="A62" i="20" a="1"/>
  <c r="A62" i="20" s="1"/>
  <c r="A54" i="20" a="1"/>
  <c r="A54" i="20" s="1"/>
  <c r="A46" i="20" a="1"/>
  <c r="A46" i="20" s="1"/>
  <c r="A38" i="20" a="1"/>
  <c r="A38" i="20" s="1"/>
  <c r="A30" i="20" a="1"/>
  <c r="A30" i="20" s="1"/>
  <c r="A22" i="20" a="1"/>
  <c r="A22" i="20" s="1"/>
  <c r="A14" i="20" a="1"/>
  <c r="A14" i="20" s="1"/>
  <c r="A102" i="20" a="1"/>
  <c r="A102" i="20" s="1"/>
  <c r="A7" i="20" a="1"/>
  <c r="A7" i="20" s="1"/>
  <c r="A115" i="20" a="1"/>
  <c r="A115" i="20" s="1"/>
  <c r="A111" i="20" a="1"/>
  <c r="A111" i="20" s="1"/>
  <c r="A109" i="20" a="1"/>
  <c r="A109" i="20" s="1"/>
  <c r="A93" i="20" a="1"/>
  <c r="A93" i="20" s="1"/>
  <c r="A85" i="20" a="1"/>
  <c r="A85" i="20" s="1"/>
  <c r="A77" i="20" a="1"/>
  <c r="A77" i="20" s="1"/>
  <c r="A69" i="20" a="1"/>
  <c r="A69" i="20" s="1"/>
  <c r="A61" i="20" a="1"/>
  <c r="A61" i="20" s="1"/>
  <c r="A53" i="20" a="1"/>
  <c r="A53" i="20" s="1"/>
  <c r="A45" i="20" a="1"/>
  <c r="A45" i="20" s="1"/>
  <c r="A37" i="20" a="1"/>
  <c r="A37" i="20" s="1"/>
  <c r="A29" i="20" a="1"/>
  <c r="A29" i="20" s="1"/>
  <c r="A21" i="20" a="1"/>
  <c r="A21" i="20" s="1"/>
  <c r="A106" i="20" a="1"/>
  <c r="A106" i="20" s="1"/>
  <c r="A10" i="20" a="1"/>
  <c r="A10" i="20" s="1"/>
  <c r="A97" i="20" a="1"/>
  <c r="A97" i="20" s="1"/>
  <c r="A6" i="20" a="1"/>
  <c r="A6" i="20" s="1"/>
  <c r="A121" i="20" a="1"/>
  <c r="A121" i="20" s="1"/>
  <c r="A108" i="20" a="1"/>
  <c r="A108" i="20" s="1"/>
  <c r="A92" i="20" a="1"/>
  <c r="A92" i="20" s="1"/>
  <c r="A84" i="20" a="1"/>
  <c r="A84" i="20" s="1"/>
  <c r="A76" i="20" a="1"/>
  <c r="A76" i="20" s="1"/>
  <c r="A68" i="20" a="1"/>
  <c r="A68" i="20" s="1"/>
  <c r="A60" i="20" a="1"/>
  <c r="A60" i="20" s="1"/>
  <c r="A52" i="20" a="1"/>
  <c r="A52" i="20" s="1"/>
  <c r="A44" i="20" a="1"/>
  <c r="A44" i="20" s="1"/>
  <c r="A36" i="20" a="1"/>
  <c r="A36" i="20" s="1"/>
  <c r="A28" i="20" a="1"/>
  <c r="A28" i="20" s="1"/>
  <c r="A20" i="20" a="1"/>
  <c r="A20" i="20" s="1"/>
  <c r="A105" i="20" a="1"/>
  <c r="A105" i="20" s="1"/>
  <c r="A101" i="20" a="1"/>
  <c r="A101" i="20" s="1"/>
  <c r="A95" i="20" a="1"/>
  <c r="A95" i="20" s="1"/>
  <c r="A120" i="20" a="1"/>
  <c r="A120" i="20" s="1"/>
  <c r="A125" i="20" a="1"/>
  <c r="A125" i="20" s="1"/>
  <c r="A91" i="20" a="1"/>
  <c r="A91" i="20" s="1"/>
  <c r="A83" i="20" a="1"/>
  <c r="A83" i="20" s="1"/>
  <c r="A75" i="20" a="1"/>
  <c r="A75" i="20" s="1"/>
  <c r="A67" i="20" a="1"/>
  <c r="A67" i="20" s="1"/>
  <c r="A59" i="20" a="1"/>
  <c r="A59" i="20" s="1"/>
  <c r="A51" i="20" a="1"/>
  <c r="A51" i="20" s="1"/>
  <c r="A43" i="20" a="1"/>
  <c r="A43" i="20" s="1"/>
  <c r="A35" i="20" a="1"/>
  <c r="A35" i="20" s="1"/>
  <c r="A27" i="20" a="1"/>
  <c r="A27" i="20" s="1"/>
  <c r="A19" i="20" a="1"/>
  <c r="A19" i="20" s="1"/>
  <c r="A104" i="20" a="1"/>
  <c r="A104" i="20" s="1"/>
  <c r="A100" i="20" a="1"/>
  <c r="A100" i="20" s="1"/>
  <c r="J72" i="15"/>
  <c r="J95" i="15"/>
  <c r="J66" i="15"/>
  <c r="J42" i="15"/>
  <c r="J83" i="15"/>
  <c r="J5" i="15"/>
  <c r="J65" i="15"/>
  <c r="J60" i="15"/>
  <c r="J76" i="15"/>
  <c r="J50" i="15"/>
  <c r="J127" i="15"/>
  <c r="J39" i="15"/>
  <c r="J94" i="15"/>
  <c r="J33" i="15"/>
  <c r="J27" i="15"/>
  <c r="J105" i="15"/>
  <c r="J96" i="15"/>
  <c r="J17" i="15"/>
  <c r="J12" i="15"/>
  <c r="J9" i="15"/>
  <c r="J35" i="15"/>
  <c r="J92" i="15"/>
  <c r="J61" i="15"/>
  <c r="J93" i="15"/>
  <c r="J10" i="15"/>
  <c r="J54" i="15"/>
  <c r="J75" i="15"/>
  <c r="J62" i="15"/>
  <c r="J57" i="15"/>
  <c r="J104" i="15"/>
  <c r="J70" i="15"/>
  <c r="J43" i="15"/>
  <c r="J71" i="15"/>
  <c r="J97" i="15"/>
  <c r="J30" i="15"/>
  <c r="J24" i="15"/>
  <c r="J121" i="15"/>
  <c r="J120" i="15"/>
  <c r="J88" i="15"/>
  <c r="J106" i="15"/>
  <c r="J117" i="15"/>
  <c r="J59" i="15"/>
  <c r="J49" i="15"/>
  <c r="J45" i="15"/>
  <c r="J38" i="15"/>
  <c r="J78" i="15"/>
  <c r="J86" i="15"/>
  <c r="J26" i="15"/>
  <c r="J23" i="15"/>
  <c r="J11" i="15"/>
  <c r="J8" i="15"/>
  <c r="J85" i="15"/>
  <c r="J103" i="15"/>
  <c r="J77" i="15"/>
  <c r="J81" i="15"/>
  <c r="J53" i="15"/>
  <c r="J48" i="15"/>
  <c r="J125" i="15"/>
  <c r="J37" i="15"/>
  <c r="J118" i="15"/>
  <c r="J32" i="15"/>
  <c r="J22" i="15"/>
  <c r="J107" i="15"/>
  <c r="J15" i="15"/>
  <c r="J7" i="15"/>
  <c r="J4" i="15"/>
  <c r="A4" i="15" s="1" a="1"/>
  <c r="A4" i="15" s="1"/>
  <c r="J74" i="15"/>
  <c r="J64" i="15"/>
  <c r="J19" i="15"/>
  <c r="J16" i="15"/>
  <c r="J58" i="15"/>
  <c r="J124" i="15"/>
  <c r="J108" i="15"/>
  <c r="J44" i="15"/>
  <c r="J84" i="15"/>
  <c r="J123" i="15"/>
  <c r="J31" i="15"/>
  <c r="J25" i="15"/>
  <c r="J99" i="15"/>
  <c r="J73" i="15"/>
  <c r="J119" i="15"/>
  <c r="J116" i="15"/>
  <c r="J82" i="15"/>
  <c r="J67" i="15"/>
  <c r="J63" i="15"/>
  <c r="J98" i="15"/>
  <c r="J90" i="15"/>
  <c r="E3" i="15"/>
  <c r="J113" i="15"/>
  <c r="A11" i="19" a="1"/>
  <c r="A11" i="19" s="1"/>
  <c r="C3" i="15" l="1"/>
  <c r="J3" i="15"/>
  <c r="A104" i="17" a="1"/>
  <c r="A104" i="17" s="1"/>
  <c r="A112" i="17" a="1"/>
  <c r="A112" i="17" s="1"/>
  <c r="A40" i="17" a="1"/>
  <c r="A40" i="17" s="1"/>
  <c r="A65" i="17" a="1"/>
  <c r="A65" i="17" s="1"/>
  <c r="A67" i="17" a="1"/>
  <c r="A67" i="17" s="1"/>
  <c r="A10" i="17" a="1"/>
  <c r="A10" i="17" s="1"/>
  <c r="A87" i="17" a="1"/>
  <c r="A87" i="17" s="1"/>
  <c r="A47" i="17" a="1"/>
  <c r="A47" i="17" s="1"/>
  <c r="A119" i="17" a="1"/>
  <c r="A119" i="17" s="1"/>
  <c r="A69" i="17" a="1"/>
  <c r="A69" i="17" s="1"/>
  <c r="A118" i="17" a="1"/>
  <c r="A118" i="17" s="1"/>
  <c r="A75" i="17" a="1"/>
  <c r="A75" i="17" s="1"/>
  <c r="A9" i="17" a="1"/>
  <c r="A9" i="17" s="1"/>
  <c r="A38" i="17" a="1"/>
  <c r="A38" i="17" s="1"/>
  <c r="A39" i="17" a="1"/>
  <c r="A39" i="17" s="1"/>
  <c r="A48" i="17" a="1"/>
  <c r="A48" i="17" s="1"/>
  <c r="A26" i="17" a="1"/>
  <c r="A26" i="17" s="1"/>
  <c r="A122" i="17" a="1"/>
  <c r="A122" i="17" s="1"/>
  <c r="A51" i="17" a="1"/>
  <c r="A51" i="17" s="1"/>
  <c r="A117" i="17" a="1"/>
  <c r="A117" i="17" s="1"/>
  <c r="A95" i="17" a="1"/>
  <c r="A95" i="17" s="1"/>
  <c r="A13" i="17" a="1"/>
  <c r="A13" i="17" s="1"/>
  <c r="A76" i="17" a="1"/>
  <c r="A76" i="17" s="1"/>
  <c r="A70" i="17" a="1"/>
  <c r="A70" i="17" s="1"/>
  <c r="A62" i="17" a="1"/>
  <c r="A62" i="17" s="1"/>
  <c r="A58" i="17" a="1"/>
  <c r="A58" i="17" s="1"/>
  <c r="A45" i="17" a="1"/>
  <c r="A45" i="17" s="1"/>
  <c r="A98" i="17" a="1"/>
  <c r="A98" i="17" s="1"/>
  <c r="A66" i="17" a="1"/>
  <c r="A66" i="17" s="1"/>
  <c r="A103" i="17" a="1"/>
  <c r="A103" i="17" s="1"/>
  <c r="A96" i="17" a="1"/>
  <c r="A96" i="17" s="1"/>
  <c r="A101" i="17" a="1"/>
  <c r="A101" i="17" s="1"/>
  <c r="A6" i="17" a="1"/>
  <c r="A6" i="17" s="1"/>
  <c r="A4" i="17" a="1"/>
  <c r="A4" i="17" s="1"/>
  <c r="A77" i="17" a="1"/>
  <c r="A77" i="17" s="1"/>
  <c r="A71" i="17" a="1"/>
  <c r="A71" i="17" s="1"/>
  <c r="A97" i="17" a="1"/>
  <c r="A97" i="17" s="1"/>
  <c r="A109" i="17" a="1"/>
  <c r="A109" i="17" s="1"/>
  <c r="A22" i="17" a="1"/>
  <c r="A22" i="17" s="1"/>
  <c r="A123" i="17" a="1"/>
  <c r="A123" i="17" s="1"/>
  <c r="A124" i="17" a="1"/>
  <c r="A124" i="17" s="1"/>
  <c r="A27" i="17" a="1"/>
  <c r="A27" i="17" s="1"/>
  <c r="A53" i="17" a="1"/>
  <c r="A53" i="17" s="1"/>
  <c r="A93" i="17" a="1"/>
  <c r="A93" i="17" s="1"/>
  <c r="A43" i="17" a="1"/>
  <c r="A43" i="17" s="1"/>
  <c r="A90" i="17" a="1"/>
  <c r="A90" i="17" s="1"/>
  <c r="A102" i="17" a="1"/>
  <c r="A102" i="17" s="1"/>
  <c r="A61" i="17" a="1"/>
  <c r="A61" i="17" s="1"/>
  <c r="A30" i="17" a="1"/>
  <c r="A30" i="17" s="1"/>
  <c r="A68" i="17" a="1"/>
  <c r="A68" i="17" s="1"/>
  <c r="A54" i="17" a="1"/>
  <c r="A54" i="17" s="1"/>
  <c r="A11" i="17" a="1"/>
  <c r="A11" i="17" s="1"/>
  <c r="A88" i="17" a="1"/>
  <c r="A88" i="17" s="1"/>
  <c r="A25" i="17" a="1"/>
  <c r="A25" i="17" s="1"/>
  <c r="A94" i="17" a="1"/>
  <c r="A94" i="17" s="1"/>
  <c r="A34" i="17" a="1"/>
  <c r="A34" i="17" s="1"/>
  <c r="A108" i="17" a="1"/>
  <c r="A108" i="17" s="1"/>
  <c r="A105" i="17" a="1"/>
  <c r="A105" i="17" s="1"/>
  <c r="A15" i="17" a="1"/>
  <c r="A15" i="17" s="1"/>
  <c r="A5" i="17" a="1"/>
  <c r="A5" i="17" s="1"/>
  <c r="A81" i="17" a="1"/>
  <c r="A81" i="17" s="1"/>
  <c r="A114" i="17" a="1"/>
  <c r="A114" i="17" s="1"/>
  <c r="A21" i="17" a="1"/>
  <c r="A21" i="17" s="1"/>
  <c r="A89" i="17" a="1"/>
  <c r="A89" i="17" s="1"/>
  <c r="A14" i="17" a="1"/>
  <c r="A14" i="17" s="1"/>
  <c r="A127" i="17" a="1"/>
  <c r="A127" i="17" s="1"/>
  <c r="A50" i="17" a="1"/>
  <c r="A50" i="17" s="1"/>
  <c r="A91" i="17" a="1"/>
  <c r="A91" i="17" s="1"/>
  <c r="A49" i="17" a="1"/>
  <c r="A49" i="17" s="1"/>
  <c r="A120" i="17" a="1"/>
  <c r="A120" i="17" s="1"/>
  <c r="A17" i="17" a="1"/>
  <c r="A17" i="17" s="1"/>
  <c r="A111" i="17" a="1"/>
  <c r="A111" i="17" s="1"/>
  <c r="A73" i="17" a="1"/>
  <c r="A73" i="17" s="1"/>
  <c r="A63" i="17" a="1"/>
  <c r="A63" i="17" s="1"/>
  <c r="A36" i="17" a="1"/>
  <c r="A36" i="17" s="1"/>
  <c r="A16" i="17" a="1"/>
  <c r="A16" i="17" s="1"/>
  <c r="A24" i="17" a="1"/>
  <c r="A24" i="17" s="1"/>
  <c r="A100" i="17" a="1"/>
  <c r="A100" i="17" s="1"/>
  <c r="A35" i="17" a="1"/>
  <c r="A35" i="17" s="1"/>
  <c r="A79" i="17" a="1"/>
  <c r="A79" i="17" s="1"/>
  <c r="A107" i="17" a="1"/>
  <c r="A107" i="17" s="1"/>
  <c r="A55" i="17" a="1"/>
  <c r="A55" i="17" s="1"/>
  <c r="A106" i="17" a="1"/>
  <c r="A106" i="17" s="1"/>
  <c r="A59" i="17" a="1"/>
  <c r="A59" i="17" s="1"/>
  <c r="A8" i="17" a="1"/>
  <c r="A8" i="17" s="1"/>
  <c r="A83" i="17" a="1"/>
  <c r="A83" i="17" s="1"/>
  <c r="A64" i="17" a="1"/>
  <c r="A64" i="17" s="1"/>
  <c r="A57" i="17" a="1"/>
  <c r="A57" i="17" s="1"/>
  <c r="A126" i="17" a="1"/>
  <c r="A126" i="17" s="1"/>
  <c r="A37" i="17" a="1"/>
  <c r="A37" i="17" s="1"/>
  <c r="A23" i="17" a="1"/>
  <c r="A23" i="17" s="1"/>
  <c r="A60" i="17" a="1"/>
  <c r="A60" i="17" s="1"/>
  <c r="A78" i="17" a="1"/>
  <c r="A78" i="17" s="1"/>
  <c r="A115" i="17" a="1"/>
  <c r="A115" i="17" s="1"/>
  <c r="A46" i="17" a="1"/>
  <c r="A46" i="17" s="1"/>
  <c r="A19" i="17" a="1"/>
  <c r="A19" i="17" s="1"/>
  <c r="A84" i="17" a="1"/>
  <c r="A84" i="17" s="1"/>
  <c r="A99" i="17" a="1"/>
  <c r="A99" i="17" s="1"/>
  <c r="A7" i="17" a="1"/>
  <c r="A7" i="17" s="1"/>
  <c r="A52" i="17" a="1"/>
  <c r="A52" i="17" s="1"/>
  <c r="A20" i="17" a="1"/>
  <c r="A20" i="17" s="1"/>
  <c r="A116" i="17" a="1"/>
  <c r="A116" i="17" s="1"/>
  <c r="A72" i="17" a="1"/>
  <c r="A72" i="17" s="1"/>
  <c r="A92" i="17" a="1"/>
  <c r="A92" i="17" s="1"/>
  <c r="A82" i="17" a="1"/>
  <c r="A82" i="17" s="1"/>
  <c r="A31" i="17" a="1"/>
  <c r="A31" i="17" s="1"/>
  <c r="A56" i="17" a="1"/>
  <c r="A56" i="17" s="1"/>
  <c r="A12" i="17" a="1"/>
  <c r="A12" i="17" s="1"/>
  <c r="A121" i="17" a="1"/>
  <c r="A121" i="17" s="1"/>
  <c r="A86" i="17" a="1"/>
  <c r="A86" i="17" s="1"/>
  <c r="A41" i="17" a="1"/>
  <c r="A41" i="17" s="1"/>
  <c r="A74" i="17" a="1"/>
  <c r="A74" i="17" s="1"/>
  <c r="A113" i="17" a="1"/>
  <c r="A113" i="17" s="1"/>
  <c r="A33" i="17" a="1"/>
  <c r="A33" i="17" s="1"/>
  <c r="A29" i="17" a="1"/>
  <c r="A29" i="17" s="1"/>
  <c r="A42" i="17" a="1"/>
  <c r="A42" i="17" s="1"/>
  <c r="A44" i="17" a="1"/>
  <c r="A44" i="17" s="1"/>
  <c r="A80" i="17" a="1"/>
  <c r="A80" i="17" s="1"/>
  <c r="A18" i="17" a="1"/>
  <c r="A18" i="17" s="1"/>
  <c r="A110" i="17" a="1"/>
  <c r="A110" i="17" s="1"/>
  <c r="A125" i="17" a="1"/>
  <c r="A125" i="17" s="1"/>
  <c r="A28" i="17" a="1"/>
  <c r="A28" i="17" s="1"/>
  <c r="A85" i="17" a="1"/>
  <c r="A85" i="17" s="1"/>
  <c r="A32" i="17" a="1"/>
  <c r="A32" i="17" s="1"/>
  <c r="A6" i="19" a="1"/>
  <c r="A6" i="19" s="1"/>
  <c r="A5" i="19" a="1"/>
  <c r="A5" i="19" s="1"/>
  <c r="A15" i="19" a="1"/>
  <c r="A15" i="19" s="1"/>
  <c r="A63" i="19" a="1"/>
  <c r="A63" i="19" s="1"/>
  <c r="A55" i="19" a="1"/>
  <c r="A55" i="19" s="1"/>
  <c r="A64" i="19" a="1"/>
  <c r="A64" i="19" s="1"/>
  <c r="A66" i="19" a="1"/>
  <c r="A66" i="19" s="1"/>
  <c r="A98" i="19" a="1"/>
  <c r="A98" i="19" s="1"/>
  <c r="A89" i="19" a="1"/>
  <c r="A89" i="19" s="1"/>
  <c r="A90" i="19" a="1"/>
  <c r="A90" i="19" s="1"/>
  <c r="A10" i="19" a="1"/>
  <c r="A10" i="19" s="1"/>
  <c r="A46" i="19" a="1"/>
  <c r="A46" i="19" s="1"/>
  <c r="A68" i="19" a="1"/>
  <c r="A68" i="19" s="1"/>
  <c r="A51" i="19" a="1"/>
  <c r="A51" i="19" s="1"/>
  <c r="A69" i="19" a="1"/>
  <c r="A69" i="19" s="1"/>
  <c r="A70" i="19" a="1"/>
  <c r="A70" i="19" s="1"/>
  <c r="A47" i="19" a="1"/>
  <c r="A47" i="19" s="1"/>
  <c r="A110" i="19" a="1"/>
  <c r="A110" i="19" s="1"/>
  <c r="A31" i="19" a="1"/>
  <c r="A31" i="19" s="1"/>
  <c r="A38" i="19" a="1"/>
  <c r="A38" i="19" s="1"/>
  <c r="A119" i="19" a="1"/>
  <c r="A119" i="19" s="1"/>
  <c r="A112" i="19" a="1"/>
  <c r="A112" i="19" s="1"/>
  <c r="A84" i="19" a="1"/>
  <c r="A84" i="19" s="1"/>
  <c r="A101" i="19" a="1"/>
  <c r="A101" i="19" s="1"/>
  <c r="A127" i="19" a="1"/>
  <c r="A127" i="19" s="1"/>
  <c r="A72" i="19" a="1"/>
  <c r="A72" i="19" s="1"/>
  <c r="A74" i="19" a="1"/>
  <c r="A74" i="19" s="1"/>
  <c r="A40" i="19" a="1"/>
  <c r="A40" i="19" s="1"/>
  <c r="A125" i="19" a="1"/>
  <c r="A125" i="19" s="1"/>
  <c r="A102" i="19" a="1"/>
  <c r="A102" i="19" s="1"/>
  <c r="A103" i="19" a="1"/>
  <c r="A103" i="19" s="1"/>
  <c r="A18" i="19" a="1"/>
  <c r="A18" i="19" s="1"/>
  <c r="A19" i="19" a="1"/>
  <c r="A19" i="19" s="1"/>
  <c r="A85" i="19" a="1"/>
  <c r="A85" i="19" s="1"/>
  <c r="A75" i="19" a="1"/>
  <c r="A75" i="19" s="1"/>
  <c r="A108" i="19" a="1"/>
  <c r="A108" i="19" s="1"/>
  <c r="A86" i="19" a="1"/>
  <c r="A86" i="19" s="1"/>
  <c r="A20" i="19" a="1"/>
  <c r="A20" i="19" s="1"/>
  <c r="A95" i="19" a="1"/>
  <c r="A95" i="19" s="1"/>
  <c r="A60" i="19" a="1"/>
  <c r="A60" i="19" s="1"/>
  <c r="A106" i="19" a="1"/>
  <c r="A106" i="19" s="1"/>
  <c r="A121" i="19" a="1"/>
  <c r="A121" i="19" s="1"/>
  <c r="A53" i="19" a="1"/>
  <c r="A53" i="19" s="1"/>
  <c r="A43" i="19" a="1"/>
  <c r="A43" i="19" s="1"/>
  <c r="A28" i="19" a="1"/>
  <c r="A28" i="19" s="1"/>
  <c r="A104" i="19" a="1"/>
  <c r="A104" i="19" s="1"/>
  <c r="A114" i="19" a="1"/>
  <c r="A114" i="19" s="1"/>
  <c r="A115" i="19" a="1"/>
  <c r="A115" i="19" s="1"/>
  <c r="A56" i="19" a="1"/>
  <c r="A56" i="19" s="1"/>
  <c r="A7" i="19" a="1"/>
  <c r="A7" i="19" s="1"/>
  <c r="A14" i="19" a="1"/>
  <c r="A14" i="19" s="1"/>
  <c r="A44" i="19" a="1"/>
  <c r="A44" i="19" s="1"/>
  <c r="A52" i="19" a="1"/>
  <c r="A52" i="19" s="1"/>
  <c r="A116" i="19" a="1"/>
  <c r="A116" i="19" s="1"/>
  <c r="A78" i="19" a="1"/>
  <c r="A78" i="19" s="1"/>
  <c r="A57" i="19" a="1"/>
  <c r="A57" i="19" s="1"/>
  <c r="A45" i="19" a="1"/>
  <c r="A45" i="19" s="1"/>
  <c r="A126" i="19" a="1"/>
  <c r="A126" i="19" s="1"/>
  <c r="A81" i="19" a="1"/>
  <c r="A81" i="19" s="1"/>
  <c r="A82" i="19" a="1"/>
  <c r="A82" i="19" s="1"/>
  <c r="A33" i="19" a="1"/>
  <c r="A33" i="19" s="1"/>
  <c r="A8" i="19" a="1"/>
  <c r="A8" i="19" s="1"/>
  <c r="A83" i="19" a="1"/>
  <c r="A83" i="19" s="1"/>
  <c r="A48" i="19" a="1"/>
  <c r="A48" i="19" s="1"/>
  <c r="A120" i="19" a="1"/>
  <c r="A120" i="19" s="1"/>
  <c r="A49" i="19" a="1"/>
  <c r="A49" i="19" s="1"/>
  <c r="A26" i="19" a="1"/>
  <c r="A26" i="19" s="1"/>
  <c r="A9" i="19" a="1"/>
  <c r="A9" i="19" s="1"/>
  <c r="A39" i="19" a="1"/>
  <c r="A39" i="19" s="1"/>
  <c r="A27" i="19" a="1"/>
  <c r="A27" i="19" s="1"/>
  <c r="A105" i="19" a="1"/>
  <c r="A105" i="19" s="1"/>
  <c r="A35" i="19" a="1"/>
  <c r="A35" i="19" s="1"/>
  <c r="A21" i="19" a="1"/>
  <c r="A21" i="19" s="1"/>
  <c r="A42" i="19" a="1"/>
  <c r="A42" i="19" s="1"/>
  <c r="A13" i="19" a="1"/>
  <c r="A13" i="19" s="1"/>
  <c r="A124" i="19" a="1"/>
  <c r="A124" i="19" s="1"/>
  <c r="A4" i="19" a="1"/>
  <c r="A4" i="19" s="1"/>
  <c r="A77" i="19" a="1"/>
  <c r="A77" i="19" s="1"/>
  <c r="A22" i="19" a="1"/>
  <c r="A22" i="19" s="1"/>
  <c r="A54" i="19" a="1"/>
  <c r="A54" i="19" s="1"/>
  <c r="A65" i="19" a="1"/>
  <c r="A65" i="19" s="1"/>
  <c r="A80" i="19" a="1"/>
  <c r="A80" i="19" s="1"/>
  <c r="A97" i="19" a="1"/>
  <c r="A97" i="19" s="1"/>
  <c r="A16" i="19" a="1"/>
  <c r="A16" i="19" s="1"/>
  <c r="A58" i="19" a="1"/>
  <c r="A58" i="19" s="1"/>
  <c r="A123" i="19" a="1"/>
  <c r="A123" i="19" s="1"/>
  <c r="A88" i="19" a="1"/>
  <c r="A88" i="19" s="1"/>
  <c r="A117" i="19" a="1"/>
  <c r="A117" i="19" s="1"/>
  <c r="A37" i="19" a="1"/>
  <c r="A37" i="19" s="1"/>
  <c r="A109" i="19" a="1"/>
  <c r="A109" i="19" s="1"/>
  <c r="A32" i="19" a="1"/>
  <c r="A32" i="19" s="1"/>
  <c r="A107" i="19" a="1"/>
  <c r="A107" i="19" s="1"/>
  <c r="A34" i="19" a="1"/>
  <c r="A34" i="19" s="1"/>
  <c r="A94" i="19" a="1"/>
  <c r="A94" i="19" s="1"/>
  <c r="A91" i="19" a="1"/>
  <c r="A91" i="19" s="1"/>
  <c r="A87" i="19" a="1"/>
  <c r="A87" i="19" s="1"/>
  <c r="A30" i="19" a="1"/>
  <c r="A30" i="19" s="1"/>
  <c r="A118" i="19" a="1"/>
  <c r="A118" i="19" s="1"/>
  <c r="A99" i="19" a="1"/>
  <c r="A99" i="19" s="1"/>
  <c r="A100" i="19" a="1"/>
  <c r="A100" i="19" s="1"/>
  <c r="A25" i="19" a="1"/>
  <c r="A25" i="19" s="1"/>
  <c r="A71" i="19" a="1"/>
  <c r="A71" i="19" s="1"/>
  <c r="A50" i="19" a="1"/>
  <c r="A50" i="19" s="1"/>
  <c r="A41" i="19" a="1"/>
  <c r="A41" i="19" s="1"/>
  <c r="A23" i="19" a="1"/>
  <c r="A23" i="19" s="1"/>
  <c r="A122" i="19" a="1"/>
  <c r="A122" i="19" s="1"/>
  <c r="A36" i="19" a="1"/>
  <c r="A36" i="19" s="1"/>
  <c r="A67" i="19" a="1"/>
  <c r="A67" i="19" s="1"/>
  <c r="A24" i="19" a="1"/>
  <c r="A24" i="19" s="1"/>
  <c r="A111" i="19" a="1"/>
  <c r="A111" i="19" s="1"/>
  <c r="A93" i="19" a="1"/>
  <c r="A93" i="19" s="1"/>
  <c r="A73" i="19" a="1"/>
  <c r="A73" i="19" s="1"/>
  <c r="A92" i="19" a="1"/>
  <c r="A92" i="19" s="1"/>
  <c r="A59" i="19" a="1"/>
  <c r="A59" i="19" s="1"/>
  <c r="A76" i="19" a="1"/>
  <c r="A76" i="19" s="1"/>
  <c r="A12" i="19" a="1"/>
  <c r="A12" i="19" s="1"/>
  <c r="A17" i="19" a="1"/>
  <c r="A17" i="19" s="1"/>
  <c r="A29" i="19" a="1"/>
  <c r="A29" i="19" s="1"/>
  <c r="A79" i="19" a="1"/>
  <c r="A79" i="19" s="1"/>
  <c r="A113" i="19" a="1"/>
  <c r="A113" i="19" s="1"/>
  <c r="A113" i="15" l="1" a="1"/>
  <c r="A113" i="15" s="1"/>
  <c r="A85" i="15" a="1"/>
  <c r="A85" i="15" s="1"/>
  <c r="A5" i="15" a="1"/>
  <c r="A5" i="15" s="1"/>
  <c r="A101" i="15" a="1"/>
  <c r="A101" i="15" s="1"/>
  <c r="A6" i="15" a="1"/>
  <c r="A6" i="15" s="1"/>
  <c r="A109" i="15" a="1"/>
  <c r="A109" i="15" s="1"/>
  <c r="A117" i="15" a="1"/>
  <c r="A117" i="15" s="1"/>
  <c r="A82" i="15" a="1"/>
  <c r="A82" i="15" s="1"/>
  <c r="A7" i="15" a="1"/>
  <c r="A7" i="15" s="1"/>
  <c r="A8" i="15" a="1"/>
  <c r="A8" i="15" s="1"/>
  <c r="A9" i="15" a="1"/>
  <c r="A9" i="15" s="1"/>
  <c r="A68" i="15" a="1"/>
  <c r="A68" i="15" s="1"/>
  <c r="A114" i="15" a="1"/>
  <c r="A114" i="15" s="1"/>
  <c r="A83" i="15" a="1"/>
  <c r="A83" i="15" s="1"/>
  <c r="A106" i="15" a="1"/>
  <c r="A106" i="15" s="1"/>
  <c r="A116" i="15" a="1"/>
  <c r="A116" i="15" s="1"/>
  <c r="A10" i="15" a="1"/>
  <c r="A10" i="15" s="1"/>
  <c r="A11" i="15" a="1"/>
  <c r="A11" i="15" s="1"/>
  <c r="A12" i="15" a="1"/>
  <c r="A12" i="15" s="1"/>
  <c r="A13" i="15" a="1"/>
  <c r="A13" i="15" s="1"/>
  <c r="A111" i="15" a="1"/>
  <c r="A111" i="15" s="1"/>
  <c r="A14" i="15" a="1"/>
  <c r="A14" i="15" s="1"/>
  <c r="A88" i="15" a="1"/>
  <c r="A88" i="15" s="1"/>
  <c r="A119" i="15" a="1"/>
  <c r="A119" i="15" s="1"/>
  <c r="A15" i="15" a="1"/>
  <c r="A15" i="15" s="1"/>
  <c r="A16" i="15" a="1"/>
  <c r="A16" i="15" s="1"/>
  <c r="A17" i="15" a="1"/>
  <c r="A17" i="15" s="1"/>
  <c r="A69" i="15" a="1"/>
  <c r="A69" i="15" s="1"/>
  <c r="A18" i="15" a="1"/>
  <c r="A18" i="15" s="1"/>
  <c r="A89" i="15" a="1"/>
  <c r="A89" i="15" s="1"/>
  <c r="A120" i="15" a="1"/>
  <c r="A120" i="15" s="1"/>
  <c r="A73" i="15" a="1"/>
  <c r="A73" i="15" s="1"/>
  <c r="A107" i="15" a="1"/>
  <c r="A107" i="15" s="1"/>
  <c r="A19" i="15" a="1"/>
  <c r="A19" i="15" s="1"/>
  <c r="A96" i="15" a="1"/>
  <c r="A96" i="15" s="1"/>
  <c r="A79" i="15" a="1"/>
  <c r="A79" i="15" s="1"/>
  <c r="A20" i="15" a="1"/>
  <c r="A20" i="15" s="1"/>
  <c r="A21" i="15" a="1"/>
  <c r="A21" i="15" s="1"/>
  <c r="A121" i="15" a="1"/>
  <c r="A121" i="15" s="1"/>
  <c r="A99" i="15" a="1"/>
  <c r="A99" i="15" s="1"/>
  <c r="A22" i="15" a="1"/>
  <c r="A22" i="15" s="1"/>
  <c r="A23" i="15" a="1"/>
  <c r="A23" i="15" s="1"/>
  <c r="A105" i="15" a="1"/>
  <c r="A105" i="15" s="1"/>
  <c r="A102" i="15" a="1"/>
  <c r="A102" i="15" s="1"/>
  <c r="A126" i="15" a="1"/>
  <c r="A126" i="15" s="1"/>
  <c r="A72" i="15" a="1"/>
  <c r="A72" i="15" s="1"/>
  <c r="A24" i="15" a="1"/>
  <c r="A24" i="15" s="1"/>
  <c r="A25" i="15" a="1"/>
  <c r="A25" i="15" s="1"/>
  <c r="A93" i="15" a="1"/>
  <c r="A93" i="15" s="1"/>
  <c r="A26" i="15" a="1"/>
  <c r="A26" i="15" s="1"/>
  <c r="A27" i="15" a="1"/>
  <c r="A27" i="15" s="1"/>
  <c r="A28" i="15" a="1"/>
  <c r="A28" i="15" s="1"/>
  <c r="A115" i="15" a="1"/>
  <c r="A115" i="15" s="1"/>
  <c r="A29" i="15" a="1"/>
  <c r="A29" i="15" s="1"/>
  <c r="A30" i="15" a="1"/>
  <c r="A30" i="15" s="1"/>
  <c r="A31" i="15" a="1"/>
  <c r="A31" i="15" s="1"/>
  <c r="A32" i="15" a="1"/>
  <c r="A32" i="15" s="1"/>
  <c r="A86" i="15" a="1"/>
  <c r="A86" i="15" s="1"/>
  <c r="A33" i="15" a="1"/>
  <c r="A33" i="15" s="1"/>
  <c r="A34" i="15" a="1"/>
  <c r="A34" i="15" s="1"/>
  <c r="A80" i="15" a="1"/>
  <c r="A80" i="15" s="1"/>
  <c r="A35" i="15" a="1"/>
  <c r="A35" i="15" s="1"/>
  <c r="A97" i="15" a="1"/>
  <c r="A97" i="15" s="1"/>
  <c r="A123" i="15" a="1"/>
  <c r="A123" i="15" s="1"/>
  <c r="A118" i="15" a="1"/>
  <c r="A118" i="15" s="1"/>
  <c r="A78" i="15" a="1"/>
  <c r="A78" i="15" s="1"/>
  <c r="A94" i="15" a="1"/>
  <c r="A94" i="15" s="1"/>
  <c r="A110" i="15" a="1"/>
  <c r="A110" i="15" s="1"/>
  <c r="A36" i="15" a="1"/>
  <c r="A36" i="15" s="1"/>
  <c r="A100" i="15" a="1"/>
  <c r="A100" i="15" s="1"/>
  <c r="A71" i="15" a="1"/>
  <c r="A71" i="15" s="1"/>
  <c r="A84" i="15" a="1"/>
  <c r="A84" i="15" s="1"/>
  <c r="A37" i="15" a="1"/>
  <c r="A37" i="15" s="1"/>
  <c r="A38" i="15" a="1"/>
  <c r="A38" i="15" s="1"/>
  <c r="A39" i="15" a="1"/>
  <c r="A39" i="15" s="1"/>
  <c r="A40" i="15" a="1"/>
  <c r="A40" i="15" s="1"/>
  <c r="A41" i="15" a="1"/>
  <c r="A41" i="15" s="1"/>
  <c r="A42" i="15" a="1"/>
  <c r="A42" i="15" s="1"/>
  <c r="A43" i="15" a="1"/>
  <c r="A43" i="15" s="1"/>
  <c r="A44" i="15" a="1"/>
  <c r="A44" i="15" s="1"/>
  <c r="A125" i="15" a="1"/>
  <c r="A125" i="15" s="1"/>
  <c r="A45" i="15" a="1"/>
  <c r="A45" i="15" s="1"/>
  <c r="A127" i="15" a="1"/>
  <c r="A127" i="15" s="1"/>
  <c r="A112" i="15" a="1"/>
  <c r="A112" i="15" s="1"/>
  <c r="A46" i="15" a="1"/>
  <c r="A46" i="15" s="1"/>
  <c r="A47" i="15" a="1"/>
  <c r="A47" i="15" s="1"/>
  <c r="A70" i="15" a="1"/>
  <c r="A70" i="15" s="1"/>
  <c r="A108" i="15" a="1"/>
  <c r="A108" i="15" s="1"/>
  <c r="A48" i="15" a="1"/>
  <c r="A48" i="15" s="1"/>
  <c r="A49" i="15" a="1"/>
  <c r="A49" i="15" s="1"/>
  <c r="A50" i="15" a="1"/>
  <c r="A50" i="15" s="1"/>
  <c r="A91" i="15" a="1"/>
  <c r="A91" i="15" s="1"/>
  <c r="A51" i="15" a="1"/>
  <c r="A51" i="15" s="1"/>
  <c r="A52" i="15" a="1"/>
  <c r="A52" i="15" s="1"/>
  <c r="A104" i="15" a="1"/>
  <c r="A104" i="15" s="1"/>
  <c r="A124" i="15" a="1"/>
  <c r="A124" i="15" s="1"/>
  <c r="A53" i="15" a="1"/>
  <c r="A53" i="15" s="1"/>
  <c r="A54" i="15" a="1"/>
  <c r="A54" i="15" s="1"/>
  <c r="A76" i="15" a="1"/>
  <c r="A76" i="15" s="1"/>
  <c r="A55" i="15" a="1"/>
  <c r="A55" i="15" s="1"/>
  <c r="A56" i="15" a="1"/>
  <c r="A56" i="15" s="1"/>
  <c r="A87" i="15" a="1"/>
  <c r="A87" i="15" s="1"/>
  <c r="A57" i="15" a="1"/>
  <c r="A57" i="15" s="1"/>
  <c r="A58" i="15" a="1"/>
  <c r="A58" i="15" s="1"/>
  <c r="A81" i="15" a="1"/>
  <c r="A81" i="15" s="1"/>
  <c r="A59" i="15" a="1"/>
  <c r="A59" i="15" s="1"/>
  <c r="A60" i="15" a="1"/>
  <c r="A60" i="15" s="1"/>
  <c r="A122" i="15" a="1"/>
  <c r="A122" i="15" s="1"/>
  <c r="A61" i="15" a="1"/>
  <c r="A61" i="15" s="1"/>
  <c r="A92" i="15" a="1"/>
  <c r="A92" i="15" s="1"/>
  <c r="A62" i="15" a="1"/>
  <c r="A62" i="15" s="1"/>
  <c r="A90" i="15" a="1"/>
  <c r="A90" i="15" s="1"/>
  <c r="A63" i="15" a="1"/>
  <c r="A63" i="15" s="1"/>
  <c r="A64" i="15" a="1"/>
  <c r="A64" i="15" s="1"/>
  <c r="A77" i="15" a="1"/>
  <c r="A77" i="15" s="1"/>
  <c r="A65" i="15" a="1"/>
  <c r="A65" i="15" s="1"/>
  <c r="A66" i="15" a="1"/>
  <c r="A66" i="15" s="1"/>
  <c r="A95" i="15" a="1"/>
  <c r="A95" i="15" s="1"/>
  <c r="A75" i="15" a="1"/>
  <c r="A75" i="15" s="1"/>
  <c r="A98" i="15" a="1"/>
  <c r="A98" i="15" s="1"/>
  <c r="A67" i="15" a="1"/>
  <c r="A67" i="15" s="1"/>
  <c r="A74" i="15" a="1"/>
  <c r="A74" i="15" s="1"/>
  <c r="A103" i="15" a="1"/>
  <c r="A103" i="15" s="1"/>
  <c r="A5" i="3" l="1" a="1"/>
  <c r="A5" i="3" s="1"/>
  <c r="A6" i="3" a="1"/>
  <c r="A6" i="3" s="1"/>
  <c r="A7" i="3" a="1"/>
  <c r="A7" i="3" s="1"/>
  <c r="A8" i="3" a="1"/>
  <c r="A8" i="3" s="1"/>
  <c r="A9" i="3" a="1"/>
  <c r="A9" i="3" s="1"/>
  <c r="A10" i="3" a="1"/>
  <c r="A10" i="3" s="1"/>
  <c r="A11" i="3" a="1"/>
  <c r="A11" i="3" s="1"/>
  <c r="A12" i="3" a="1"/>
  <c r="A12" i="3" s="1"/>
  <c r="A13" i="3" a="1"/>
  <c r="A13" i="3" s="1"/>
  <c r="A14" i="3" a="1"/>
  <c r="A14" i="3" s="1"/>
  <c r="A15" i="3" a="1"/>
  <c r="A15" i="3" s="1"/>
  <c r="A16" i="3" a="1"/>
  <c r="A16" i="3" s="1"/>
  <c r="A17" i="3" a="1"/>
  <c r="A17" i="3" s="1"/>
  <c r="A18" i="3" a="1"/>
  <c r="A18" i="3" s="1"/>
  <c r="A19" i="3" a="1"/>
  <c r="A19" i="3" s="1"/>
  <c r="A20" i="3" a="1"/>
  <c r="A20" i="3" s="1"/>
  <c r="A21" i="3" a="1"/>
  <c r="A21" i="3" s="1"/>
  <c r="A22" i="3" a="1"/>
  <c r="A22" i="3" s="1"/>
  <c r="A23" i="3" a="1"/>
  <c r="A23" i="3" s="1"/>
  <c r="A24" i="3" a="1"/>
  <c r="A24" i="3" s="1"/>
  <c r="A25" i="3" a="1"/>
  <c r="A25" i="3" s="1"/>
  <c r="A26" i="3" a="1"/>
  <c r="A26" i="3" s="1"/>
  <c r="A27" i="3" a="1"/>
  <c r="A27" i="3" s="1"/>
  <c r="A28" i="3" a="1"/>
  <c r="A28" i="3" s="1"/>
  <c r="A29" i="3" a="1"/>
  <c r="A29" i="3" s="1"/>
  <c r="A30" i="3" a="1"/>
  <c r="A30" i="3" s="1"/>
  <c r="A31" i="3" a="1"/>
  <c r="A31" i="3" s="1"/>
  <c r="A32" i="3" a="1"/>
  <c r="A32" i="3" s="1"/>
  <c r="A33" i="3" a="1"/>
  <c r="A33" i="3" s="1"/>
  <c r="A34" i="3" a="1"/>
  <c r="A34" i="3" s="1"/>
  <c r="A35" i="3" a="1"/>
  <c r="A35" i="3" s="1"/>
  <c r="A36" i="3" a="1"/>
  <c r="A36" i="3" s="1"/>
  <c r="A37" i="3" a="1"/>
  <c r="A37" i="3" s="1"/>
  <c r="A38" i="3" a="1"/>
  <c r="A38" i="3" s="1"/>
  <c r="A39" i="3" a="1"/>
  <c r="A39" i="3" s="1"/>
  <c r="A40" i="3" a="1"/>
  <c r="A40" i="3" s="1"/>
  <c r="A41" i="3" a="1"/>
  <c r="A41" i="3" s="1"/>
  <c r="A42" i="3" a="1"/>
  <c r="A42" i="3" s="1"/>
  <c r="A43" i="3" a="1"/>
  <c r="A43" i="3" s="1"/>
  <c r="A44" i="3" a="1"/>
  <c r="A44" i="3" s="1"/>
  <c r="A45" i="3" a="1"/>
  <c r="A45" i="3" s="1"/>
  <c r="A46" i="3" a="1"/>
  <c r="A46" i="3" s="1"/>
  <c r="A47" i="3" a="1"/>
  <c r="A47" i="3" s="1"/>
  <c r="A48" i="3" a="1"/>
  <c r="A48" i="3" s="1"/>
  <c r="A49" i="3" a="1"/>
  <c r="A49" i="3" s="1"/>
  <c r="A50" i="3" a="1"/>
  <c r="A50" i="3" s="1"/>
  <c r="A51" i="3" a="1"/>
  <c r="A51" i="3" s="1"/>
  <c r="A52" i="3" a="1"/>
  <c r="A52" i="3" s="1"/>
  <c r="A53" i="3" a="1"/>
  <c r="A53" i="3" s="1"/>
  <c r="A54" i="3" a="1"/>
  <c r="A54" i="3" s="1"/>
  <c r="A55" i="3" a="1"/>
  <c r="A55" i="3" s="1"/>
  <c r="A56" i="3" a="1"/>
  <c r="A56" i="3" s="1"/>
  <c r="A57" i="3" a="1"/>
  <c r="A57" i="3" s="1"/>
  <c r="A58" i="3" a="1"/>
  <c r="A58" i="3" s="1"/>
  <c r="A59" i="3" a="1"/>
  <c r="A59" i="3" s="1"/>
  <c r="A60" i="3" a="1"/>
  <c r="A60" i="3" s="1"/>
  <c r="A61" i="3" a="1"/>
  <c r="A61" i="3" s="1"/>
  <c r="A62" i="3" a="1"/>
  <c r="A62" i="3" s="1"/>
  <c r="A63" i="3" a="1"/>
  <c r="A63" i="3" s="1"/>
  <c r="A64" i="3" a="1"/>
  <c r="A64" i="3" s="1"/>
  <c r="A65" i="3" a="1"/>
  <c r="A65" i="3" s="1"/>
  <c r="A66" i="3" a="1"/>
  <c r="A66" i="3" s="1"/>
  <c r="A67" i="3" a="1"/>
  <c r="A67" i="3" s="1"/>
  <c r="A68" i="3" a="1"/>
  <c r="A68" i="3" s="1"/>
  <c r="A69" i="3" a="1"/>
  <c r="A69" i="3" s="1"/>
  <c r="A70" i="3" a="1"/>
  <c r="A70" i="3" s="1"/>
  <c r="A71" i="3" a="1"/>
  <c r="A71" i="3" s="1"/>
  <c r="A72" i="3" a="1"/>
  <c r="A72" i="3" s="1"/>
  <c r="A73" i="3" a="1"/>
  <c r="A73" i="3" s="1"/>
  <c r="A74" i="3" a="1"/>
  <c r="A74" i="3" s="1"/>
  <c r="A75" i="3" a="1"/>
  <c r="A75" i="3" s="1"/>
  <c r="A76" i="3" a="1"/>
  <c r="A76" i="3" s="1"/>
  <c r="A77" i="3" a="1"/>
  <c r="A77" i="3" s="1"/>
  <c r="A78" i="3" a="1"/>
  <c r="A78" i="3" s="1"/>
  <c r="A79" i="3" a="1"/>
  <c r="A79" i="3" s="1"/>
  <c r="A80" i="3" a="1"/>
  <c r="A80" i="3" s="1"/>
  <c r="A81" i="3" a="1"/>
  <c r="A81" i="3" s="1"/>
  <c r="A82" i="3" a="1"/>
  <c r="A82" i="3" s="1"/>
  <c r="A83" i="3" a="1"/>
  <c r="A83" i="3" s="1"/>
  <c r="A84" i="3" a="1"/>
  <c r="A84" i="3" s="1"/>
  <c r="A85" i="3" a="1"/>
  <c r="A85" i="3" s="1"/>
  <c r="A86" i="3" a="1"/>
  <c r="A86" i="3" s="1"/>
  <c r="A87" i="3" a="1"/>
  <c r="A87" i="3" s="1"/>
  <c r="A88" i="3" a="1"/>
  <c r="A88" i="3" s="1"/>
  <c r="A89" i="3" a="1"/>
  <c r="A89" i="3" s="1"/>
  <c r="A90" i="3" a="1"/>
  <c r="A90" i="3" s="1"/>
  <c r="A91" i="3" a="1"/>
  <c r="A91" i="3" s="1"/>
  <c r="A92" i="3" a="1"/>
  <c r="A92" i="3" s="1"/>
  <c r="A93" i="3" a="1"/>
  <c r="A93" i="3" s="1"/>
  <c r="A94" i="3" a="1"/>
  <c r="A94" i="3" s="1"/>
  <c r="A95" i="3" a="1"/>
  <c r="A95" i="3" s="1"/>
  <c r="A96" i="3" a="1"/>
  <c r="A96" i="3" s="1"/>
  <c r="A97" i="3" a="1"/>
  <c r="A97" i="3" s="1"/>
  <c r="A98" i="3" a="1"/>
  <c r="A98" i="3" s="1"/>
  <c r="A99" i="3" a="1"/>
  <c r="A99" i="3" s="1"/>
  <c r="A100" i="3" a="1"/>
  <c r="A100" i="3" s="1"/>
  <c r="A101" i="3" a="1"/>
  <c r="A101" i="3" s="1"/>
  <c r="A102" i="3" a="1"/>
  <c r="A102" i="3" s="1"/>
  <c r="A103" i="3" a="1"/>
  <c r="A103" i="3" s="1"/>
  <c r="A104" i="3" a="1"/>
  <c r="A104" i="3" s="1"/>
  <c r="A105" i="3" a="1"/>
  <c r="A105" i="3" s="1"/>
  <c r="A106" i="3" a="1"/>
  <c r="A106" i="3" s="1"/>
  <c r="A107" i="3" a="1"/>
  <c r="A107" i="3" s="1"/>
  <c r="A108" i="3" a="1"/>
  <c r="A108" i="3" s="1"/>
  <c r="A109" i="3" a="1"/>
  <c r="A109" i="3" s="1"/>
  <c r="A110" i="3" a="1"/>
  <c r="A110" i="3" s="1"/>
  <c r="A111" i="3" a="1"/>
  <c r="A111" i="3" s="1"/>
  <c r="A112" i="3" a="1"/>
  <c r="A112" i="3" s="1"/>
  <c r="A113" i="3" a="1"/>
  <c r="A113" i="3" s="1"/>
  <c r="A114" i="3" a="1"/>
  <c r="A114" i="3" s="1"/>
  <c r="A115" i="3" a="1"/>
  <c r="A115" i="3" s="1"/>
  <c r="A116" i="3" a="1"/>
  <c r="A116" i="3" s="1"/>
  <c r="A117" i="3" a="1"/>
  <c r="A117" i="3" s="1"/>
  <c r="A118" i="3" a="1"/>
  <c r="A118" i="3" s="1"/>
  <c r="A119" i="3" a="1"/>
  <c r="A119" i="3" s="1"/>
  <c r="A120" i="3" a="1"/>
  <c r="A120" i="3" s="1"/>
  <c r="A121" i="3" a="1"/>
  <c r="A121" i="3" s="1"/>
  <c r="A122" i="3" a="1"/>
  <c r="A122" i="3" s="1"/>
  <c r="A123" i="3" a="1"/>
  <c r="A123" i="3" s="1"/>
  <c r="A124" i="3" a="1"/>
  <c r="A124" i="3" s="1"/>
  <c r="A125" i="3" a="1"/>
  <c r="A125" i="3" s="1"/>
  <c r="A126" i="3" a="1"/>
  <c r="A126" i="3" s="1"/>
  <c r="A127" i="3" a="1"/>
  <c r="A127" i="3" s="1"/>
  <c r="A117" i="6" l="1"/>
  <c r="A24" i="6" l="1"/>
  <c r="A44" i="6"/>
  <c r="A12" i="6"/>
  <c r="A114" i="6"/>
  <c r="A101" i="6"/>
  <c r="A59" i="6"/>
  <c r="A27" i="6"/>
  <c r="A23" i="6"/>
  <c r="A75" i="6"/>
  <c r="A79" i="6"/>
  <c r="A100" i="6"/>
  <c r="A87" i="6"/>
  <c r="A116" i="6"/>
  <c r="A33" i="6"/>
  <c r="A22" i="6"/>
  <c r="A10" i="6"/>
  <c r="A32" i="6"/>
  <c r="A53" i="6"/>
  <c r="A96" i="6"/>
  <c r="A69" i="6"/>
  <c r="A49" i="6"/>
  <c r="A38" i="6"/>
  <c r="A28" i="6"/>
  <c r="A88" i="6"/>
  <c r="A73" i="6"/>
  <c r="A70" i="6"/>
  <c r="A58" i="6"/>
  <c r="A78" i="6"/>
  <c r="A81" i="6"/>
  <c r="A86" i="6"/>
  <c r="A66" i="6"/>
  <c r="A7" i="6"/>
  <c r="A104" i="6"/>
  <c r="A97" i="6"/>
  <c r="A51" i="6"/>
  <c r="A60" i="6"/>
  <c r="A85" i="6"/>
  <c r="A102" i="6"/>
  <c r="A31" i="6"/>
  <c r="A95" i="6"/>
  <c r="A65" i="6"/>
  <c r="A82" i="6"/>
  <c r="A107" i="6"/>
  <c r="A29" i="6"/>
  <c r="A62" i="6"/>
  <c r="A113" i="6"/>
  <c r="A109" i="6"/>
  <c r="A103" i="6"/>
  <c r="A123" i="6"/>
  <c r="A11" i="6"/>
  <c r="A120" i="6"/>
  <c r="A83" i="6"/>
  <c r="A125" i="6"/>
  <c r="A36" i="6"/>
  <c r="A14" i="6"/>
  <c r="A128" i="6"/>
  <c r="A64" i="6"/>
  <c r="A18" i="6"/>
  <c r="A50" i="6"/>
  <c r="A91" i="6"/>
  <c r="A108" i="6"/>
  <c r="A30" i="6"/>
  <c r="A20" i="6"/>
  <c r="A55" i="6"/>
  <c r="A119" i="6"/>
  <c r="A121" i="6"/>
  <c r="A122" i="6"/>
  <c r="A52" i="6"/>
  <c r="A77" i="6"/>
  <c r="A110" i="6"/>
  <c r="A112" i="6"/>
  <c r="A76" i="6"/>
  <c r="A39" i="6"/>
  <c r="A89" i="6"/>
  <c r="A45" i="6"/>
  <c r="A34" i="6"/>
  <c r="A92" i="6"/>
  <c r="A47" i="6"/>
  <c r="A105" i="6"/>
  <c r="A106" i="6"/>
  <c r="A94" i="6"/>
  <c r="A9" i="6"/>
  <c r="A129" i="6"/>
  <c r="A72" i="6"/>
  <c r="A41" i="6"/>
  <c r="A74" i="6"/>
  <c r="A99" i="6"/>
  <c r="A124" i="6"/>
  <c r="A46" i="6"/>
  <c r="A19" i="6"/>
  <c r="A63" i="6"/>
  <c r="A127" i="6"/>
  <c r="A26" i="6"/>
  <c r="A35" i="6"/>
  <c r="A68" i="6"/>
  <c r="A93" i="6"/>
  <c r="A126" i="6"/>
  <c r="A40" i="6"/>
  <c r="A48" i="6"/>
  <c r="A67" i="6"/>
  <c r="A118" i="6"/>
  <c r="A90" i="6"/>
  <c r="A15" i="6"/>
  <c r="A56" i="6"/>
  <c r="A17" i="6"/>
  <c r="A111" i="6"/>
  <c r="A61" i="6"/>
  <c r="A13" i="6"/>
  <c r="A16" i="6"/>
  <c r="A80" i="6"/>
  <c r="A57" i="6"/>
  <c r="A98" i="6"/>
  <c r="A115" i="6"/>
  <c r="A37" i="6"/>
  <c r="A54" i="6"/>
  <c r="A21" i="6"/>
  <c r="A71" i="6"/>
  <c r="A25" i="6"/>
  <c r="A42" i="6"/>
  <c r="A43" i="6"/>
  <c r="A84" i="6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<sst xmlns="http://schemas.openxmlformats.org/spreadsheetml/2006/main" count="2829" uniqueCount="318">
  <si>
    <t>Xã Giáp Trung</t>
  </si>
  <si>
    <t>Xã Yên Nguyên</t>
  </si>
  <si>
    <t>Phường Hà Giang 2</t>
  </si>
  <si>
    <t>Xã Kiên Đài</t>
  </si>
  <si>
    <t>Xã Đông Thọ</t>
  </si>
  <si>
    <t>Phường Hà Giang 1</t>
  </si>
  <si>
    <t>Xã Quang Bình</t>
  </si>
  <si>
    <t>Xã Mèo Vạc</t>
  </si>
  <si>
    <t>Xã Thái Sơn</t>
  </si>
  <si>
    <t>Xã Tân Trào</t>
  </si>
  <si>
    <t>Xã Quản Bạ</t>
  </si>
  <si>
    <t>Phường Minh Xuân</t>
  </si>
  <si>
    <t>Xã Trung Hà</t>
  </si>
  <si>
    <t>Xã Vị Xuyên</t>
  </si>
  <si>
    <t>Xã Thượng Lâm</t>
  </si>
  <si>
    <t>Xã Bắc Mê</t>
  </si>
  <si>
    <t>Xã Tân Mỹ</t>
  </si>
  <si>
    <t>Phường Bình Thuận</t>
  </si>
  <si>
    <t>Xã Việt Lâm</t>
  </si>
  <si>
    <t>Xã Xuân Vân</t>
  </si>
  <si>
    <t>Xã Tùng Bá</t>
  </si>
  <si>
    <t>Xã Hàm Yên</t>
  </si>
  <si>
    <t>Xã Chiêm Hóa</t>
  </si>
  <si>
    <t>Xã Pà Vầy Sủ</t>
  </si>
  <si>
    <t>Phường An Tường</t>
  </si>
  <si>
    <t>Xã Yên Sơn</t>
  </si>
  <si>
    <t>Xã Kim Bình</t>
  </si>
  <si>
    <t>Xã Bình Xa</t>
  </si>
  <si>
    <t>Xã Nà Hang</t>
  </si>
  <si>
    <t>Xã Hòa An</t>
  </si>
  <si>
    <t>Xã Minh Quang</t>
  </si>
  <si>
    <t>Xã Tân Long</t>
  </si>
  <si>
    <t>Xã Sơn Dương</t>
  </si>
  <si>
    <t>Xã Lâm Bình</t>
  </si>
  <si>
    <t>Xã Trung Sơn</t>
  </si>
  <si>
    <t>Xã Hùng Đức</t>
  </si>
  <si>
    <t>Xã Đồng Yên</t>
  </si>
  <si>
    <t>Phường Nông Tiến</t>
  </si>
  <si>
    <t>Xã Hoàng Su Phì</t>
  </si>
  <si>
    <t>Xã Hùng Lợi</t>
  </si>
  <si>
    <t>Xã Bạch Xa</t>
  </si>
  <si>
    <t>Xã Yên Lập</t>
  </si>
  <si>
    <t>Xã Tân An</t>
  </si>
  <si>
    <t>Xã Nhữ Khê</t>
  </si>
  <si>
    <t>Xã Phù Lưu</t>
  </si>
  <si>
    <t>Xã Thái Bình</t>
  </si>
  <si>
    <t>Xã Bình An</t>
  </si>
  <si>
    <t>Xã Minh Thanh</t>
  </si>
  <si>
    <t>Xã Tri Phú</t>
  </si>
  <si>
    <t>Xã Khâu Vai</t>
  </si>
  <si>
    <t>Xã Bắc Quang</t>
  </si>
  <si>
    <t>Xã Thái Hòa</t>
  </si>
  <si>
    <t>Xã Tân Tiến</t>
  </si>
  <si>
    <t>Xã Yên Minh</t>
  </si>
  <si>
    <t>Xã Sơn Thủy</t>
  </si>
  <si>
    <t>Xã Tiên Yên</t>
  </si>
  <si>
    <t>Xã Kiến Thiết</t>
  </si>
  <si>
    <t>Xã Bạch Đích</t>
  </si>
  <si>
    <t>Xã Đồng Văn</t>
  </si>
  <si>
    <t>Phường Mỹ Lâm</t>
  </si>
  <si>
    <t>Xã Phú Lương</t>
  </si>
  <si>
    <t>Xã Trường Sinh</t>
  </si>
  <si>
    <t>Xã Sơn Vĩ</t>
  </si>
  <si>
    <t>Xã Tân Thanh</t>
  </si>
  <si>
    <t>Xã Bình Ca</t>
  </si>
  <si>
    <t>Xã Hùng An</t>
  </si>
  <si>
    <t>Xã Vĩnh Tuy</t>
  </si>
  <si>
    <t>Xã Quảng Nguyên</t>
  </si>
  <si>
    <t>Xã Đường Thượng</t>
  </si>
  <si>
    <t>Xã Hồng Sơn</t>
  </si>
  <si>
    <t>Xã Côn Lôn</t>
  </si>
  <si>
    <t>Xã Khuôn Lùng</t>
  </si>
  <si>
    <t>Xã Tân Quang</t>
  </si>
  <si>
    <t>Xã Niêm Sơn</t>
  </si>
  <si>
    <t>Xã Sủng Máng</t>
  </si>
  <si>
    <t>Xã Xuân Giang</t>
  </si>
  <si>
    <t>Xã Ngọc Đường</t>
  </si>
  <si>
    <t>Xã Bằng Lang</t>
  </si>
  <si>
    <t>Xã Du Già</t>
  </si>
  <si>
    <t>Xã Lực Hành</t>
  </si>
  <si>
    <t>Xã Minh Sơn</t>
  </si>
  <si>
    <t>Xã Yên Cường</t>
  </si>
  <si>
    <t>Xã Minh Tân</t>
  </si>
  <si>
    <t>Xã Tân Trịnh</t>
  </si>
  <si>
    <t>Xã Thượng Sơn</t>
  </si>
  <si>
    <t>Xã Phú Linh</t>
  </si>
  <si>
    <t>Xã Thắng Mố</t>
  </si>
  <si>
    <t>Xã Bằng Hành</t>
  </si>
  <si>
    <t>Xã Yên Hoa</t>
  </si>
  <si>
    <t>Xã Lao Chải</t>
  </si>
  <si>
    <t>Xã Thượng Nông</t>
  </si>
  <si>
    <t>Xã Pờ Ly Ngài</t>
  </si>
  <si>
    <t>Xã Cao Bồ</t>
  </si>
  <si>
    <t>Xã Hồng Thái</t>
  </si>
  <si>
    <t>Xã Bạch Ngọc</t>
  </si>
  <si>
    <t>Xã Minh Ngọc</t>
  </si>
  <si>
    <t>Xã Lũng Cú</t>
  </si>
  <si>
    <t>Xã Nghĩa Thuận</t>
  </si>
  <si>
    <t>Xã Xín Mần</t>
  </si>
  <si>
    <t>Xã Yên Phú</t>
  </si>
  <si>
    <t>Xã Thàng Tín</t>
  </si>
  <si>
    <t>Xã Tiên Nguyên</t>
  </si>
  <si>
    <t>Xã Hồ Thầu</t>
  </si>
  <si>
    <t>Xã Thông Nguyên</t>
  </si>
  <si>
    <t>Xã Lùng Tám</t>
  </si>
  <si>
    <t>Xã Nậm Dịch</t>
  </si>
  <si>
    <t>Xã Mậu Duệ</t>
  </si>
  <si>
    <t>Xã Nấm Dẩn</t>
  </si>
  <si>
    <t>Xã Lũng Phìn</t>
  </si>
  <si>
    <t>Xã Sà Phìn</t>
  </si>
  <si>
    <t>Xã Cán Tỷ</t>
  </si>
  <si>
    <t>Xã Bản Máy</t>
  </si>
  <si>
    <t>Xã Liên Hiệp</t>
  </si>
  <si>
    <t>Xã Tùng Vài</t>
  </si>
  <si>
    <t>Xã Phố Bảng</t>
  </si>
  <si>
    <t>Xã Thuận Hòa</t>
  </si>
  <si>
    <t>Xã Đồng Tâm</t>
  </si>
  <si>
    <t>Xã Tát Ngà</t>
  </si>
  <si>
    <t>Xã Ngọc Long</t>
  </si>
  <si>
    <t>Xã Đường Hồng</t>
  </si>
  <si>
    <t>Xã Trung Thịnh</t>
  </si>
  <si>
    <t>Xã Yên Thành</t>
  </si>
  <si>
    <t>Xã Thanh Thủy</t>
  </si>
  <si>
    <t>Xã Linh Hồ</t>
  </si>
  <si>
    <t>Tổng số</t>
  </si>
  <si>
    <t>Tỉ lệ kích hoạt định danh mức 2</t>
  </si>
  <si>
    <t>Chỉ tiêu cần đạt</t>
  </si>
  <si>
    <t>Tỉnh Tuyên Quang</t>
  </si>
  <si>
    <t>Đơn vị</t>
  </si>
  <si>
    <t>Xếp hạng</t>
  </si>
  <si>
    <t>Xã Minh tân</t>
  </si>
  <si>
    <t>Xã Lũng cú</t>
  </si>
  <si>
    <t>Tổng</t>
  </si>
  <si>
    <t>Đơn vị xử lý</t>
  </si>
  <si>
    <t>Chưa xử lý</t>
  </si>
  <si>
    <t>Đã cập nhật thường trú</t>
  </si>
  <si>
    <t>Chưa xác minh được</t>
  </si>
  <si>
    <t>Đã chết</t>
  </si>
  <si>
    <t>Số lượt hồ sơ quá hạn bị nhắc trong tháng</t>
  </si>
  <si>
    <t>Chỉ tiêu 1</t>
  </si>
  <si>
    <t>Chỉ tiêu 2</t>
  </si>
  <si>
    <t>Chỉ tiêu 3</t>
  </si>
  <si>
    <t>Chỉ tiêu 4</t>
  </si>
  <si>
    <t>Chỉ tiêu 5</t>
  </si>
  <si>
    <t>KẾT QUẢ TRẢ LỜI XÁC MINH</t>
  </si>
  <si>
    <t>Tổng toàn tỉnh</t>
  </si>
  <si>
    <t>DỮ LIỆU TRẺ CHƯA ĐĂNG KÝ THƯỜNG TRÚ</t>
  </si>
  <si>
    <t>Chưa đăng ký thường trú</t>
  </si>
  <si>
    <t xml:space="preserve">Xã Lũng Phìn_x000D_
</t>
  </si>
  <si>
    <t xml:space="preserve">Xã Phố Bảng_x000D_
</t>
  </si>
  <si>
    <t xml:space="preserve">Xã Sà Phìn_x000D_
</t>
  </si>
  <si>
    <t>Tên Đơn vị</t>
  </si>
  <si>
    <t xml:space="preserve"> Tổng thường trú</t>
  </si>
  <si>
    <t>Tổng số thẻ BHYT</t>
  </si>
  <si>
    <t>Tổng số thẻ BHYT được tích hợp</t>
  </si>
  <si>
    <t>SỐ LƯỢT HỒ SƠ CƯ TRÚ QUÁ HẠN</t>
  </si>
  <si>
    <t>Tỉ lệ đạt được</t>
  </si>
  <si>
    <t>Chỉ tiêu 6</t>
  </si>
  <si>
    <t>Chỉ tiêu 7</t>
  </si>
  <si>
    <t>Chưa cập nhật số định danh đúng cấu trúc</t>
  </si>
  <si>
    <t>Chưa xử lý dữ liệu DC01 mở rộng</t>
  </si>
  <si>
    <t xml:space="preserve">Tổng số </t>
  </si>
  <si>
    <t xml:space="preserve">Chưa hoàn thành thao tác cấp số mới </t>
  </si>
  <si>
    <t>Cấp lại số lỗi hệ thống</t>
  </si>
  <si>
    <t>Hồ sơ chưa đảm bảo cần khắc phục</t>
  </si>
  <si>
    <t>Có hồ sơ C06 chưa duyệt hủy</t>
  </si>
  <si>
    <t>Hủy số thành công chưa xử lý DC01 mở rộng</t>
  </si>
  <si>
    <t>Chưa có hồ sơ đề nghị</t>
  </si>
  <si>
    <t>HUỶ SỐ ĐỊNH DANH</t>
  </si>
  <si>
    <t>Hồ sơ còn tồn chưa giải quyết</t>
  </si>
  <si>
    <t>Chỉ tiêu 8</t>
  </si>
  <si>
    <t>Chỉ tiêu 9</t>
  </si>
  <si>
    <t>Chỉ tiêu 10</t>
  </si>
  <si>
    <t xml:space="preserve">Tổng Số lượt CT10 </t>
  </si>
  <si>
    <t>Ngày 10</t>
  </si>
  <si>
    <t>Ngày 11</t>
  </si>
  <si>
    <t>Ngày 12</t>
  </si>
  <si>
    <t>Ngày 13</t>
  </si>
  <si>
    <t>Ngày 14</t>
  </si>
  <si>
    <t>Ngày 15</t>
  </si>
  <si>
    <t>Ngày 16</t>
  </si>
  <si>
    <t>Ngày 17</t>
  </si>
  <si>
    <t>Ngày 18</t>
  </si>
  <si>
    <t>Ngày 19</t>
  </si>
  <si>
    <t>Ngày 20</t>
  </si>
  <si>
    <t>Ngày 21</t>
  </si>
  <si>
    <t>Ngày 22</t>
  </si>
  <si>
    <t>Ngày 23</t>
  </si>
  <si>
    <t>Ngày 24</t>
  </si>
  <si>
    <t>Ngày 25</t>
  </si>
  <si>
    <t>Ngày 26</t>
  </si>
  <si>
    <t>Ngày 27</t>
  </si>
  <si>
    <t>Ngày 28</t>
  </si>
  <si>
    <t>Ngày 29</t>
  </si>
  <si>
    <t>Ngày 30</t>
  </si>
  <si>
    <t>Ngày 31</t>
  </si>
  <si>
    <t>Ngày 1</t>
  </si>
  <si>
    <t>Ngày 2</t>
  </si>
  <si>
    <t>Ngày 3</t>
  </si>
  <si>
    <t>Ngày 4</t>
  </si>
  <si>
    <t>Ngày 5</t>
  </si>
  <si>
    <t>Ngày 6</t>
  </si>
  <si>
    <t>Ngày 7</t>
  </si>
  <si>
    <t>Ngày 8</t>
  </si>
  <si>
    <t>Ngày 9</t>
  </si>
  <si>
    <t>Chỉ tiêu giao</t>
  </si>
  <si>
    <t>Chỉ tiêu</t>
  </si>
  <si>
    <t>Kết quả thực hiện so với chỉ tiêu giao</t>
  </si>
  <si>
    <t>CHỈ TIÊU TÍCH HỢP BHYT SỔ SỨC KHOẺ ĐIỆN TỬ</t>
  </si>
  <si>
    <t>CHỈ TIÊU TÍCH HỢP BẢO HIỂM XÃ HỘI</t>
  </si>
  <si>
    <t>Tổng số mã BHXH</t>
  </si>
  <si>
    <t>Tổng số mã BHXH được tích hợp</t>
  </si>
  <si>
    <t>Tổng số công dân có giấy phép lái xe</t>
  </si>
  <si>
    <t>CHỈ TIÊU TÍCH HỢP GIẤY PHÉP LÁI XE</t>
  </si>
  <si>
    <t xml:space="preserve">CHỈ TIÊU TÍCH HỢP ĐĂNG KÝ XE				</t>
  </si>
  <si>
    <t>Tổng số công dân có đăng ký xe</t>
  </si>
  <si>
    <t>Tổng số công dân đã tích hợp đăng ký xe</t>
  </si>
  <si>
    <t>Tổng số công dân đã tích hợp giấy phép lái xe</t>
  </si>
  <si>
    <t>Số liệu tài khoản định mức 2 được kích hoạt (30/03/2026)</t>
  </si>
  <si>
    <t>Cần tăng (%)</t>
  </si>
  <si>
    <t>ĐỊNH DANH ĐIỆN TỬ CHO CÔNG DÂN TỪ 14 TUỔI TRỞ LÊN</t>
  </si>
  <si>
    <t>Xã phường</t>
  </si>
  <si>
    <t>Nhân khẩu thường trú</t>
  </si>
  <si>
    <t>Nhân khẩu từ 14 tuổi trở lên</t>
  </si>
  <si>
    <t>ĐỊNH DANH ĐIỆN TỬ CHO CÔNG DÂN TỪ 6 ĐẾN 14 TUỔI</t>
  </si>
  <si>
    <t>Nhân khẩu từ 6 đến dưới 14 tuổi</t>
  </si>
  <si>
    <t>Số liệu tài khoản định mức 2 được kích hoạt</t>
  </si>
  <si>
    <t>9 ngày đầu tháng sau</t>
  </si>
  <si>
    <t>21 ngày tháng trước</t>
  </si>
  <si>
    <t>SỐ LƯỢT HỒ SƠ CĂN CƯỚC QUÁ HẠN</t>
  </si>
  <si>
    <t>KẾT QUẢ DỮ LIỆU ĐẤT ĐAI</t>
  </si>
  <si>
    <t>KẾT QUẢ BÌNH DÂN HỌC VỤ SỐ</t>
  </si>
  <si>
    <t>KẾT QUẢ LÀM SẠCH DC01 MỞ RỘNG</t>
  </si>
  <si>
    <t>Tổng số dữ liệu thiếu</t>
  </si>
  <si>
    <t>Thiếu số DDCN cha</t>
  </si>
  <si>
    <t>Thiếu số DDCN mẹ</t>
  </si>
  <si>
    <t>Thiếu số DDCN cha và mẹ</t>
  </si>
  <si>
    <t>…</t>
  </si>
  <si>
    <t>Tổng số công dân đủ điều kiện</t>
  </si>
  <si>
    <t>Tỷ lệ đã hoàn thành</t>
  </si>
  <si>
    <t>Tổng số CBCCVC</t>
  </si>
  <si>
    <t>Tổng số CBCCVC và công dân trên địa bàn</t>
  </si>
  <si>
    <t>Tổng số chỉ tiêu</t>
  </si>
  <si>
    <t>KẾT QUẢ THỰC HIỆN CÁC CHỈ TIÊU 124 XÃ (TÍNH TỪ NGÀY ĐẾN NGÀY)</t>
  </si>
  <si>
    <t>Cấp căn cước cho công dân từ đủ 14 tuổi trở lên</t>
  </si>
  <si>
    <t>CẤP CĂN CƯỚC CHO CÔNG DÂN TỪ 14 TUỔI TRỞ LÊN</t>
  </si>
  <si>
    <t>Số liệu cấp căn cước cho công dân từ 14 tuổi trở lên</t>
  </si>
  <si>
    <t>Tỉ lệ đã thực hiện</t>
  </si>
  <si>
    <t>Tổng đã xử lý</t>
  </si>
  <si>
    <t>Định danh điện tử cho người từ đủ 14 tuổi trở lên</t>
  </si>
  <si>
    <t>Định danh điện tử cho người từ 6 đến dưới 14 tuổi</t>
  </si>
  <si>
    <t>ĐỊNH DANH CƠ QUAN TỔ CHỨC</t>
  </si>
  <si>
    <t>Tổng số cơ quan, tổ chức</t>
  </si>
  <si>
    <t>Tổng số doanh nghiệp, hợp tác xã</t>
  </si>
  <si>
    <t>Tổng số tài khoản đã được cấp</t>
  </si>
  <si>
    <t>Tổng số chỉ tiêu cần thực hiện</t>
  </si>
  <si>
    <t>Tỷ lệ thực hiện</t>
  </si>
  <si>
    <t>Tổng số tài khoản cơ quan, tổ chức đã được cấp</t>
  </si>
  <si>
    <t>Tổng số tài khoản doanh nghiệp, hợp tác xã đã được cấp</t>
  </si>
  <si>
    <t>Định danh cơ quan, tổ chức</t>
  </si>
  <si>
    <t>Tích hợp thẻ BHYT và sổ sức khoẻ điện tử</t>
  </si>
  <si>
    <t>Tích hợp thẻ BHXH</t>
  </si>
  <si>
    <t>Tích hợp tài khoản an sinh xã hội</t>
  </si>
  <si>
    <t>suckhoedientu</t>
  </si>
  <si>
    <t>baohiemxahoi</t>
  </si>
  <si>
    <t>KẾT QUẢ DỊCH VỤ CÔNG CĂN CƯỚC</t>
  </si>
  <si>
    <t>Tổng số hồ sơ</t>
  </si>
  <si>
    <t>Số hồ sơ trực tuyến</t>
  </si>
  <si>
    <t>Số hồ sơ trực tiếp</t>
  </si>
  <si>
    <t>Tỷ lệ trực tuyến</t>
  </si>
  <si>
    <t>Đánh giá thực hiện</t>
  </si>
  <si>
    <t>KẾT QUẢ DỊCH VỤ CÔNG CƯ TRÚ</t>
  </si>
  <si>
    <t>Chỉ tiêu dữ liệu đất đai</t>
  </si>
  <si>
    <t>Chỉ tiêu dịch vụ công căn cước</t>
  </si>
  <si>
    <t>Chỉ tiêu dịch vụ công cư trú</t>
  </si>
  <si>
    <t>Chỉ tiêu trả lời CT10</t>
  </si>
  <si>
    <t>Chỉ tiêu hồ sơ quá hạn căn cước</t>
  </si>
  <si>
    <t>Chỉ tiêu hồ sơ quá hạn cư trú</t>
  </si>
  <si>
    <t>Chỉ tiêu 11</t>
  </si>
  <si>
    <t>Chỉ tiêu 12</t>
  </si>
  <si>
    <t>Chỉ tiêu 13</t>
  </si>
  <si>
    <t>Nhóm chỉ tiêu trọng điểm hệ số x2</t>
  </si>
  <si>
    <t>Chỉ tiêu 14</t>
  </si>
  <si>
    <t>Chỉ tiêu 15</t>
  </si>
  <si>
    <t>Chỉ tiêu 16</t>
  </si>
  <si>
    <t>Chỉ tiêu 17</t>
  </si>
  <si>
    <t>Chỉ tiêu 18</t>
  </si>
  <si>
    <t>Chỉ tiêu 19</t>
  </si>
  <si>
    <t>Chỉ tiêu Bình dân học vụ số</t>
  </si>
  <si>
    <t>Chỉ tiêu làm sạch DC01 mở rộng</t>
  </si>
  <si>
    <t>Chỉ tiêu huỷ số</t>
  </si>
  <si>
    <t>Chỉ tiêu dữ liệu trẻ em</t>
  </si>
  <si>
    <t>Chỉ tiêu tích hợp Giấy phép lái xe VNeID</t>
  </si>
  <si>
    <t>Chỉ tiêu tích hợp đăng ký xe VNeID</t>
  </si>
  <si>
    <t>Mã Sheet</t>
  </si>
  <si>
    <t>cancuoc</t>
  </si>
  <si>
    <t>dinhdanh14</t>
  </si>
  <si>
    <t>dinhdanh6</t>
  </si>
  <si>
    <t>dinhdanhcq</t>
  </si>
  <si>
    <t>ansinhxahoi</t>
  </si>
  <si>
    <t>datdai</t>
  </si>
  <si>
    <t>dvccc</t>
  </si>
  <si>
    <t>dvcct</t>
  </si>
  <si>
    <t>ct10</t>
  </si>
  <si>
    <t>hosocancuoc</t>
  </si>
  <si>
    <t>hosocutru</t>
  </si>
  <si>
    <t>bdhvs</t>
  </si>
  <si>
    <t>lamsachdc01</t>
  </si>
  <si>
    <t>huyso</t>
  </si>
  <si>
    <t>treem</t>
  </si>
  <si>
    <t>giaypheplaixe</t>
  </si>
  <si>
    <t>dangkyxe</t>
  </si>
  <si>
    <t>Chỉ tiêu thường xuyên hệ số 1</t>
  </si>
  <si>
    <t>An ninh an toàn</t>
  </si>
  <si>
    <t>Chỉ tiêu 20</t>
  </si>
  <si>
    <t>Cộng tổng các chỉ tiêu (điểm càng thấp vị trí hạng càng cao)</t>
  </si>
  <si>
    <t>Chấm điểm theo xếp hạng</t>
  </si>
  <si>
    <t>Không đảm bảo về ANAT cộng thêm 4 điểm vào tổng điểm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</si>
</sst>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0"/>
      <color rgb="FF000000"/>
      <name val="Arial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8"/>
      <name val="Arial"/>
      <family val="2"/>
      <scheme val="minor"/>
    </font>
    <font>
      <sz val="14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15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2" xfId="0" applyFont="1" applyBorder="1" applyAlignment="1">
      <alignment horizontal="center"/>
    </xf>
    <xf numFmtId="10" fontId="7" fillId="0" borderId="15" xfId="0" applyNumberFormat="1" applyFont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/>
    </xf>
    <xf numFmtId="10" fontId="10" fillId="0" borderId="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9" fontId="6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3" fontId="7" fillId="0" borderId="13" xfId="0" applyNumberFormat="1" applyFont="1" applyBorder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wrapText="1"/>
    </xf>
    <xf numFmtId="0" fontId="13" fillId="0" borderId="8" xfId="0" applyFont="1" applyBorder="1" applyAlignment="1">
      <alignment horizontal="center" vertical="center" wrapText="1"/>
    </xf>
    <xf numFmtId="10" fontId="13" fillId="0" borderId="10" xfId="0" applyNumberFormat="1" applyFont="1" applyBorder="1" applyAlignment="1">
      <alignment horizontal="center" vertical="center" wrapText="1"/>
    </xf>
    <xf numFmtId="3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10" fontId="13" fillId="2" borderId="8" xfId="0" applyNumberFormat="1" applyFont="1" applyFill="1" applyBorder="1" applyAlignment="1">
      <alignment horizontal="center" vertical="center"/>
    </xf>
    <xf numFmtId="3" fontId="13" fillId="2" borderId="9" xfId="0" applyNumberFormat="1" applyFont="1" applyFill="1" applyBorder="1" applyAlignment="1">
      <alignment horizontal="center" vertical="center" wrapText="1"/>
    </xf>
    <xf numFmtId="3" fontId="13" fillId="2" borderId="8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14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/>
    </xf>
    <xf numFmtId="0" fontId="1" fillId="0" borderId="0" xfId="0" applyFont="1"/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3" fontId="7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3" fontId="15" fillId="0" borderId="2" xfId="0" applyNumberFormat="1" applyFont="1" applyBorder="1" applyAlignment="1">
      <alignment horizontal="center" vertical="center"/>
    </xf>
    <xf numFmtId="3" fontId="15" fillId="0" borderId="2" xfId="0" quotePrefix="1" applyNumberFormat="1" applyFont="1" applyBorder="1" applyAlignment="1">
      <alignment horizontal="center" vertical="center"/>
    </xf>
    <xf numFmtId="0" fontId="16" fillId="0" borderId="0" xfId="0" applyFont="1"/>
    <xf numFmtId="0" fontId="2" fillId="0" borderId="18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3" fontId="1" fillId="0" borderId="19" xfId="0" applyNumberFormat="1" applyFont="1" applyBorder="1" applyAlignment="1">
      <alignment horizontal="center" vertical="center"/>
    </xf>
    <xf numFmtId="3" fontId="15" fillId="0" borderId="9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3" fontId="14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1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0" fontId="5" fillId="0" borderId="0" xfId="0" applyFont="1"/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2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164" fontId="3" fillId="0" borderId="22" xfId="0" applyNumberFormat="1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3" fontId="1" fillId="0" borderId="22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10" fontId="2" fillId="0" borderId="22" xfId="0" applyNumberFormat="1" applyFont="1" applyBorder="1" applyAlignment="1">
      <alignment horizontal="center" vertical="center"/>
    </xf>
    <xf numFmtId="10" fontId="5" fillId="0" borderId="22" xfId="0" applyNumberFormat="1" applyFont="1" applyBorder="1" applyAlignment="1">
      <alignment horizontal="center" vertical="center"/>
    </xf>
    <xf numFmtId="164" fontId="4" fillId="0" borderId="22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2" fillId="0" borderId="0" xfId="0" applyFont="1"/>
    <xf numFmtId="0" fontId="17" fillId="0" borderId="0" xfId="0" applyFont="1"/>
    <xf numFmtId="3" fontId="2" fillId="0" borderId="8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22" xfId="0" applyNumberFormat="1" applyFont="1" applyBorder="1" applyAlignment="1">
      <alignment horizontal="center" vertical="center" wrapText="1"/>
    </xf>
    <xf numFmtId="10" fontId="1" fillId="0" borderId="22" xfId="0" applyNumberFormat="1" applyFont="1" applyBorder="1" applyAlignment="1">
      <alignment horizontal="center" vertical="center"/>
    </xf>
    <xf numFmtId="164" fontId="1" fillId="0" borderId="22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 wrapText="1"/>
    </xf>
    <xf numFmtId="3" fontId="13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10" fontId="2" fillId="0" borderId="3" xfId="0" applyNumberFormat="1" applyFont="1" applyBorder="1" applyAlignment="1">
      <alignment horizontal="center" vertical="center"/>
    </xf>
    <xf numFmtId="3" fontId="14" fillId="0" borderId="9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1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3" fontId="7" fillId="0" borderId="0" xfId="0" applyNumberFormat="1" applyFont="1" applyAlignment="1">
      <alignment horizontal="center" vertical="center"/>
    </xf>
    <xf numFmtId="3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3" fontId="13" fillId="2" borderId="23" xfId="0" applyNumberFormat="1" applyFont="1" applyFill="1" applyBorder="1" applyAlignment="1">
      <alignment horizontal="center" vertical="center" wrapText="1"/>
    </xf>
    <xf numFmtId="3" fontId="13" fillId="2" borderId="8" xfId="0" applyNumberFormat="1" applyFont="1" applyFill="1" applyBorder="1" applyAlignment="1">
      <alignment horizontal="center" vertical="center" wrapText="1"/>
    </xf>
    <xf numFmtId="3" fontId="7" fillId="0" borderId="12" xfId="0" applyNumberFormat="1" applyFont="1" applyBorder="1" applyAlignment="1">
      <alignment horizontal="center" vertical="center"/>
    </xf>
  </cellXfs>
  <cellStyles count="1">
    <cellStyle name="Bình thường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CF9B0-6260-8541-94F8-AD1CD37D6882}">
  <sheetPr>
    <pageSetUpPr fitToPage="1"/>
  </sheetPr>
  <dimension ref="A1:X129"/>
  <sheetViews>
    <sheetView zoomScaleNormal="100" workbookViewId="0">
      <selection activeCell="E6" sqref="E6"/>
    </sheetView>
  </sheetViews>
  <sheetFormatPr defaultColWidth="10.85546875" defaultRowHeight="18.75" x14ac:dyDescent="0.3"/>
  <cols>
    <col min="1" max="1" width="13.42578125" style="8" customWidth="1"/>
    <col min="2" max="2" width="15.28515625" style="8" customWidth="1"/>
    <col min="3" max="3" width="22.28515625" style="124" customWidth="1"/>
    <col min="4" max="4" width="15.85546875" style="3" customWidth="1"/>
    <col min="5" max="5" width="16.28515625" style="3" customWidth="1"/>
    <col min="6" max="6" width="18.7109375" style="3" customWidth="1"/>
    <col min="7" max="8" width="14.140625" style="3" customWidth="1"/>
    <col min="9" max="9" width="18.28515625" style="5" bestFit="1" customWidth="1"/>
    <col min="10" max="10" width="14.28515625" style="5" customWidth="1"/>
    <col min="11" max="11" width="15.85546875" style="3" customWidth="1"/>
    <col min="12" max="12" width="16.28515625" style="3" customWidth="1"/>
    <col min="13" max="13" width="10.85546875" style="3"/>
    <col min="14" max="23" width="15.140625" style="3" customWidth="1"/>
    <col min="24" max="24" width="20.28515625" style="3" customWidth="1"/>
    <col min="25" max="16384" width="10.85546875" style="4"/>
  </cols>
  <sheetData>
    <row r="1" spans="1:24" ht="51.95" customHeight="1" x14ac:dyDescent="0.3">
      <c r="A1" s="128" t="s">
        <v>243</v>
      </c>
      <c r="B1" s="128"/>
      <c r="C1" s="128"/>
      <c r="D1" s="128"/>
      <c r="E1" s="128"/>
      <c r="F1" s="128"/>
      <c r="G1" s="128"/>
      <c r="H1" s="128"/>
      <c r="I1" s="128"/>
    </row>
    <row r="2" spans="1:24" x14ac:dyDescent="0.3">
      <c r="A2" s="6"/>
      <c r="B2" s="6"/>
      <c r="C2" s="117"/>
      <c r="D2" s="118"/>
      <c r="E2" s="125" t="s">
        <v>281</v>
      </c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7"/>
      <c r="R2" s="129" t="s">
        <v>312</v>
      </c>
      <c r="S2" s="130"/>
      <c r="T2" s="130"/>
      <c r="U2" s="130"/>
      <c r="V2" s="130"/>
      <c r="W2" s="131"/>
      <c r="X2" s="6" t="s">
        <v>313</v>
      </c>
    </row>
    <row r="3" spans="1:24" x14ac:dyDescent="0.3">
      <c r="A3" s="125" t="s">
        <v>206</v>
      </c>
      <c r="B3" s="126"/>
      <c r="C3" s="126"/>
      <c r="D3" s="127"/>
      <c r="E3" s="6" t="s">
        <v>139</v>
      </c>
      <c r="F3" s="6" t="s">
        <v>140</v>
      </c>
      <c r="G3" s="6" t="s">
        <v>141</v>
      </c>
      <c r="H3" s="6" t="s">
        <v>142</v>
      </c>
      <c r="I3" s="6" t="s">
        <v>143</v>
      </c>
      <c r="J3" s="6" t="s">
        <v>157</v>
      </c>
      <c r="K3" s="6" t="s">
        <v>158</v>
      </c>
      <c r="L3" s="6" t="s">
        <v>170</v>
      </c>
      <c r="M3" s="6" t="s">
        <v>171</v>
      </c>
      <c r="N3" s="6" t="s">
        <v>172</v>
      </c>
      <c r="O3" s="6" t="s">
        <v>278</v>
      </c>
      <c r="P3" s="6" t="s">
        <v>279</v>
      </c>
      <c r="Q3" s="6" t="s">
        <v>280</v>
      </c>
      <c r="R3" s="6" t="s">
        <v>282</v>
      </c>
      <c r="S3" s="6" t="s">
        <v>283</v>
      </c>
      <c r="T3" s="6" t="s">
        <v>284</v>
      </c>
      <c r="U3" s="6" t="s">
        <v>285</v>
      </c>
      <c r="V3" s="6" t="s">
        <v>286</v>
      </c>
      <c r="W3" s="6" t="s">
        <v>287</v>
      </c>
      <c r="X3" s="6" t="s">
        <v>314</v>
      </c>
    </row>
    <row r="4" spans="1:24" x14ac:dyDescent="0.3">
      <c r="A4" s="125" t="s">
        <v>294</v>
      </c>
      <c r="B4" s="126"/>
      <c r="C4" s="126"/>
      <c r="D4" s="127"/>
      <c r="E4" s="6" t="s">
        <v>295</v>
      </c>
      <c r="F4" s="6" t="s">
        <v>296</v>
      </c>
      <c r="G4" s="6" t="s">
        <v>297</v>
      </c>
      <c r="H4" s="6" t="s">
        <v>298</v>
      </c>
      <c r="I4" s="6" t="s">
        <v>263</v>
      </c>
      <c r="J4" s="6" t="s">
        <v>264</v>
      </c>
      <c r="K4" s="6" t="s">
        <v>299</v>
      </c>
      <c r="L4" s="6" t="s">
        <v>300</v>
      </c>
      <c r="M4" s="6" t="s">
        <v>301</v>
      </c>
      <c r="N4" s="6" t="s">
        <v>302</v>
      </c>
      <c r="O4" s="6" t="s">
        <v>303</v>
      </c>
      <c r="P4" s="6" t="s">
        <v>304</v>
      </c>
      <c r="Q4" s="6" t="s">
        <v>305</v>
      </c>
      <c r="R4" s="6" t="s">
        <v>306</v>
      </c>
      <c r="S4" s="6" t="s">
        <v>307</v>
      </c>
      <c r="T4" s="6" t="s">
        <v>308</v>
      </c>
      <c r="U4" s="6" t="s">
        <v>309</v>
      </c>
      <c r="V4" s="6" t="s">
        <v>310</v>
      </c>
      <c r="W4" s="6" t="s">
        <v>311</v>
      </c>
      <c r="X4" s="118"/>
    </row>
    <row r="5" spans="1:24" s="119" customFormat="1" ht="104.1" customHeight="1" x14ac:dyDescent="0.2">
      <c r="A5" s="6" t="s">
        <v>129</v>
      </c>
      <c r="B5" s="1" t="s">
        <v>316</v>
      </c>
      <c r="C5" s="1" t="s">
        <v>128</v>
      </c>
      <c r="D5" s="1" t="s">
        <v>315</v>
      </c>
      <c r="E5" s="1" t="s">
        <v>244</v>
      </c>
      <c r="F5" s="1" t="s">
        <v>249</v>
      </c>
      <c r="G5" s="1" t="s">
        <v>250</v>
      </c>
      <c r="H5" s="1" t="s">
        <v>259</v>
      </c>
      <c r="I5" s="1" t="s">
        <v>260</v>
      </c>
      <c r="J5" s="1" t="s">
        <v>261</v>
      </c>
      <c r="K5" s="1" t="s">
        <v>262</v>
      </c>
      <c r="L5" s="1" t="s">
        <v>272</v>
      </c>
      <c r="M5" s="1" t="s">
        <v>273</v>
      </c>
      <c r="N5" s="1" t="s">
        <v>274</v>
      </c>
      <c r="O5" s="1" t="s">
        <v>275</v>
      </c>
      <c r="P5" s="1" t="s">
        <v>276</v>
      </c>
      <c r="Q5" s="1" t="s">
        <v>277</v>
      </c>
      <c r="R5" s="1" t="s">
        <v>288</v>
      </c>
      <c r="S5" s="1" t="s">
        <v>289</v>
      </c>
      <c r="T5" s="1" t="s">
        <v>290</v>
      </c>
      <c r="U5" s="1" t="s">
        <v>291</v>
      </c>
      <c r="V5" s="1" t="s">
        <v>292</v>
      </c>
      <c r="W5" s="1" t="s">
        <v>293</v>
      </c>
      <c r="X5" s="1" t="s">
        <v>317</v>
      </c>
    </row>
    <row r="6" spans="1:24" x14ac:dyDescent="0.3">
      <c r="A6" s="118">
        <f t="shared" ref="A6:A37" si="0">_xlfn.RANK.EQ(D6,$D$6:$D$129,1)</f>
        <v>6</v>
      </c>
      <c r="B6" s="118" cm="1">
        <f t="array" ref="B6">_xlfn.IFS(A6&lt;=10, 12, A6&lt;=30, 9, A6&lt;=50, 8, A6&lt;=70, 7, A6&lt;=90, 6, A6&lt;=110, 5, A6&lt;=124, 2, TRUE, "Ngoài phạm vi")</f>
        <v>12</v>
      </c>
      <c r="C6" s="120" t="s">
        <v>24</v>
      </c>
      <c r="D6" s="121">
        <f>SUM(E6:X6)</f>
        <v>36</v>
      </c>
      <c r="E6" s="121">
        <f>_xlfn.XLOOKUP(C6,cancuoc!B:B, cancuoc!A:A, "")*2</f>
        <v>6</v>
      </c>
      <c r="F6" s="121">
        <f>_xlfn.XLOOKUP(C6,dinhdanh14!B:B, dinhdanh14!A:A, "")*2</f>
        <v>2</v>
      </c>
      <c r="G6" s="121">
        <f>_xlfn.XLOOKUP(C6,dinhdanh6!B:B, dinhdanh6!A:A, "")*2</f>
        <v>2</v>
      </c>
      <c r="H6" s="121">
        <f>_xlfn.XLOOKUP(C6,dinhdanhcq!B:B, dinhdanhcq!A:A, "")*2</f>
        <v>2</v>
      </c>
      <c r="I6" s="122">
        <f>_xlfn.XLOOKUP(C6,suckhoedientu!B:B, suckhoedientu!A:A, "")*2</f>
        <v>2</v>
      </c>
      <c r="J6" s="122">
        <f>_xlfn.XLOOKUP(C6,baohiemxahoi!B:B, baohiemxahoi!A:A, "")*2</f>
        <v>2</v>
      </c>
      <c r="K6" s="121">
        <f>_xlfn.XLOOKUP(C6,ansinhxahoi!B:B, ansinhxahoi!A:A, "")*2</f>
        <v>2</v>
      </c>
      <c r="L6" s="121">
        <f>_xlfn.XLOOKUP(C6,datdai!B:B, datdai!A:A, "")*2</f>
        <v>2</v>
      </c>
      <c r="M6" s="118">
        <f>_xlfn.XLOOKUP(C6,dvccc!B:B, dvccc!A:A, "")*2</f>
        <v>2</v>
      </c>
      <c r="N6" s="118">
        <f>_xlfn.XLOOKUP(C6,dvcct!B:B, dvcct!A:A, "")*2</f>
        <v>2</v>
      </c>
      <c r="O6" s="118">
        <f>_xlfn.XLOOKUP(C6,'ct10'!B:B, 'ct10'!A:A, "")*2</f>
        <v>2</v>
      </c>
      <c r="P6" s="118">
        <f>_xlfn.XLOOKUP(C6,hosocancuoc!B:B, hosocancuoc!A:A, "")*2</f>
        <v>2</v>
      </c>
      <c r="Q6" s="118">
        <f>_xlfn.XLOOKUP(C6,hosocutru!B:B, hosocutru!A:A, "")*2</f>
        <v>2</v>
      </c>
      <c r="R6" s="118">
        <f>_xlfn.XLOOKUP(C6,bdhvs!B:B, bdhvs!A:A, "")</f>
        <v>1</v>
      </c>
      <c r="S6" s="118">
        <f>_xlfn.XLOOKUP(C6,lamsachdc01!B:B, lamsachdc01!A:A, "")</f>
        <v>1</v>
      </c>
      <c r="T6" s="118">
        <f>_xlfn.XLOOKUP(C6,huyso!B:B, huyso!A:A, "")</f>
        <v>1</v>
      </c>
      <c r="U6" s="118">
        <f>_xlfn.XLOOKUP(C6,treem!B:B, treem!A:A, "")</f>
        <v>1</v>
      </c>
      <c r="V6" s="118">
        <f>_xlfn.XLOOKUP(C6,giaypheplaixe!B:B, giaypheplaixe!A:A, "")</f>
        <v>1</v>
      </c>
      <c r="W6" s="118">
        <f>_xlfn.XLOOKUP(C6,dangkyxe!B:B, dangkyxe!A:A, "")</f>
        <v>1</v>
      </c>
      <c r="X6" s="118"/>
    </row>
    <row r="7" spans="1:24" x14ac:dyDescent="0.3">
      <c r="A7" s="118">
        <f t="shared" si="0"/>
        <v>2</v>
      </c>
      <c r="B7" s="118" cm="1">
        <f t="array" ref="B7">_xlfn.IFS(A7&lt;=10, 12, A7&lt;=30, 9, A7&lt;=50, 8, A7&lt;=70, 7, A7&lt;=90, 6, A7&lt;=110, 5, A7&lt;=124, 2, TRUE, "Ngoài phạm vi")</f>
        <v>12</v>
      </c>
      <c r="C7" s="120" t="s">
        <v>17</v>
      </c>
      <c r="D7" s="121">
        <f t="shared" ref="D7:D70" si="1">SUM(E7:X7)</f>
        <v>34</v>
      </c>
      <c r="E7" s="121">
        <f>_xlfn.XLOOKUP(C7,cancuoc!B:B, cancuoc!A:A, "")*2</f>
        <v>4</v>
      </c>
      <c r="F7" s="121">
        <f>_xlfn.XLOOKUP(C7,dinhdanh14!B:B, dinhdanh14!A:A, "")*2</f>
        <v>2</v>
      </c>
      <c r="G7" s="121">
        <f>_xlfn.XLOOKUP(C7,dinhdanh6!B:B, dinhdanh6!A:A, "")*2</f>
        <v>2</v>
      </c>
      <c r="H7" s="121">
        <f>_xlfn.XLOOKUP(C7,dinhdanhcq!B:B, dinhdanhcq!A:A, "")*2</f>
        <v>2</v>
      </c>
      <c r="I7" s="122">
        <f>_xlfn.XLOOKUP(C7,suckhoedientu!B:B, suckhoedientu!A:A, "")*2</f>
        <v>2</v>
      </c>
      <c r="J7" s="122">
        <f>_xlfn.XLOOKUP(C7,baohiemxahoi!B:B, baohiemxahoi!A:A, "")*2</f>
        <v>2</v>
      </c>
      <c r="K7" s="121">
        <f>_xlfn.XLOOKUP(C7,ansinhxahoi!B:B, ansinhxahoi!A:A, "")*2</f>
        <v>2</v>
      </c>
      <c r="L7" s="121">
        <f>_xlfn.XLOOKUP(C7,datdai!B:B, datdai!A:A, "")*2</f>
        <v>2</v>
      </c>
      <c r="M7" s="118">
        <f>_xlfn.XLOOKUP(C7,dvccc!B:B, dvccc!A:A, "")*2</f>
        <v>2</v>
      </c>
      <c r="N7" s="118">
        <f>_xlfn.XLOOKUP(C7,dvcct!B:B, dvcct!A:A, "")*2</f>
        <v>2</v>
      </c>
      <c r="O7" s="118">
        <f>_xlfn.XLOOKUP(C7,'ct10'!B:B, 'ct10'!A:A, "")*2</f>
        <v>2</v>
      </c>
      <c r="P7" s="118">
        <f>_xlfn.XLOOKUP(C7,hosocancuoc!B:B, hosocancuoc!A:A, "")*2</f>
        <v>2</v>
      </c>
      <c r="Q7" s="118">
        <f>_xlfn.XLOOKUP(C7,hosocutru!B:B, hosocutru!A:A, "")*2</f>
        <v>2</v>
      </c>
      <c r="R7" s="118">
        <f>_xlfn.XLOOKUP(C7,bdhvs!B:B, bdhvs!A:A, "")</f>
        <v>1</v>
      </c>
      <c r="S7" s="118">
        <f>_xlfn.XLOOKUP(C7,lamsachdc01!B:B, lamsachdc01!A:A, "")</f>
        <v>1</v>
      </c>
      <c r="T7" s="118">
        <f>_xlfn.XLOOKUP(C7,huyso!B:B, huyso!A:A, "")</f>
        <v>1</v>
      </c>
      <c r="U7" s="118">
        <f>_xlfn.XLOOKUP(C7,treem!B:B, treem!A:A, "")</f>
        <v>1</v>
      </c>
      <c r="V7" s="118">
        <f>_xlfn.XLOOKUP(C7,giaypheplaixe!B:B, giaypheplaixe!A:A, "")</f>
        <v>1</v>
      </c>
      <c r="W7" s="118">
        <f>_xlfn.XLOOKUP(C7,dangkyxe!B:B, dangkyxe!A:A, "")</f>
        <v>1</v>
      </c>
      <c r="X7" s="118"/>
    </row>
    <row r="8" spans="1:24" x14ac:dyDescent="0.3">
      <c r="A8" s="118">
        <f t="shared" si="0"/>
        <v>1</v>
      </c>
      <c r="B8" s="118" cm="1">
        <f t="array" ref="B8">_xlfn.IFS(A8&lt;=10, 12, A8&lt;=30, 9, A8&lt;=50, 8, A8&lt;=70, 7, A8&lt;=90, 6, A8&lt;=110, 5, A8&lt;=124, 2, TRUE, "Ngoài phạm vi")</f>
        <v>12</v>
      </c>
      <c r="C8" s="117" t="s">
        <v>5</v>
      </c>
      <c r="D8" s="121">
        <f t="shared" si="1"/>
        <v>32</v>
      </c>
      <c r="E8" s="121">
        <f>_xlfn.XLOOKUP(C8,cancuoc!B:B, cancuoc!A:A, "")*2</f>
        <v>2</v>
      </c>
      <c r="F8" s="121">
        <f>_xlfn.XLOOKUP(C8,dinhdanh14!B:B, dinhdanh14!A:A, "")*2</f>
        <v>2</v>
      </c>
      <c r="G8" s="121">
        <f>_xlfn.XLOOKUP(C8,dinhdanh6!B:B, dinhdanh6!A:A, "")*2</f>
        <v>2</v>
      </c>
      <c r="H8" s="121">
        <f>_xlfn.XLOOKUP(C8,dinhdanhcq!B:B, dinhdanhcq!A:A, "")*2</f>
        <v>2</v>
      </c>
      <c r="I8" s="122">
        <f>_xlfn.XLOOKUP(C8,suckhoedientu!B:B, suckhoedientu!A:A, "")*2</f>
        <v>2</v>
      </c>
      <c r="J8" s="122">
        <f>_xlfn.XLOOKUP(C8,baohiemxahoi!B:B, baohiemxahoi!A:A, "")*2</f>
        <v>2</v>
      </c>
      <c r="K8" s="121">
        <f>_xlfn.XLOOKUP(C8,ansinhxahoi!B:B, ansinhxahoi!A:A, "")*2</f>
        <v>2</v>
      </c>
      <c r="L8" s="121">
        <f>_xlfn.XLOOKUP(C8,datdai!B:B, datdai!A:A, "")*2</f>
        <v>2</v>
      </c>
      <c r="M8" s="118">
        <f>_xlfn.XLOOKUP(C8,dvccc!B:B, dvccc!A:A, "")*2</f>
        <v>2</v>
      </c>
      <c r="N8" s="118">
        <f>_xlfn.XLOOKUP(C8,dvcct!B:B, dvcct!A:A, "")*2</f>
        <v>2</v>
      </c>
      <c r="O8" s="118">
        <f>_xlfn.XLOOKUP(C8,'ct10'!B:B, 'ct10'!A:A, "")*2</f>
        <v>2</v>
      </c>
      <c r="P8" s="118">
        <f>_xlfn.XLOOKUP(C8,hosocancuoc!B:B, hosocancuoc!A:A, "")*2</f>
        <v>2</v>
      </c>
      <c r="Q8" s="118">
        <f>_xlfn.XLOOKUP(C8,hosocutru!B:B, hosocutru!A:A, "")*2</f>
        <v>2</v>
      </c>
      <c r="R8" s="118">
        <f>_xlfn.XLOOKUP(C8,bdhvs!B:B, bdhvs!A:A, "")</f>
        <v>1</v>
      </c>
      <c r="S8" s="118">
        <f>_xlfn.XLOOKUP(C8,lamsachdc01!B:B, lamsachdc01!A:A, "")</f>
        <v>1</v>
      </c>
      <c r="T8" s="118">
        <f>_xlfn.XLOOKUP(C8,huyso!B:B, huyso!A:A, "")</f>
        <v>1</v>
      </c>
      <c r="U8" s="118">
        <f>_xlfn.XLOOKUP(C8,treem!B:B, treem!A:A, "")</f>
        <v>1</v>
      </c>
      <c r="V8" s="118">
        <f>_xlfn.XLOOKUP(C8,giaypheplaixe!B:B, giaypheplaixe!A:A, "")</f>
        <v>1</v>
      </c>
      <c r="W8" s="118">
        <f>_xlfn.XLOOKUP(C8,dangkyxe!B:B, dangkyxe!A:A, "")</f>
        <v>1</v>
      </c>
      <c r="X8" s="118"/>
    </row>
    <row r="9" spans="1:24" x14ac:dyDescent="0.3">
      <c r="A9" s="118">
        <f t="shared" si="0"/>
        <v>6</v>
      </c>
      <c r="B9" s="118" cm="1">
        <f t="array" ref="B9">_xlfn.IFS(A9&lt;=10, 12, A9&lt;=30, 9, A9&lt;=50, 8, A9&lt;=70, 7, A9&lt;=90, 6, A9&lt;=110, 5, A9&lt;=124, 2, TRUE, "Ngoài phạm vi")</f>
        <v>12</v>
      </c>
      <c r="C9" s="117" t="s">
        <v>2</v>
      </c>
      <c r="D9" s="121">
        <f t="shared" si="1"/>
        <v>36</v>
      </c>
      <c r="E9" s="121">
        <f>_xlfn.XLOOKUP(C9,cancuoc!B:B, cancuoc!A:A, "")*2</f>
        <v>6</v>
      </c>
      <c r="F9" s="121">
        <f>_xlfn.XLOOKUP(C9,dinhdanh14!B:B, dinhdanh14!A:A, "")*2</f>
        <v>2</v>
      </c>
      <c r="G9" s="121">
        <f>_xlfn.XLOOKUP(C9,dinhdanh6!B:B, dinhdanh6!A:A, "")*2</f>
        <v>2</v>
      </c>
      <c r="H9" s="121">
        <f>_xlfn.XLOOKUP(C9,dinhdanhcq!B:B, dinhdanhcq!A:A, "")*2</f>
        <v>2</v>
      </c>
      <c r="I9" s="122">
        <f>_xlfn.XLOOKUP(C9,suckhoedientu!B:B, suckhoedientu!A:A, "")*2</f>
        <v>2</v>
      </c>
      <c r="J9" s="122">
        <f>_xlfn.XLOOKUP(C9,baohiemxahoi!B:B, baohiemxahoi!A:A, "")*2</f>
        <v>2</v>
      </c>
      <c r="K9" s="121">
        <f>_xlfn.XLOOKUP(C9,ansinhxahoi!B:B, ansinhxahoi!A:A, "")*2</f>
        <v>2</v>
      </c>
      <c r="L9" s="121">
        <f>_xlfn.XLOOKUP(C9,datdai!B:B, datdai!A:A, "")*2</f>
        <v>2</v>
      </c>
      <c r="M9" s="118">
        <f>_xlfn.XLOOKUP(C9,dvccc!B:B, dvccc!A:A, "")*2</f>
        <v>2</v>
      </c>
      <c r="N9" s="118">
        <f>_xlfn.XLOOKUP(C9,dvcct!B:B, dvcct!A:A, "")*2</f>
        <v>2</v>
      </c>
      <c r="O9" s="118">
        <f>_xlfn.XLOOKUP(C9,'ct10'!B:B, 'ct10'!A:A, "")*2</f>
        <v>2</v>
      </c>
      <c r="P9" s="118">
        <f>_xlfn.XLOOKUP(C9,hosocancuoc!B:B, hosocancuoc!A:A, "")*2</f>
        <v>2</v>
      </c>
      <c r="Q9" s="118">
        <f>_xlfn.XLOOKUP(C9,hosocutru!B:B, hosocutru!A:A, "")*2</f>
        <v>2</v>
      </c>
      <c r="R9" s="118">
        <f>_xlfn.XLOOKUP(C9,bdhvs!B:B, bdhvs!A:A, "")</f>
        <v>1</v>
      </c>
      <c r="S9" s="118">
        <f>_xlfn.XLOOKUP(C9,lamsachdc01!B:B, lamsachdc01!A:A, "")</f>
        <v>1</v>
      </c>
      <c r="T9" s="118">
        <f>_xlfn.XLOOKUP(C9,huyso!B:B, huyso!A:A, "")</f>
        <v>1</v>
      </c>
      <c r="U9" s="118">
        <f>_xlfn.XLOOKUP(C9,treem!B:B, treem!A:A, "")</f>
        <v>1</v>
      </c>
      <c r="V9" s="118">
        <f>_xlfn.XLOOKUP(C9,giaypheplaixe!B:B, giaypheplaixe!A:A, "")</f>
        <v>1</v>
      </c>
      <c r="W9" s="118">
        <f>_xlfn.XLOOKUP(C9,dangkyxe!B:B, dangkyxe!A:A, "")</f>
        <v>1</v>
      </c>
      <c r="X9" s="118"/>
    </row>
    <row r="10" spans="1:24" x14ac:dyDescent="0.3">
      <c r="A10" s="118">
        <f t="shared" si="0"/>
        <v>6</v>
      </c>
      <c r="B10" s="118" cm="1">
        <f t="array" ref="B10">_xlfn.IFS(A10&lt;=10, 12, A10&lt;=30, 9, A10&lt;=50, 8, A10&lt;=70, 7, A10&lt;=90, 6, A10&lt;=110, 5, A10&lt;=124, 2, TRUE, "Ngoài phạm vi")</f>
        <v>12</v>
      </c>
      <c r="C10" s="120" t="s">
        <v>11</v>
      </c>
      <c r="D10" s="121">
        <f t="shared" si="1"/>
        <v>36</v>
      </c>
      <c r="E10" s="121">
        <f>_xlfn.XLOOKUP(C10,cancuoc!B:B, cancuoc!A:A, "")*2</f>
        <v>6</v>
      </c>
      <c r="F10" s="121">
        <f>_xlfn.XLOOKUP(C10,dinhdanh14!B:B, dinhdanh14!A:A, "")*2</f>
        <v>2</v>
      </c>
      <c r="G10" s="121">
        <f>_xlfn.XLOOKUP(C10,dinhdanh6!B:B, dinhdanh6!A:A, "")*2</f>
        <v>2</v>
      </c>
      <c r="H10" s="121">
        <f>_xlfn.XLOOKUP(C10,dinhdanhcq!B:B, dinhdanhcq!A:A, "")*2</f>
        <v>2</v>
      </c>
      <c r="I10" s="122">
        <f>_xlfn.XLOOKUP(C10,suckhoedientu!B:B, suckhoedientu!A:A, "")*2</f>
        <v>2</v>
      </c>
      <c r="J10" s="122">
        <f>_xlfn.XLOOKUP(C10,baohiemxahoi!B:B, baohiemxahoi!A:A, "")*2</f>
        <v>2</v>
      </c>
      <c r="K10" s="121">
        <f>_xlfn.XLOOKUP(C10,ansinhxahoi!B:B, ansinhxahoi!A:A, "")*2</f>
        <v>2</v>
      </c>
      <c r="L10" s="121">
        <f>_xlfn.XLOOKUP(C10,datdai!B:B, datdai!A:A, "")*2</f>
        <v>2</v>
      </c>
      <c r="M10" s="118">
        <f>_xlfn.XLOOKUP(C10,dvccc!B:B, dvccc!A:A, "")*2</f>
        <v>2</v>
      </c>
      <c r="N10" s="118">
        <f>_xlfn.XLOOKUP(C10,dvcct!B:B, dvcct!A:A, "")*2</f>
        <v>2</v>
      </c>
      <c r="O10" s="118">
        <f>_xlfn.XLOOKUP(C10,'ct10'!B:B, 'ct10'!A:A, "")*2</f>
        <v>2</v>
      </c>
      <c r="P10" s="118">
        <f>_xlfn.XLOOKUP(C10,hosocancuoc!B:B, hosocancuoc!A:A, "")*2</f>
        <v>2</v>
      </c>
      <c r="Q10" s="118">
        <f>_xlfn.XLOOKUP(C10,hosocutru!B:B, hosocutru!A:A, "")*2</f>
        <v>2</v>
      </c>
      <c r="R10" s="118">
        <f>_xlfn.XLOOKUP(C10,bdhvs!B:B, bdhvs!A:A, "")</f>
        <v>1</v>
      </c>
      <c r="S10" s="118">
        <f>_xlfn.XLOOKUP(C10,lamsachdc01!B:B, lamsachdc01!A:A, "")</f>
        <v>1</v>
      </c>
      <c r="T10" s="118">
        <f>_xlfn.XLOOKUP(C10,huyso!B:B, huyso!A:A, "")</f>
        <v>1</v>
      </c>
      <c r="U10" s="118">
        <f>_xlfn.XLOOKUP(C10,treem!B:B, treem!A:A, "")</f>
        <v>1</v>
      </c>
      <c r="V10" s="118">
        <f>_xlfn.XLOOKUP(C10,giaypheplaixe!B:B, giaypheplaixe!A:A, "")</f>
        <v>1</v>
      </c>
      <c r="W10" s="118">
        <f>_xlfn.XLOOKUP(C10,dangkyxe!B:B, dangkyxe!A:A, "")</f>
        <v>1</v>
      </c>
      <c r="X10" s="118"/>
    </row>
    <row r="11" spans="1:24" x14ac:dyDescent="0.3">
      <c r="A11" s="118">
        <f t="shared" si="0"/>
        <v>6</v>
      </c>
      <c r="B11" s="118" cm="1">
        <f t="array" ref="B11">_xlfn.IFS(A11&lt;=10, 12, A11&lt;=30, 9, A11&lt;=50, 8, A11&lt;=70, 7, A11&lt;=90, 6, A11&lt;=110, 5, A11&lt;=124, 2, TRUE, "Ngoài phạm vi")</f>
        <v>12</v>
      </c>
      <c r="C11" s="117" t="s">
        <v>59</v>
      </c>
      <c r="D11" s="121">
        <f t="shared" si="1"/>
        <v>36</v>
      </c>
      <c r="E11" s="121">
        <f>_xlfn.XLOOKUP(C11,cancuoc!B:B, cancuoc!A:A, "")*2</f>
        <v>6</v>
      </c>
      <c r="F11" s="121">
        <f>_xlfn.XLOOKUP(C11,dinhdanh14!B:B, dinhdanh14!A:A, "")*2</f>
        <v>2</v>
      </c>
      <c r="G11" s="121">
        <f>_xlfn.XLOOKUP(C11,dinhdanh6!B:B, dinhdanh6!A:A, "")*2</f>
        <v>2</v>
      </c>
      <c r="H11" s="121">
        <f>_xlfn.XLOOKUP(C11,dinhdanhcq!B:B, dinhdanhcq!A:A, "")*2</f>
        <v>2</v>
      </c>
      <c r="I11" s="122">
        <f>_xlfn.XLOOKUP(C11,suckhoedientu!B:B, suckhoedientu!A:A, "")*2</f>
        <v>2</v>
      </c>
      <c r="J11" s="122">
        <f>_xlfn.XLOOKUP(C11,baohiemxahoi!B:B, baohiemxahoi!A:A, "")*2</f>
        <v>2</v>
      </c>
      <c r="K11" s="121">
        <f>_xlfn.XLOOKUP(C11,ansinhxahoi!B:B, ansinhxahoi!A:A, "")*2</f>
        <v>2</v>
      </c>
      <c r="L11" s="121">
        <f>_xlfn.XLOOKUP(C11,datdai!B:B, datdai!A:A, "")*2</f>
        <v>2</v>
      </c>
      <c r="M11" s="118">
        <f>_xlfn.XLOOKUP(C11,dvccc!B:B, dvccc!A:A, "")*2</f>
        <v>2</v>
      </c>
      <c r="N11" s="118">
        <f>_xlfn.XLOOKUP(C11,dvcct!B:B, dvcct!A:A, "")*2</f>
        <v>2</v>
      </c>
      <c r="O11" s="118">
        <f>_xlfn.XLOOKUP(C11,'ct10'!B:B, 'ct10'!A:A, "")*2</f>
        <v>2</v>
      </c>
      <c r="P11" s="118">
        <f>_xlfn.XLOOKUP(C11,hosocancuoc!B:B, hosocancuoc!A:A, "")*2</f>
        <v>2</v>
      </c>
      <c r="Q11" s="118">
        <f>_xlfn.XLOOKUP(C11,hosocutru!B:B, hosocutru!A:A, "")*2</f>
        <v>2</v>
      </c>
      <c r="R11" s="118">
        <f>_xlfn.XLOOKUP(C11,bdhvs!B:B, bdhvs!A:A, "")</f>
        <v>1</v>
      </c>
      <c r="S11" s="118">
        <f>_xlfn.XLOOKUP(C11,lamsachdc01!B:B, lamsachdc01!A:A, "")</f>
        <v>1</v>
      </c>
      <c r="T11" s="118">
        <f>_xlfn.XLOOKUP(C11,huyso!B:B, huyso!A:A, "")</f>
        <v>1</v>
      </c>
      <c r="U11" s="118">
        <f>_xlfn.XLOOKUP(C11,treem!B:B, treem!A:A, "")</f>
        <v>1</v>
      </c>
      <c r="V11" s="118">
        <f>_xlfn.XLOOKUP(C11,giaypheplaixe!B:B, giaypheplaixe!A:A, "")</f>
        <v>1</v>
      </c>
      <c r="W11" s="118">
        <f>_xlfn.XLOOKUP(C11,dangkyxe!B:B, dangkyxe!A:A, "")</f>
        <v>1</v>
      </c>
      <c r="X11" s="118"/>
    </row>
    <row r="12" spans="1:24" x14ac:dyDescent="0.3">
      <c r="A12" s="118">
        <f t="shared" si="0"/>
        <v>6</v>
      </c>
      <c r="B12" s="118" cm="1">
        <f t="array" ref="B12">_xlfn.IFS(A12&lt;=10, 12, A12&lt;=30, 9, A12&lt;=50, 8, A12&lt;=70, 7, A12&lt;=90, 6, A12&lt;=110, 5, A12&lt;=124, 2, TRUE, "Ngoài phạm vi")</f>
        <v>12</v>
      </c>
      <c r="C12" s="120" t="s">
        <v>37</v>
      </c>
      <c r="D12" s="121">
        <f t="shared" si="1"/>
        <v>36</v>
      </c>
      <c r="E12" s="121">
        <f>_xlfn.XLOOKUP(C12,cancuoc!B:B, cancuoc!A:A, "")*2</f>
        <v>6</v>
      </c>
      <c r="F12" s="121">
        <f>_xlfn.XLOOKUP(C12,dinhdanh14!B:B, dinhdanh14!A:A, "")*2</f>
        <v>2</v>
      </c>
      <c r="G12" s="121">
        <f>_xlfn.XLOOKUP(C12,dinhdanh6!B:B, dinhdanh6!A:A, "")*2</f>
        <v>2</v>
      </c>
      <c r="H12" s="121">
        <f>_xlfn.XLOOKUP(C12,dinhdanhcq!B:B, dinhdanhcq!A:A, "")*2</f>
        <v>2</v>
      </c>
      <c r="I12" s="122">
        <f>_xlfn.XLOOKUP(C12,suckhoedientu!B:B, suckhoedientu!A:A, "")*2</f>
        <v>2</v>
      </c>
      <c r="J12" s="122">
        <f>_xlfn.XLOOKUP(C12,baohiemxahoi!B:B, baohiemxahoi!A:A, "")*2</f>
        <v>2</v>
      </c>
      <c r="K12" s="121">
        <f>_xlfn.XLOOKUP(C12,ansinhxahoi!B:B, ansinhxahoi!A:A, "")*2</f>
        <v>2</v>
      </c>
      <c r="L12" s="121">
        <f>_xlfn.XLOOKUP(C12,datdai!B:B, datdai!A:A, "")*2</f>
        <v>2</v>
      </c>
      <c r="M12" s="118">
        <f>_xlfn.XLOOKUP(C12,dvccc!B:B, dvccc!A:A, "")*2</f>
        <v>2</v>
      </c>
      <c r="N12" s="118">
        <f>_xlfn.XLOOKUP(C12,dvcct!B:B, dvcct!A:A, "")*2</f>
        <v>2</v>
      </c>
      <c r="O12" s="118">
        <f>_xlfn.XLOOKUP(C12,'ct10'!B:B, 'ct10'!A:A, "")*2</f>
        <v>2</v>
      </c>
      <c r="P12" s="118">
        <f>_xlfn.XLOOKUP(C12,hosocancuoc!B:B, hosocancuoc!A:A, "")*2</f>
        <v>2</v>
      </c>
      <c r="Q12" s="118">
        <f>_xlfn.XLOOKUP(C12,hosocutru!B:B, hosocutru!A:A, "")*2</f>
        <v>2</v>
      </c>
      <c r="R12" s="118">
        <f>_xlfn.XLOOKUP(C12,bdhvs!B:B, bdhvs!A:A, "")</f>
        <v>1</v>
      </c>
      <c r="S12" s="118">
        <f>_xlfn.XLOOKUP(C12,lamsachdc01!B:B, lamsachdc01!A:A, "")</f>
        <v>1</v>
      </c>
      <c r="T12" s="118">
        <f>_xlfn.XLOOKUP(C12,huyso!B:B, huyso!A:A, "")</f>
        <v>1</v>
      </c>
      <c r="U12" s="118">
        <f>_xlfn.XLOOKUP(C12,treem!B:B, treem!A:A, "")</f>
        <v>1</v>
      </c>
      <c r="V12" s="118">
        <f>_xlfn.XLOOKUP(C12,giaypheplaixe!B:B, giaypheplaixe!A:A, "")</f>
        <v>1</v>
      </c>
      <c r="W12" s="118">
        <f>_xlfn.XLOOKUP(C12,dangkyxe!B:B, dangkyxe!A:A, "")</f>
        <v>1</v>
      </c>
      <c r="X12" s="118"/>
    </row>
    <row r="13" spans="1:24" x14ac:dyDescent="0.3">
      <c r="A13" s="118">
        <f t="shared" si="0"/>
        <v>6</v>
      </c>
      <c r="B13" s="118" cm="1">
        <f t="array" ref="B13">_xlfn.IFS(A13&lt;=10, 12, A13&lt;=30, 9, A13&lt;=50, 8, A13&lt;=70, 7, A13&lt;=90, 6, A13&lt;=110, 5, A13&lt;=124, 2, TRUE, "Ngoài phạm vi")</f>
        <v>12</v>
      </c>
      <c r="C13" s="117" t="s">
        <v>15</v>
      </c>
      <c r="D13" s="121">
        <f t="shared" si="1"/>
        <v>36</v>
      </c>
      <c r="E13" s="121">
        <f>_xlfn.XLOOKUP(C13,cancuoc!B:B, cancuoc!A:A, "")*2</f>
        <v>6</v>
      </c>
      <c r="F13" s="121">
        <f>_xlfn.XLOOKUP(C13,dinhdanh14!B:B, dinhdanh14!A:A, "")*2</f>
        <v>2</v>
      </c>
      <c r="G13" s="121">
        <f>_xlfn.XLOOKUP(C13,dinhdanh6!B:B, dinhdanh6!A:A, "")*2</f>
        <v>2</v>
      </c>
      <c r="H13" s="121">
        <f>_xlfn.XLOOKUP(C13,dinhdanhcq!B:B, dinhdanhcq!A:A, "")*2</f>
        <v>2</v>
      </c>
      <c r="I13" s="122">
        <f>_xlfn.XLOOKUP(C13,suckhoedientu!B:B, suckhoedientu!A:A, "")*2</f>
        <v>2</v>
      </c>
      <c r="J13" s="122">
        <f>_xlfn.XLOOKUP(C13,baohiemxahoi!B:B, baohiemxahoi!A:A, "")*2</f>
        <v>2</v>
      </c>
      <c r="K13" s="121">
        <f>_xlfn.XLOOKUP(C13,ansinhxahoi!B:B, ansinhxahoi!A:A, "")*2</f>
        <v>2</v>
      </c>
      <c r="L13" s="121">
        <f>_xlfn.XLOOKUP(C13,datdai!B:B, datdai!A:A, "")*2</f>
        <v>2</v>
      </c>
      <c r="M13" s="118">
        <f>_xlfn.XLOOKUP(C13,dvccc!B:B, dvccc!A:A, "")*2</f>
        <v>2</v>
      </c>
      <c r="N13" s="118">
        <f>_xlfn.XLOOKUP(C13,dvcct!B:B, dvcct!A:A, "")*2</f>
        <v>2</v>
      </c>
      <c r="O13" s="118">
        <f>_xlfn.XLOOKUP(C13,'ct10'!B:B, 'ct10'!A:A, "")*2</f>
        <v>2</v>
      </c>
      <c r="P13" s="118">
        <f>_xlfn.XLOOKUP(C13,hosocancuoc!B:B, hosocancuoc!A:A, "")*2</f>
        <v>2</v>
      </c>
      <c r="Q13" s="118">
        <f>_xlfn.XLOOKUP(C13,hosocutru!B:B, hosocutru!A:A, "")*2</f>
        <v>2</v>
      </c>
      <c r="R13" s="118">
        <f>_xlfn.XLOOKUP(C13,bdhvs!B:B, bdhvs!A:A, "")</f>
        <v>1</v>
      </c>
      <c r="S13" s="118">
        <f>_xlfn.XLOOKUP(C13,lamsachdc01!B:B, lamsachdc01!A:A, "")</f>
        <v>1</v>
      </c>
      <c r="T13" s="118">
        <f>_xlfn.XLOOKUP(C13,huyso!B:B, huyso!A:A, "")</f>
        <v>1</v>
      </c>
      <c r="U13" s="118">
        <f>_xlfn.XLOOKUP(C13,treem!B:B, treem!A:A, "")</f>
        <v>1</v>
      </c>
      <c r="V13" s="118">
        <f>_xlfn.XLOOKUP(C13,giaypheplaixe!B:B, giaypheplaixe!A:A, "")</f>
        <v>1</v>
      </c>
      <c r="W13" s="118">
        <f>_xlfn.XLOOKUP(C13,dangkyxe!B:B, dangkyxe!A:A, "")</f>
        <v>1</v>
      </c>
      <c r="X13" s="118"/>
    </row>
    <row r="14" spans="1:24" x14ac:dyDescent="0.3">
      <c r="A14" s="118">
        <f t="shared" si="0"/>
        <v>6</v>
      </c>
      <c r="B14" s="118" cm="1">
        <f t="array" ref="B14">_xlfn.IFS(A14&lt;=10, 12, A14&lt;=30, 9, A14&lt;=50, 8, A14&lt;=70, 7, A14&lt;=90, 6, A14&lt;=110, 5, A14&lt;=124, 2, TRUE, "Ngoài phạm vi")</f>
        <v>12</v>
      </c>
      <c r="C14" s="120" t="s">
        <v>50</v>
      </c>
      <c r="D14" s="121">
        <f t="shared" si="1"/>
        <v>36</v>
      </c>
      <c r="E14" s="121">
        <f>_xlfn.XLOOKUP(C14,cancuoc!B:B, cancuoc!A:A, "")*2</f>
        <v>6</v>
      </c>
      <c r="F14" s="121">
        <f>_xlfn.XLOOKUP(C14,dinhdanh14!B:B, dinhdanh14!A:A, "")*2</f>
        <v>2</v>
      </c>
      <c r="G14" s="121">
        <f>_xlfn.XLOOKUP(C14,dinhdanh6!B:B, dinhdanh6!A:A, "")*2</f>
        <v>2</v>
      </c>
      <c r="H14" s="121">
        <f>_xlfn.XLOOKUP(C14,dinhdanhcq!B:B, dinhdanhcq!A:A, "")*2</f>
        <v>2</v>
      </c>
      <c r="I14" s="122">
        <f>_xlfn.XLOOKUP(C14,suckhoedientu!B:B, suckhoedientu!A:A, "")*2</f>
        <v>2</v>
      </c>
      <c r="J14" s="122">
        <f>_xlfn.XLOOKUP(C14,baohiemxahoi!B:B, baohiemxahoi!A:A, "")*2</f>
        <v>2</v>
      </c>
      <c r="K14" s="121">
        <f>_xlfn.XLOOKUP(C14,ansinhxahoi!B:B, ansinhxahoi!A:A, "")*2</f>
        <v>2</v>
      </c>
      <c r="L14" s="121">
        <f>_xlfn.XLOOKUP(C14,datdai!B:B, datdai!A:A, "")*2</f>
        <v>2</v>
      </c>
      <c r="M14" s="118">
        <f>_xlfn.XLOOKUP(C14,dvccc!B:B, dvccc!A:A, "")*2</f>
        <v>2</v>
      </c>
      <c r="N14" s="118">
        <f>_xlfn.XLOOKUP(C14,dvcct!B:B, dvcct!A:A, "")*2</f>
        <v>2</v>
      </c>
      <c r="O14" s="118">
        <f>_xlfn.XLOOKUP(C14,'ct10'!B:B, 'ct10'!A:A, "")*2</f>
        <v>2</v>
      </c>
      <c r="P14" s="118">
        <f>_xlfn.XLOOKUP(C14,hosocancuoc!B:B, hosocancuoc!A:A, "")*2</f>
        <v>2</v>
      </c>
      <c r="Q14" s="118">
        <f>_xlfn.XLOOKUP(C14,hosocutru!B:B, hosocutru!A:A, "")*2</f>
        <v>2</v>
      </c>
      <c r="R14" s="118">
        <f>_xlfn.XLOOKUP(C14,bdhvs!B:B, bdhvs!A:A, "")</f>
        <v>1</v>
      </c>
      <c r="S14" s="118">
        <f>_xlfn.XLOOKUP(C14,lamsachdc01!B:B, lamsachdc01!A:A, "")</f>
        <v>1</v>
      </c>
      <c r="T14" s="118">
        <f>_xlfn.XLOOKUP(C14,huyso!B:B, huyso!A:A, "")</f>
        <v>1</v>
      </c>
      <c r="U14" s="118">
        <f>_xlfn.XLOOKUP(C14,treem!B:B, treem!A:A, "")</f>
        <v>1</v>
      </c>
      <c r="V14" s="118">
        <f>_xlfn.XLOOKUP(C14,giaypheplaixe!B:B, giaypheplaixe!A:A, "")</f>
        <v>1</v>
      </c>
      <c r="W14" s="118">
        <f>_xlfn.XLOOKUP(C14,dangkyxe!B:B, dangkyxe!A:A, "")</f>
        <v>1</v>
      </c>
      <c r="X14" s="118"/>
    </row>
    <row r="15" spans="1:24" x14ac:dyDescent="0.3">
      <c r="A15" s="118">
        <f t="shared" si="0"/>
        <v>6</v>
      </c>
      <c r="B15" s="118" cm="1">
        <f t="array" ref="B15">_xlfn.IFS(A15&lt;=10, 12, A15&lt;=30, 9, A15&lt;=50, 8, A15&lt;=70, 7, A15&lt;=90, 6, A15&lt;=110, 5, A15&lt;=124, 2, TRUE, "Ngoài phạm vi")</f>
        <v>12</v>
      </c>
      <c r="C15" s="117" t="s">
        <v>57</v>
      </c>
      <c r="D15" s="121">
        <f t="shared" si="1"/>
        <v>36</v>
      </c>
      <c r="E15" s="121">
        <f>_xlfn.XLOOKUP(C15,cancuoc!B:B, cancuoc!A:A, "")*2</f>
        <v>6</v>
      </c>
      <c r="F15" s="121">
        <f>_xlfn.XLOOKUP(C15,dinhdanh14!B:B, dinhdanh14!A:A, "")*2</f>
        <v>2</v>
      </c>
      <c r="G15" s="121">
        <f>_xlfn.XLOOKUP(C15,dinhdanh6!B:B, dinhdanh6!A:A, "")*2</f>
        <v>2</v>
      </c>
      <c r="H15" s="121">
        <f>_xlfn.XLOOKUP(C15,dinhdanhcq!B:B, dinhdanhcq!A:A, "")*2</f>
        <v>2</v>
      </c>
      <c r="I15" s="122">
        <f>_xlfn.XLOOKUP(C15,suckhoedientu!B:B, suckhoedientu!A:A, "")*2</f>
        <v>2</v>
      </c>
      <c r="J15" s="122">
        <f>_xlfn.XLOOKUP(C15,baohiemxahoi!B:B, baohiemxahoi!A:A, "")*2</f>
        <v>2</v>
      </c>
      <c r="K15" s="121">
        <f>_xlfn.XLOOKUP(C15,ansinhxahoi!B:B, ansinhxahoi!A:A, "")*2</f>
        <v>2</v>
      </c>
      <c r="L15" s="121">
        <f>_xlfn.XLOOKUP(C15,datdai!B:B, datdai!A:A, "")*2</f>
        <v>2</v>
      </c>
      <c r="M15" s="118">
        <f>_xlfn.XLOOKUP(C15,dvccc!B:B, dvccc!A:A, "")*2</f>
        <v>2</v>
      </c>
      <c r="N15" s="118">
        <f>_xlfn.XLOOKUP(C15,dvcct!B:B, dvcct!A:A, "")*2</f>
        <v>2</v>
      </c>
      <c r="O15" s="118">
        <f>_xlfn.XLOOKUP(C15,'ct10'!B:B, 'ct10'!A:A, "")*2</f>
        <v>2</v>
      </c>
      <c r="P15" s="118">
        <f>_xlfn.XLOOKUP(C15,hosocancuoc!B:B, hosocancuoc!A:A, "")*2</f>
        <v>2</v>
      </c>
      <c r="Q15" s="118">
        <f>_xlfn.XLOOKUP(C15,hosocutru!B:B, hosocutru!A:A, "")*2</f>
        <v>2</v>
      </c>
      <c r="R15" s="118">
        <f>_xlfn.XLOOKUP(C15,bdhvs!B:B, bdhvs!A:A, "")</f>
        <v>1</v>
      </c>
      <c r="S15" s="118">
        <f>_xlfn.XLOOKUP(C15,lamsachdc01!B:B, lamsachdc01!A:A, "")</f>
        <v>1</v>
      </c>
      <c r="T15" s="118">
        <f>_xlfn.XLOOKUP(C15,huyso!B:B, huyso!A:A, "")</f>
        <v>1</v>
      </c>
      <c r="U15" s="118">
        <f>_xlfn.XLOOKUP(C15,treem!B:B, treem!A:A, "")</f>
        <v>1</v>
      </c>
      <c r="V15" s="118">
        <f>_xlfn.XLOOKUP(C15,giaypheplaixe!B:B, giaypheplaixe!A:A, "")</f>
        <v>1</v>
      </c>
      <c r="W15" s="118">
        <f>_xlfn.XLOOKUP(C15,dangkyxe!B:B, dangkyxe!A:A, "")</f>
        <v>1</v>
      </c>
      <c r="X15" s="118"/>
    </row>
    <row r="16" spans="1:24" x14ac:dyDescent="0.3">
      <c r="A16" s="118">
        <f t="shared" si="0"/>
        <v>6</v>
      </c>
      <c r="B16" s="118" cm="1">
        <f t="array" ref="B16">_xlfn.IFS(A16&lt;=10, 12, A16&lt;=30, 9, A16&lt;=50, 8, A16&lt;=70, 7, A16&lt;=90, 6, A16&lt;=110, 5, A16&lt;=124, 2, TRUE, "Ngoài phạm vi")</f>
        <v>12</v>
      </c>
      <c r="C16" s="117" t="s">
        <v>94</v>
      </c>
      <c r="D16" s="121">
        <f t="shared" si="1"/>
        <v>36</v>
      </c>
      <c r="E16" s="121">
        <f>_xlfn.XLOOKUP(C16,cancuoc!B:B, cancuoc!A:A, "")*2</f>
        <v>6</v>
      </c>
      <c r="F16" s="121">
        <f>_xlfn.XLOOKUP(C16,dinhdanh14!B:B, dinhdanh14!A:A, "")*2</f>
        <v>2</v>
      </c>
      <c r="G16" s="121">
        <f>_xlfn.XLOOKUP(C16,dinhdanh6!B:B, dinhdanh6!A:A, "")*2</f>
        <v>2</v>
      </c>
      <c r="H16" s="121">
        <f>_xlfn.XLOOKUP(C16,dinhdanhcq!B:B, dinhdanhcq!A:A, "")*2</f>
        <v>2</v>
      </c>
      <c r="I16" s="122">
        <f>_xlfn.XLOOKUP(C16,suckhoedientu!B:B, suckhoedientu!A:A, "")*2</f>
        <v>2</v>
      </c>
      <c r="J16" s="122">
        <f>_xlfn.XLOOKUP(C16,baohiemxahoi!B:B, baohiemxahoi!A:A, "")*2</f>
        <v>2</v>
      </c>
      <c r="K16" s="121">
        <f>_xlfn.XLOOKUP(C16,ansinhxahoi!B:B, ansinhxahoi!A:A, "")*2</f>
        <v>2</v>
      </c>
      <c r="L16" s="121">
        <f>_xlfn.XLOOKUP(C16,datdai!B:B, datdai!A:A, "")*2</f>
        <v>2</v>
      </c>
      <c r="M16" s="118">
        <f>_xlfn.XLOOKUP(C16,dvccc!B:B, dvccc!A:A, "")*2</f>
        <v>2</v>
      </c>
      <c r="N16" s="118">
        <f>_xlfn.XLOOKUP(C16,dvcct!B:B, dvcct!A:A, "")*2</f>
        <v>2</v>
      </c>
      <c r="O16" s="118">
        <f>_xlfn.XLOOKUP(C16,'ct10'!B:B, 'ct10'!A:A, "")*2</f>
        <v>2</v>
      </c>
      <c r="P16" s="118">
        <f>_xlfn.XLOOKUP(C16,hosocancuoc!B:B, hosocancuoc!A:A, "")*2</f>
        <v>2</v>
      </c>
      <c r="Q16" s="118">
        <f>_xlfn.XLOOKUP(C16,hosocutru!B:B, hosocutru!A:A, "")*2</f>
        <v>2</v>
      </c>
      <c r="R16" s="118">
        <f>_xlfn.XLOOKUP(C16,bdhvs!B:B, bdhvs!A:A, "")</f>
        <v>1</v>
      </c>
      <c r="S16" s="118">
        <f>_xlfn.XLOOKUP(C16,lamsachdc01!B:B, lamsachdc01!A:A, "")</f>
        <v>1</v>
      </c>
      <c r="T16" s="118">
        <f>_xlfn.XLOOKUP(C16,huyso!B:B, huyso!A:A, "")</f>
        <v>1</v>
      </c>
      <c r="U16" s="118">
        <f>_xlfn.XLOOKUP(C16,treem!B:B, treem!A:A, "")</f>
        <v>1</v>
      </c>
      <c r="V16" s="118">
        <f>_xlfn.XLOOKUP(C16,giaypheplaixe!B:B, giaypheplaixe!A:A, "")</f>
        <v>1</v>
      </c>
      <c r="W16" s="118">
        <f>_xlfn.XLOOKUP(C16,dangkyxe!B:B, dangkyxe!A:A, "")</f>
        <v>1</v>
      </c>
      <c r="X16" s="118"/>
    </row>
    <row r="17" spans="1:24" x14ac:dyDescent="0.3">
      <c r="A17" s="118">
        <f t="shared" si="0"/>
        <v>6</v>
      </c>
      <c r="B17" s="118" cm="1">
        <f t="array" ref="B17">_xlfn.IFS(A17&lt;=10, 12, A17&lt;=30, 9, A17&lt;=50, 8, A17&lt;=70, 7, A17&lt;=90, 6, A17&lt;=110, 5, A17&lt;=124, 2, TRUE, "Ngoài phạm vi")</f>
        <v>12</v>
      </c>
      <c r="C17" s="117" t="s">
        <v>40</v>
      </c>
      <c r="D17" s="121">
        <f t="shared" si="1"/>
        <v>36</v>
      </c>
      <c r="E17" s="121">
        <f>_xlfn.XLOOKUP(C17,cancuoc!B:B, cancuoc!A:A, "")*2</f>
        <v>6</v>
      </c>
      <c r="F17" s="121">
        <f>_xlfn.XLOOKUP(C17,dinhdanh14!B:B, dinhdanh14!A:A, "")*2</f>
        <v>2</v>
      </c>
      <c r="G17" s="121">
        <f>_xlfn.XLOOKUP(C17,dinhdanh6!B:B, dinhdanh6!A:A, "")*2</f>
        <v>2</v>
      </c>
      <c r="H17" s="121">
        <f>_xlfn.XLOOKUP(C17,dinhdanhcq!B:B, dinhdanhcq!A:A, "")*2</f>
        <v>2</v>
      </c>
      <c r="I17" s="122">
        <f>_xlfn.XLOOKUP(C17,suckhoedientu!B:B, suckhoedientu!A:A, "")*2</f>
        <v>2</v>
      </c>
      <c r="J17" s="122">
        <f>_xlfn.XLOOKUP(C17,baohiemxahoi!B:B, baohiemxahoi!A:A, "")*2</f>
        <v>2</v>
      </c>
      <c r="K17" s="121">
        <f>_xlfn.XLOOKUP(C17,ansinhxahoi!B:B, ansinhxahoi!A:A, "")*2</f>
        <v>2</v>
      </c>
      <c r="L17" s="121">
        <f>_xlfn.XLOOKUP(C17,datdai!B:B, datdai!A:A, "")*2</f>
        <v>2</v>
      </c>
      <c r="M17" s="118">
        <f>_xlfn.XLOOKUP(C17,dvccc!B:B, dvccc!A:A, "")*2</f>
        <v>2</v>
      </c>
      <c r="N17" s="118">
        <f>_xlfn.XLOOKUP(C17,dvcct!B:B, dvcct!A:A, "")*2</f>
        <v>2</v>
      </c>
      <c r="O17" s="118">
        <f>_xlfn.XLOOKUP(C17,'ct10'!B:B, 'ct10'!A:A, "")*2</f>
        <v>2</v>
      </c>
      <c r="P17" s="118">
        <f>_xlfn.XLOOKUP(C17,hosocancuoc!B:B, hosocancuoc!A:A, "")*2</f>
        <v>2</v>
      </c>
      <c r="Q17" s="118">
        <f>_xlfn.XLOOKUP(C17,hosocutru!B:B, hosocutru!A:A, "")*2</f>
        <v>2</v>
      </c>
      <c r="R17" s="118">
        <f>_xlfn.XLOOKUP(C17,bdhvs!B:B, bdhvs!A:A, "")</f>
        <v>1</v>
      </c>
      <c r="S17" s="118">
        <f>_xlfn.XLOOKUP(C17,lamsachdc01!B:B, lamsachdc01!A:A, "")</f>
        <v>1</v>
      </c>
      <c r="T17" s="118">
        <f>_xlfn.XLOOKUP(C17,huyso!B:B, huyso!A:A, "")</f>
        <v>1</v>
      </c>
      <c r="U17" s="118">
        <f>_xlfn.XLOOKUP(C17,treem!B:B, treem!A:A, "")</f>
        <v>1</v>
      </c>
      <c r="V17" s="118">
        <f>_xlfn.XLOOKUP(C17,giaypheplaixe!B:B, giaypheplaixe!A:A, "")</f>
        <v>1</v>
      </c>
      <c r="W17" s="118">
        <f>_xlfn.XLOOKUP(C17,dangkyxe!B:B, dangkyxe!A:A, "")</f>
        <v>1</v>
      </c>
      <c r="X17" s="118"/>
    </row>
    <row r="18" spans="1:24" x14ac:dyDescent="0.3">
      <c r="A18" s="118">
        <f t="shared" si="0"/>
        <v>6</v>
      </c>
      <c r="B18" s="118" cm="1">
        <f t="array" ref="B18">_xlfn.IFS(A18&lt;=10, 12, A18&lt;=30, 9, A18&lt;=50, 8, A18&lt;=70, 7, A18&lt;=90, 6, A18&lt;=110, 5, A18&lt;=124, 2, TRUE, "Ngoài phạm vi")</f>
        <v>12</v>
      </c>
      <c r="C18" s="117" t="s">
        <v>111</v>
      </c>
      <c r="D18" s="121">
        <f t="shared" si="1"/>
        <v>36</v>
      </c>
      <c r="E18" s="121">
        <f>_xlfn.XLOOKUP(C18,cancuoc!B:B, cancuoc!A:A, "")*2</f>
        <v>6</v>
      </c>
      <c r="F18" s="121">
        <f>_xlfn.XLOOKUP(C18,dinhdanh14!B:B, dinhdanh14!A:A, "")*2</f>
        <v>2</v>
      </c>
      <c r="G18" s="121">
        <f>_xlfn.XLOOKUP(C18,dinhdanh6!B:B, dinhdanh6!A:A, "")*2</f>
        <v>2</v>
      </c>
      <c r="H18" s="121">
        <f>_xlfn.XLOOKUP(C18,dinhdanhcq!B:B, dinhdanhcq!A:A, "")*2</f>
        <v>2</v>
      </c>
      <c r="I18" s="122">
        <f>_xlfn.XLOOKUP(C18,suckhoedientu!B:B, suckhoedientu!A:A, "")*2</f>
        <v>2</v>
      </c>
      <c r="J18" s="122">
        <f>_xlfn.XLOOKUP(C18,baohiemxahoi!B:B, baohiemxahoi!A:A, "")*2</f>
        <v>2</v>
      </c>
      <c r="K18" s="121">
        <f>_xlfn.XLOOKUP(C18,ansinhxahoi!B:B, ansinhxahoi!A:A, "")*2</f>
        <v>2</v>
      </c>
      <c r="L18" s="121">
        <f>_xlfn.XLOOKUP(C18,datdai!B:B, datdai!A:A, "")*2</f>
        <v>2</v>
      </c>
      <c r="M18" s="118">
        <f>_xlfn.XLOOKUP(C18,dvccc!B:B, dvccc!A:A, "")*2</f>
        <v>2</v>
      </c>
      <c r="N18" s="118">
        <f>_xlfn.XLOOKUP(C18,dvcct!B:B, dvcct!A:A, "")*2</f>
        <v>2</v>
      </c>
      <c r="O18" s="118">
        <f>_xlfn.XLOOKUP(C18,'ct10'!B:B, 'ct10'!A:A, "")*2</f>
        <v>2</v>
      </c>
      <c r="P18" s="118">
        <f>_xlfn.XLOOKUP(C18,hosocancuoc!B:B, hosocancuoc!A:A, "")*2</f>
        <v>2</v>
      </c>
      <c r="Q18" s="118">
        <f>_xlfn.XLOOKUP(C18,hosocutru!B:B, hosocutru!A:A, "")*2</f>
        <v>2</v>
      </c>
      <c r="R18" s="118">
        <f>_xlfn.XLOOKUP(C18,bdhvs!B:B, bdhvs!A:A, "")</f>
        <v>1</v>
      </c>
      <c r="S18" s="118">
        <f>_xlfn.XLOOKUP(C18,lamsachdc01!B:B, lamsachdc01!A:A, "")</f>
        <v>1</v>
      </c>
      <c r="T18" s="118">
        <f>_xlfn.XLOOKUP(C18,huyso!B:B, huyso!A:A, "")</f>
        <v>1</v>
      </c>
      <c r="U18" s="118">
        <f>_xlfn.XLOOKUP(C18,treem!B:B, treem!A:A, "")</f>
        <v>1</v>
      </c>
      <c r="V18" s="118">
        <f>_xlfn.XLOOKUP(C18,giaypheplaixe!B:B, giaypheplaixe!A:A, "")</f>
        <v>1</v>
      </c>
      <c r="W18" s="118">
        <f>_xlfn.XLOOKUP(C18,dangkyxe!B:B, dangkyxe!A:A, "")</f>
        <v>1</v>
      </c>
      <c r="X18" s="118"/>
    </row>
    <row r="19" spans="1:24" x14ac:dyDescent="0.3">
      <c r="A19" s="118">
        <f t="shared" si="0"/>
        <v>6</v>
      </c>
      <c r="B19" s="118" cm="1">
        <f t="array" ref="B19">_xlfn.IFS(A19&lt;=10, 12, A19&lt;=30, 9, A19&lt;=50, 8, A19&lt;=70, 7, A19&lt;=90, 6, A19&lt;=110, 5, A19&lt;=124, 2, TRUE, "Ngoài phạm vi")</f>
        <v>12</v>
      </c>
      <c r="C19" s="117" t="s">
        <v>87</v>
      </c>
      <c r="D19" s="121">
        <f t="shared" si="1"/>
        <v>36</v>
      </c>
      <c r="E19" s="121">
        <f>_xlfn.XLOOKUP(C19,cancuoc!B:B, cancuoc!A:A, "")*2</f>
        <v>6</v>
      </c>
      <c r="F19" s="121">
        <f>_xlfn.XLOOKUP(C19,dinhdanh14!B:B, dinhdanh14!A:A, "")*2</f>
        <v>2</v>
      </c>
      <c r="G19" s="121">
        <f>_xlfn.XLOOKUP(C19,dinhdanh6!B:B, dinhdanh6!A:A, "")*2</f>
        <v>2</v>
      </c>
      <c r="H19" s="121">
        <f>_xlfn.XLOOKUP(C19,dinhdanhcq!B:B, dinhdanhcq!A:A, "")*2</f>
        <v>2</v>
      </c>
      <c r="I19" s="122">
        <f>_xlfn.XLOOKUP(C19,suckhoedientu!B:B, suckhoedientu!A:A, "")*2</f>
        <v>2</v>
      </c>
      <c r="J19" s="122">
        <f>_xlfn.XLOOKUP(C19,baohiemxahoi!B:B, baohiemxahoi!A:A, "")*2</f>
        <v>2</v>
      </c>
      <c r="K19" s="121">
        <f>_xlfn.XLOOKUP(C19,ansinhxahoi!B:B, ansinhxahoi!A:A, "")*2</f>
        <v>2</v>
      </c>
      <c r="L19" s="121">
        <f>_xlfn.XLOOKUP(C19,datdai!B:B, datdai!A:A, "")*2</f>
        <v>2</v>
      </c>
      <c r="M19" s="118">
        <f>_xlfn.XLOOKUP(C19,dvccc!B:B, dvccc!A:A, "")*2</f>
        <v>2</v>
      </c>
      <c r="N19" s="118">
        <f>_xlfn.XLOOKUP(C19,dvcct!B:B, dvcct!A:A, "")*2</f>
        <v>2</v>
      </c>
      <c r="O19" s="118">
        <f>_xlfn.XLOOKUP(C19,'ct10'!B:B, 'ct10'!A:A, "")*2</f>
        <v>2</v>
      </c>
      <c r="P19" s="118">
        <f>_xlfn.XLOOKUP(C19,hosocancuoc!B:B, hosocancuoc!A:A, "")*2</f>
        <v>2</v>
      </c>
      <c r="Q19" s="118">
        <f>_xlfn.XLOOKUP(C19,hosocutru!B:B, hosocutru!A:A, "")*2</f>
        <v>2</v>
      </c>
      <c r="R19" s="118">
        <f>_xlfn.XLOOKUP(C19,bdhvs!B:B, bdhvs!A:A, "")</f>
        <v>1</v>
      </c>
      <c r="S19" s="118">
        <f>_xlfn.XLOOKUP(C19,lamsachdc01!B:B, lamsachdc01!A:A, "")</f>
        <v>1</v>
      </c>
      <c r="T19" s="118">
        <f>_xlfn.XLOOKUP(C19,huyso!B:B, huyso!A:A, "")</f>
        <v>1</v>
      </c>
      <c r="U19" s="118">
        <f>_xlfn.XLOOKUP(C19,treem!B:B, treem!A:A, "")</f>
        <v>1</v>
      </c>
      <c r="V19" s="118">
        <f>_xlfn.XLOOKUP(C19,giaypheplaixe!B:B, giaypheplaixe!A:A, "")</f>
        <v>1</v>
      </c>
      <c r="W19" s="118">
        <f>_xlfn.XLOOKUP(C19,dangkyxe!B:B, dangkyxe!A:A, "")</f>
        <v>1</v>
      </c>
      <c r="X19" s="118"/>
    </row>
    <row r="20" spans="1:24" x14ac:dyDescent="0.3">
      <c r="A20" s="118">
        <f t="shared" si="0"/>
        <v>6</v>
      </c>
      <c r="B20" s="118" cm="1">
        <f t="array" ref="B20">_xlfn.IFS(A20&lt;=10, 12, A20&lt;=30, 9, A20&lt;=50, 8, A20&lt;=70, 7, A20&lt;=90, 6, A20&lt;=110, 5, A20&lt;=124, 2, TRUE, "Ngoài phạm vi")</f>
        <v>12</v>
      </c>
      <c r="C20" s="117" t="s">
        <v>77</v>
      </c>
      <c r="D20" s="121">
        <f t="shared" si="1"/>
        <v>36</v>
      </c>
      <c r="E20" s="121">
        <f>_xlfn.XLOOKUP(C20,cancuoc!B:B, cancuoc!A:A, "")*2</f>
        <v>6</v>
      </c>
      <c r="F20" s="121">
        <f>_xlfn.XLOOKUP(C20,dinhdanh14!B:B, dinhdanh14!A:A, "")*2</f>
        <v>2</v>
      </c>
      <c r="G20" s="121">
        <f>_xlfn.XLOOKUP(C20,dinhdanh6!B:B, dinhdanh6!A:A, "")*2</f>
        <v>2</v>
      </c>
      <c r="H20" s="121">
        <f>_xlfn.XLOOKUP(C20,dinhdanhcq!B:B, dinhdanhcq!A:A, "")*2</f>
        <v>2</v>
      </c>
      <c r="I20" s="122">
        <f>_xlfn.XLOOKUP(C20,suckhoedientu!B:B, suckhoedientu!A:A, "")*2</f>
        <v>2</v>
      </c>
      <c r="J20" s="122">
        <f>_xlfn.XLOOKUP(C20,baohiemxahoi!B:B, baohiemxahoi!A:A, "")*2</f>
        <v>2</v>
      </c>
      <c r="K20" s="121">
        <f>_xlfn.XLOOKUP(C20,ansinhxahoi!B:B, ansinhxahoi!A:A, "")*2</f>
        <v>2</v>
      </c>
      <c r="L20" s="121">
        <f>_xlfn.XLOOKUP(C20,datdai!B:B, datdai!A:A, "")*2</f>
        <v>2</v>
      </c>
      <c r="M20" s="118">
        <f>_xlfn.XLOOKUP(C20,dvccc!B:B, dvccc!A:A, "")*2</f>
        <v>2</v>
      </c>
      <c r="N20" s="118">
        <f>_xlfn.XLOOKUP(C20,dvcct!B:B, dvcct!A:A, "")*2</f>
        <v>2</v>
      </c>
      <c r="O20" s="118">
        <f>_xlfn.XLOOKUP(C20,'ct10'!B:B, 'ct10'!A:A, "")*2</f>
        <v>2</v>
      </c>
      <c r="P20" s="118">
        <f>_xlfn.XLOOKUP(C20,hosocancuoc!B:B, hosocancuoc!A:A, "")*2</f>
        <v>2</v>
      </c>
      <c r="Q20" s="118">
        <f>_xlfn.XLOOKUP(C20,hosocutru!B:B, hosocutru!A:A, "")*2</f>
        <v>2</v>
      </c>
      <c r="R20" s="118">
        <f>_xlfn.XLOOKUP(C20,bdhvs!B:B, bdhvs!A:A, "")</f>
        <v>1</v>
      </c>
      <c r="S20" s="118">
        <f>_xlfn.XLOOKUP(C20,lamsachdc01!B:B, lamsachdc01!A:A, "")</f>
        <v>1</v>
      </c>
      <c r="T20" s="118">
        <f>_xlfn.XLOOKUP(C20,huyso!B:B, huyso!A:A, "")</f>
        <v>1</v>
      </c>
      <c r="U20" s="118">
        <f>_xlfn.XLOOKUP(C20,treem!B:B, treem!A:A, "")</f>
        <v>1</v>
      </c>
      <c r="V20" s="118">
        <f>_xlfn.XLOOKUP(C20,giaypheplaixe!B:B, giaypheplaixe!A:A, "")</f>
        <v>1</v>
      </c>
      <c r="W20" s="118">
        <f>_xlfn.XLOOKUP(C20,dangkyxe!B:B, dangkyxe!A:A, "")</f>
        <v>1</v>
      </c>
      <c r="X20" s="118"/>
    </row>
    <row r="21" spans="1:24" x14ac:dyDescent="0.3">
      <c r="A21" s="118">
        <f t="shared" si="0"/>
        <v>6</v>
      </c>
      <c r="B21" s="118" cm="1">
        <f t="array" ref="B21">_xlfn.IFS(A21&lt;=10, 12, A21&lt;=30, 9, A21&lt;=50, 8, A21&lt;=70, 7, A21&lt;=90, 6, A21&lt;=110, 5, A21&lt;=124, 2, TRUE, "Ngoài phạm vi")</f>
        <v>12</v>
      </c>
      <c r="C21" s="117" t="s">
        <v>46</v>
      </c>
      <c r="D21" s="121">
        <f t="shared" si="1"/>
        <v>36</v>
      </c>
      <c r="E21" s="121">
        <f>_xlfn.XLOOKUP(C21,cancuoc!B:B, cancuoc!A:A, "")*2</f>
        <v>6</v>
      </c>
      <c r="F21" s="121">
        <f>_xlfn.XLOOKUP(C21,dinhdanh14!B:B, dinhdanh14!A:A, "")*2</f>
        <v>2</v>
      </c>
      <c r="G21" s="121">
        <f>_xlfn.XLOOKUP(C21,dinhdanh6!B:B, dinhdanh6!A:A, "")*2</f>
        <v>2</v>
      </c>
      <c r="H21" s="121">
        <f>_xlfn.XLOOKUP(C21,dinhdanhcq!B:B, dinhdanhcq!A:A, "")*2</f>
        <v>2</v>
      </c>
      <c r="I21" s="122">
        <f>_xlfn.XLOOKUP(C21,suckhoedientu!B:B, suckhoedientu!A:A, "")*2</f>
        <v>2</v>
      </c>
      <c r="J21" s="122">
        <f>_xlfn.XLOOKUP(C21,baohiemxahoi!B:B, baohiemxahoi!A:A, "")*2</f>
        <v>2</v>
      </c>
      <c r="K21" s="121">
        <f>_xlfn.XLOOKUP(C21,ansinhxahoi!B:B, ansinhxahoi!A:A, "")*2</f>
        <v>2</v>
      </c>
      <c r="L21" s="121">
        <f>_xlfn.XLOOKUP(C21,datdai!B:B, datdai!A:A, "")*2</f>
        <v>2</v>
      </c>
      <c r="M21" s="118">
        <f>_xlfn.XLOOKUP(C21,dvccc!B:B, dvccc!A:A, "")*2</f>
        <v>2</v>
      </c>
      <c r="N21" s="118">
        <f>_xlfn.XLOOKUP(C21,dvcct!B:B, dvcct!A:A, "")*2</f>
        <v>2</v>
      </c>
      <c r="O21" s="118">
        <f>_xlfn.XLOOKUP(C21,'ct10'!B:B, 'ct10'!A:A, "")*2</f>
        <v>2</v>
      </c>
      <c r="P21" s="118">
        <f>_xlfn.XLOOKUP(C21,hosocancuoc!B:B, hosocancuoc!A:A, "")*2</f>
        <v>2</v>
      </c>
      <c r="Q21" s="118">
        <f>_xlfn.XLOOKUP(C21,hosocutru!B:B, hosocutru!A:A, "")*2</f>
        <v>2</v>
      </c>
      <c r="R21" s="118">
        <f>_xlfn.XLOOKUP(C21,bdhvs!B:B, bdhvs!A:A, "")</f>
        <v>1</v>
      </c>
      <c r="S21" s="118">
        <f>_xlfn.XLOOKUP(C21,lamsachdc01!B:B, lamsachdc01!A:A, "")</f>
        <v>1</v>
      </c>
      <c r="T21" s="118">
        <f>_xlfn.XLOOKUP(C21,huyso!B:B, huyso!A:A, "")</f>
        <v>1</v>
      </c>
      <c r="U21" s="118">
        <f>_xlfn.XLOOKUP(C21,treem!B:B, treem!A:A, "")</f>
        <v>1</v>
      </c>
      <c r="V21" s="118">
        <f>_xlfn.XLOOKUP(C21,giaypheplaixe!B:B, giaypheplaixe!A:A, "")</f>
        <v>1</v>
      </c>
      <c r="W21" s="118">
        <f>_xlfn.XLOOKUP(C21,dangkyxe!B:B, dangkyxe!A:A, "")</f>
        <v>1</v>
      </c>
      <c r="X21" s="118"/>
    </row>
    <row r="22" spans="1:24" x14ac:dyDescent="0.3">
      <c r="A22" s="118">
        <f t="shared" si="0"/>
        <v>6</v>
      </c>
      <c r="B22" s="118" cm="1">
        <f t="array" ref="B22">_xlfn.IFS(A22&lt;=10, 12, A22&lt;=30, 9, A22&lt;=50, 8, A22&lt;=70, 7, A22&lt;=90, 6, A22&lt;=110, 5, A22&lt;=124, 2, TRUE, "Ngoài phạm vi")</f>
        <v>12</v>
      </c>
      <c r="C22" s="117" t="s">
        <v>64</v>
      </c>
      <c r="D22" s="121">
        <f t="shared" si="1"/>
        <v>36</v>
      </c>
      <c r="E22" s="121">
        <f>_xlfn.XLOOKUP(C22,cancuoc!B:B, cancuoc!A:A, "")*2</f>
        <v>6</v>
      </c>
      <c r="F22" s="121">
        <f>_xlfn.XLOOKUP(C22,dinhdanh14!B:B, dinhdanh14!A:A, "")*2</f>
        <v>2</v>
      </c>
      <c r="G22" s="121">
        <f>_xlfn.XLOOKUP(C22,dinhdanh6!B:B, dinhdanh6!A:A, "")*2</f>
        <v>2</v>
      </c>
      <c r="H22" s="121">
        <f>_xlfn.XLOOKUP(C22,dinhdanhcq!B:B, dinhdanhcq!A:A, "")*2</f>
        <v>2</v>
      </c>
      <c r="I22" s="122">
        <f>_xlfn.XLOOKUP(C22,suckhoedientu!B:B, suckhoedientu!A:A, "")*2</f>
        <v>2</v>
      </c>
      <c r="J22" s="122">
        <f>_xlfn.XLOOKUP(C22,baohiemxahoi!B:B, baohiemxahoi!A:A, "")*2</f>
        <v>2</v>
      </c>
      <c r="K22" s="121">
        <f>_xlfn.XLOOKUP(C22,ansinhxahoi!B:B, ansinhxahoi!A:A, "")*2</f>
        <v>2</v>
      </c>
      <c r="L22" s="121">
        <f>_xlfn.XLOOKUP(C22,datdai!B:B, datdai!A:A, "")*2</f>
        <v>2</v>
      </c>
      <c r="M22" s="118">
        <f>_xlfn.XLOOKUP(C22,dvccc!B:B, dvccc!A:A, "")*2</f>
        <v>2</v>
      </c>
      <c r="N22" s="118">
        <f>_xlfn.XLOOKUP(C22,dvcct!B:B, dvcct!A:A, "")*2</f>
        <v>2</v>
      </c>
      <c r="O22" s="118">
        <f>_xlfn.XLOOKUP(C22,'ct10'!B:B, 'ct10'!A:A, "")*2</f>
        <v>2</v>
      </c>
      <c r="P22" s="118">
        <f>_xlfn.XLOOKUP(C22,hosocancuoc!B:B, hosocancuoc!A:A, "")*2</f>
        <v>2</v>
      </c>
      <c r="Q22" s="118">
        <f>_xlfn.XLOOKUP(C22,hosocutru!B:B, hosocutru!A:A, "")*2</f>
        <v>2</v>
      </c>
      <c r="R22" s="118">
        <f>_xlfn.XLOOKUP(C22,bdhvs!B:B, bdhvs!A:A, "")</f>
        <v>1</v>
      </c>
      <c r="S22" s="118">
        <f>_xlfn.XLOOKUP(C22,lamsachdc01!B:B, lamsachdc01!A:A, "")</f>
        <v>1</v>
      </c>
      <c r="T22" s="118">
        <f>_xlfn.XLOOKUP(C22,huyso!B:B, huyso!A:A, "")</f>
        <v>1</v>
      </c>
      <c r="U22" s="118">
        <f>_xlfn.XLOOKUP(C22,treem!B:B, treem!A:A, "")</f>
        <v>1</v>
      </c>
      <c r="V22" s="118">
        <f>_xlfn.XLOOKUP(C22,giaypheplaixe!B:B, giaypheplaixe!A:A, "")</f>
        <v>1</v>
      </c>
      <c r="W22" s="118">
        <f>_xlfn.XLOOKUP(C22,dangkyxe!B:B, dangkyxe!A:A, "")</f>
        <v>1</v>
      </c>
      <c r="X22" s="118"/>
    </row>
    <row r="23" spans="1:24" x14ac:dyDescent="0.3">
      <c r="A23" s="118">
        <f t="shared" si="0"/>
        <v>6</v>
      </c>
      <c r="B23" s="118" cm="1">
        <f t="array" ref="B23">_xlfn.IFS(A23&lt;=10, 12, A23&lt;=30, 9, A23&lt;=50, 8, A23&lt;=70, 7, A23&lt;=90, 6, A23&lt;=110, 5, A23&lt;=124, 2, TRUE, "Ngoài phạm vi")</f>
        <v>12</v>
      </c>
      <c r="C23" s="117" t="s">
        <v>27</v>
      </c>
      <c r="D23" s="121">
        <f t="shared" si="1"/>
        <v>36</v>
      </c>
      <c r="E23" s="121">
        <f>_xlfn.XLOOKUP(C23,cancuoc!B:B, cancuoc!A:A, "")*2</f>
        <v>6</v>
      </c>
      <c r="F23" s="121">
        <f>_xlfn.XLOOKUP(C23,dinhdanh14!B:B, dinhdanh14!A:A, "")*2</f>
        <v>2</v>
      </c>
      <c r="G23" s="121">
        <f>_xlfn.XLOOKUP(C23,dinhdanh6!B:B, dinhdanh6!A:A, "")*2</f>
        <v>2</v>
      </c>
      <c r="H23" s="121">
        <f>_xlfn.XLOOKUP(C23,dinhdanhcq!B:B, dinhdanhcq!A:A, "")*2</f>
        <v>2</v>
      </c>
      <c r="I23" s="122">
        <f>_xlfn.XLOOKUP(C23,suckhoedientu!B:B, suckhoedientu!A:A, "")*2</f>
        <v>2</v>
      </c>
      <c r="J23" s="122">
        <f>_xlfn.XLOOKUP(C23,baohiemxahoi!B:B, baohiemxahoi!A:A, "")*2</f>
        <v>2</v>
      </c>
      <c r="K23" s="121">
        <f>_xlfn.XLOOKUP(C23,ansinhxahoi!B:B, ansinhxahoi!A:A, "")*2</f>
        <v>2</v>
      </c>
      <c r="L23" s="121">
        <f>_xlfn.XLOOKUP(C23,datdai!B:B, datdai!A:A, "")*2</f>
        <v>2</v>
      </c>
      <c r="M23" s="118">
        <f>_xlfn.XLOOKUP(C23,dvccc!B:B, dvccc!A:A, "")*2</f>
        <v>2</v>
      </c>
      <c r="N23" s="118">
        <f>_xlfn.XLOOKUP(C23,dvcct!B:B, dvcct!A:A, "")*2</f>
        <v>2</v>
      </c>
      <c r="O23" s="118">
        <f>_xlfn.XLOOKUP(C23,'ct10'!B:B, 'ct10'!A:A, "")*2</f>
        <v>2</v>
      </c>
      <c r="P23" s="118">
        <f>_xlfn.XLOOKUP(C23,hosocancuoc!B:B, hosocancuoc!A:A, "")*2</f>
        <v>2</v>
      </c>
      <c r="Q23" s="118">
        <f>_xlfn.XLOOKUP(C23,hosocutru!B:B, hosocutru!A:A, "")*2</f>
        <v>2</v>
      </c>
      <c r="R23" s="118">
        <f>_xlfn.XLOOKUP(C23,bdhvs!B:B, bdhvs!A:A, "")</f>
        <v>1</v>
      </c>
      <c r="S23" s="118">
        <f>_xlfn.XLOOKUP(C23,lamsachdc01!B:B, lamsachdc01!A:A, "")</f>
        <v>1</v>
      </c>
      <c r="T23" s="118">
        <f>_xlfn.XLOOKUP(C23,huyso!B:B, huyso!A:A, "")</f>
        <v>1</v>
      </c>
      <c r="U23" s="118">
        <f>_xlfn.XLOOKUP(C23,treem!B:B, treem!A:A, "")</f>
        <v>1</v>
      </c>
      <c r="V23" s="118">
        <f>_xlfn.XLOOKUP(C23,giaypheplaixe!B:B, giaypheplaixe!A:A, "")</f>
        <v>1</v>
      </c>
      <c r="W23" s="118">
        <f>_xlfn.XLOOKUP(C23,dangkyxe!B:B, dangkyxe!A:A, "")</f>
        <v>1</v>
      </c>
      <c r="X23" s="118"/>
    </row>
    <row r="24" spans="1:24" x14ac:dyDescent="0.3">
      <c r="A24" s="118">
        <f t="shared" si="0"/>
        <v>6</v>
      </c>
      <c r="B24" s="118" cm="1">
        <f t="array" ref="B24">_xlfn.IFS(A24&lt;=10, 12, A24&lt;=30, 9, A24&lt;=50, 8, A24&lt;=70, 7, A24&lt;=90, 6, A24&lt;=110, 5, A24&lt;=124, 2, TRUE, "Ngoài phạm vi")</f>
        <v>12</v>
      </c>
      <c r="C24" s="117" t="s">
        <v>110</v>
      </c>
      <c r="D24" s="121">
        <f t="shared" si="1"/>
        <v>36</v>
      </c>
      <c r="E24" s="121">
        <f>_xlfn.XLOOKUP(C24,cancuoc!B:B, cancuoc!A:A, "")*2</f>
        <v>6</v>
      </c>
      <c r="F24" s="121">
        <f>_xlfn.XLOOKUP(C24,dinhdanh14!B:B, dinhdanh14!A:A, "")*2</f>
        <v>2</v>
      </c>
      <c r="G24" s="121">
        <f>_xlfn.XLOOKUP(C24,dinhdanh6!B:B, dinhdanh6!A:A, "")*2</f>
        <v>2</v>
      </c>
      <c r="H24" s="121">
        <f>_xlfn.XLOOKUP(C24,dinhdanhcq!B:B, dinhdanhcq!A:A, "")*2</f>
        <v>2</v>
      </c>
      <c r="I24" s="122">
        <f>_xlfn.XLOOKUP(C24,suckhoedientu!B:B, suckhoedientu!A:A, "")*2</f>
        <v>2</v>
      </c>
      <c r="J24" s="122">
        <f>_xlfn.XLOOKUP(C24,baohiemxahoi!B:B, baohiemxahoi!A:A, "")*2</f>
        <v>2</v>
      </c>
      <c r="K24" s="121">
        <f>_xlfn.XLOOKUP(C24,ansinhxahoi!B:B, ansinhxahoi!A:A, "")*2</f>
        <v>2</v>
      </c>
      <c r="L24" s="121">
        <f>_xlfn.XLOOKUP(C24,datdai!B:B, datdai!A:A, "")*2</f>
        <v>2</v>
      </c>
      <c r="M24" s="118">
        <f>_xlfn.XLOOKUP(C24,dvccc!B:B, dvccc!A:A, "")*2</f>
        <v>2</v>
      </c>
      <c r="N24" s="118">
        <f>_xlfn.XLOOKUP(C24,dvcct!B:B, dvcct!A:A, "")*2</f>
        <v>2</v>
      </c>
      <c r="O24" s="118">
        <f>_xlfn.XLOOKUP(C24,'ct10'!B:B, 'ct10'!A:A, "")*2</f>
        <v>2</v>
      </c>
      <c r="P24" s="118">
        <f>_xlfn.XLOOKUP(C24,hosocancuoc!B:B, hosocancuoc!A:A, "")*2</f>
        <v>2</v>
      </c>
      <c r="Q24" s="118">
        <f>_xlfn.XLOOKUP(C24,hosocutru!B:B, hosocutru!A:A, "")*2</f>
        <v>2</v>
      </c>
      <c r="R24" s="118">
        <f>_xlfn.XLOOKUP(C24,bdhvs!B:B, bdhvs!A:A, "")</f>
        <v>1</v>
      </c>
      <c r="S24" s="118">
        <f>_xlfn.XLOOKUP(C24,lamsachdc01!B:B, lamsachdc01!A:A, "")</f>
        <v>1</v>
      </c>
      <c r="T24" s="118">
        <f>_xlfn.XLOOKUP(C24,huyso!B:B, huyso!A:A, "")</f>
        <v>1</v>
      </c>
      <c r="U24" s="118">
        <f>_xlfn.XLOOKUP(C24,treem!B:B, treem!A:A, "")</f>
        <v>1</v>
      </c>
      <c r="V24" s="118">
        <f>_xlfn.XLOOKUP(C24,giaypheplaixe!B:B, giaypheplaixe!A:A, "")</f>
        <v>1</v>
      </c>
      <c r="W24" s="118">
        <f>_xlfn.XLOOKUP(C24,dangkyxe!B:B, dangkyxe!A:A, "")</f>
        <v>1</v>
      </c>
      <c r="X24" s="118"/>
    </row>
    <row r="25" spans="1:24" x14ac:dyDescent="0.3">
      <c r="A25" s="118">
        <f t="shared" si="0"/>
        <v>6</v>
      </c>
      <c r="B25" s="118" cm="1">
        <f t="array" ref="B25">_xlfn.IFS(A25&lt;=10, 12, A25&lt;=30, 9, A25&lt;=50, 8, A25&lt;=70, 7, A25&lt;=90, 6, A25&lt;=110, 5, A25&lt;=124, 2, TRUE, "Ngoài phạm vi")</f>
        <v>12</v>
      </c>
      <c r="C25" s="117" t="s">
        <v>92</v>
      </c>
      <c r="D25" s="121">
        <f t="shared" si="1"/>
        <v>36</v>
      </c>
      <c r="E25" s="121">
        <f>_xlfn.XLOOKUP(C25,cancuoc!B:B, cancuoc!A:A, "")*2</f>
        <v>6</v>
      </c>
      <c r="F25" s="121">
        <f>_xlfn.XLOOKUP(C25,dinhdanh14!B:B, dinhdanh14!A:A, "")*2</f>
        <v>2</v>
      </c>
      <c r="G25" s="121">
        <f>_xlfn.XLOOKUP(C25,dinhdanh6!B:B, dinhdanh6!A:A, "")*2</f>
        <v>2</v>
      </c>
      <c r="H25" s="121">
        <f>_xlfn.XLOOKUP(C25,dinhdanhcq!B:B, dinhdanhcq!A:A, "")*2</f>
        <v>2</v>
      </c>
      <c r="I25" s="122">
        <f>_xlfn.XLOOKUP(C25,suckhoedientu!B:B, suckhoedientu!A:A, "")*2</f>
        <v>2</v>
      </c>
      <c r="J25" s="122">
        <f>_xlfn.XLOOKUP(C25,baohiemxahoi!B:B, baohiemxahoi!A:A, "")*2</f>
        <v>2</v>
      </c>
      <c r="K25" s="121">
        <f>_xlfn.XLOOKUP(C25,ansinhxahoi!B:B, ansinhxahoi!A:A, "")*2</f>
        <v>2</v>
      </c>
      <c r="L25" s="121">
        <f>_xlfn.XLOOKUP(C25,datdai!B:B, datdai!A:A, "")*2</f>
        <v>2</v>
      </c>
      <c r="M25" s="118">
        <f>_xlfn.XLOOKUP(C25,dvccc!B:B, dvccc!A:A, "")*2</f>
        <v>2</v>
      </c>
      <c r="N25" s="118">
        <f>_xlfn.XLOOKUP(C25,dvcct!B:B, dvcct!A:A, "")*2</f>
        <v>2</v>
      </c>
      <c r="O25" s="118">
        <f>_xlfn.XLOOKUP(C25,'ct10'!B:B, 'ct10'!A:A, "")*2</f>
        <v>2</v>
      </c>
      <c r="P25" s="118">
        <f>_xlfn.XLOOKUP(C25,hosocancuoc!B:B, hosocancuoc!A:A, "")*2</f>
        <v>2</v>
      </c>
      <c r="Q25" s="118">
        <f>_xlfn.XLOOKUP(C25,hosocutru!B:B, hosocutru!A:A, "")*2</f>
        <v>2</v>
      </c>
      <c r="R25" s="118">
        <f>_xlfn.XLOOKUP(C25,bdhvs!B:B, bdhvs!A:A, "")</f>
        <v>1</v>
      </c>
      <c r="S25" s="118">
        <f>_xlfn.XLOOKUP(C25,lamsachdc01!B:B, lamsachdc01!A:A, "")</f>
        <v>1</v>
      </c>
      <c r="T25" s="118">
        <f>_xlfn.XLOOKUP(C25,huyso!B:B, huyso!A:A, "")</f>
        <v>1</v>
      </c>
      <c r="U25" s="118">
        <f>_xlfn.XLOOKUP(C25,treem!B:B, treem!A:A, "")</f>
        <v>1</v>
      </c>
      <c r="V25" s="118">
        <f>_xlfn.XLOOKUP(C25,giaypheplaixe!B:B, giaypheplaixe!A:A, "")</f>
        <v>1</v>
      </c>
      <c r="W25" s="118">
        <f>_xlfn.XLOOKUP(C25,dangkyxe!B:B, dangkyxe!A:A, "")</f>
        <v>1</v>
      </c>
      <c r="X25" s="118"/>
    </row>
    <row r="26" spans="1:24" x14ac:dyDescent="0.3">
      <c r="A26" s="118">
        <f t="shared" si="0"/>
        <v>6</v>
      </c>
      <c r="B26" s="118" cm="1">
        <f t="array" ref="B26">_xlfn.IFS(A26&lt;=10, 12, A26&lt;=30, 9, A26&lt;=50, 8, A26&lt;=70, 7, A26&lt;=90, 6, A26&lt;=110, 5, A26&lt;=124, 2, TRUE, "Ngoài phạm vi")</f>
        <v>12</v>
      </c>
      <c r="C26" s="117" t="s">
        <v>22</v>
      </c>
      <c r="D26" s="121">
        <f t="shared" si="1"/>
        <v>36</v>
      </c>
      <c r="E26" s="121">
        <f>_xlfn.XLOOKUP(C26,cancuoc!B:B, cancuoc!A:A, "")*2</f>
        <v>6</v>
      </c>
      <c r="F26" s="121">
        <f>_xlfn.XLOOKUP(C26,dinhdanh14!B:B, dinhdanh14!A:A, "")*2</f>
        <v>2</v>
      </c>
      <c r="G26" s="121">
        <f>_xlfn.XLOOKUP(C26,dinhdanh6!B:B, dinhdanh6!A:A, "")*2</f>
        <v>2</v>
      </c>
      <c r="H26" s="121">
        <f>_xlfn.XLOOKUP(C26,dinhdanhcq!B:B, dinhdanhcq!A:A, "")*2</f>
        <v>2</v>
      </c>
      <c r="I26" s="122">
        <f>_xlfn.XLOOKUP(C26,suckhoedientu!B:B, suckhoedientu!A:A, "")*2</f>
        <v>2</v>
      </c>
      <c r="J26" s="122">
        <f>_xlfn.XLOOKUP(C26,baohiemxahoi!B:B, baohiemxahoi!A:A, "")*2</f>
        <v>2</v>
      </c>
      <c r="K26" s="121">
        <f>_xlfn.XLOOKUP(C26,ansinhxahoi!B:B, ansinhxahoi!A:A, "")*2</f>
        <v>2</v>
      </c>
      <c r="L26" s="121">
        <f>_xlfn.XLOOKUP(C26,datdai!B:B, datdai!A:A, "")*2</f>
        <v>2</v>
      </c>
      <c r="M26" s="118">
        <f>_xlfn.XLOOKUP(C26,dvccc!B:B, dvccc!A:A, "")*2</f>
        <v>2</v>
      </c>
      <c r="N26" s="118">
        <f>_xlfn.XLOOKUP(C26,dvcct!B:B, dvcct!A:A, "")*2</f>
        <v>2</v>
      </c>
      <c r="O26" s="118">
        <f>_xlfn.XLOOKUP(C26,'ct10'!B:B, 'ct10'!A:A, "")*2</f>
        <v>2</v>
      </c>
      <c r="P26" s="118">
        <f>_xlfn.XLOOKUP(C26,hosocancuoc!B:B, hosocancuoc!A:A, "")*2</f>
        <v>2</v>
      </c>
      <c r="Q26" s="118">
        <f>_xlfn.XLOOKUP(C26,hosocutru!B:B, hosocutru!A:A, "")*2</f>
        <v>2</v>
      </c>
      <c r="R26" s="118">
        <f>_xlfn.XLOOKUP(C26,bdhvs!B:B, bdhvs!A:A, "")</f>
        <v>1</v>
      </c>
      <c r="S26" s="118">
        <f>_xlfn.XLOOKUP(C26,lamsachdc01!B:B, lamsachdc01!A:A, "")</f>
        <v>1</v>
      </c>
      <c r="T26" s="118">
        <f>_xlfn.XLOOKUP(C26,huyso!B:B, huyso!A:A, "")</f>
        <v>1</v>
      </c>
      <c r="U26" s="118">
        <f>_xlfn.XLOOKUP(C26,treem!B:B, treem!A:A, "")</f>
        <v>1</v>
      </c>
      <c r="V26" s="118">
        <f>_xlfn.XLOOKUP(C26,giaypheplaixe!B:B, giaypheplaixe!A:A, "")</f>
        <v>1</v>
      </c>
      <c r="W26" s="118">
        <f>_xlfn.XLOOKUP(C26,dangkyxe!B:B, dangkyxe!A:A, "")</f>
        <v>1</v>
      </c>
      <c r="X26" s="118"/>
    </row>
    <row r="27" spans="1:24" x14ac:dyDescent="0.3">
      <c r="A27" s="118">
        <f t="shared" si="0"/>
        <v>6</v>
      </c>
      <c r="B27" s="118" cm="1">
        <f t="array" ref="B27">_xlfn.IFS(A27&lt;=10, 12, A27&lt;=30, 9, A27&lt;=50, 8, A27&lt;=70, 7, A27&lt;=90, 6, A27&lt;=110, 5, A27&lt;=124, 2, TRUE, "Ngoài phạm vi")</f>
        <v>12</v>
      </c>
      <c r="C27" s="117" t="s">
        <v>70</v>
      </c>
      <c r="D27" s="121">
        <f t="shared" si="1"/>
        <v>36</v>
      </c>
      <c r="E27" s="121">
        <f>_xlfn.XLOOKUP(C27,cancuoc!B:B, cancuoc!A:A, "")*2</f>
        <v>6</v>
      </c>
      <c r="F27" s="121">
        <f>_xlfn.XLOOKUP(C27,dinhdanh14!B:B, dinhdanh14!A:A, "")*2</f>
        <v>2</v>
      </c>
      <c r="G27" s="121">
        <f>_xlfn.XLOOKUP(C27,dinhdanh6!B:B, dinhdanh6!A:A, "")*2</f>
        <v>2</v>
      </c>
      <c r="H27" s="121">
        <f>_xlfn.XLOOKUP(C27,dinhdanhcq!B:B, dinhdanhcq!A:A, "")*2</f>
        <v>2</v>
      </c>
      <c r="I27" s="122">
        <f>_xlfn.XLOOKUP(C27,suckhoedientu!B:B, suckhoedientu!A:A, "")*2</f>
        <v>2</v>
      </c>
      <c r="J27" s="122">
        <f>_xlfn.XLOOKUP(C27,baohiemxahoi!B:B, baohiemxahoi!A:A, "")*2</f>
        <v>2</v>
      </c>
      <c r="K27" s="121">
        <f>_xlfn.XLOOKUP(C27,ansinhxahoi!B:B, ansinhxahoi!A:A, "")*2</f>
        <v>2</v>
      </c>
      <c r="L27" s="121">
        <f>_xlfn.XLOOKUP(C27,datdai!B:B, datdai!A:A, "")*2</f>
        <v>2</v>
      </c>
      <c r="M27" s="118">
        <f>_xlfn.XLOOKUP(C27,dvccc!B:B, dvccc!A:A, "")*2</f>
        <v>2</v>
      </c>
      <c r="N27" s="118">
        <f>_xlfn.XLOOKUP(C27,dvcct!B:B, dvcct!A:A, "")*2</f>
        <v>2</v>
      </c>
      <c r="O27" s="118">
        <f>_xlfn.XLOOKUP(C27,'ct10'!B:B, 'ct10'!A:A, "")*2</f>
        <v>2</v>
      </c>
      <c r="P27" s="118">
        <f>_xlfn.XLOOKUP(C27,hosocancuoc!B:B, hosocancuoc!A:A, "")*2</f>
        <v>2</v>
      </c>
      <c r="Q27" s="118">
        <f>_xlfn.XLOOKUP(C27,hosocutru!B:B, hosocutru!A:A, "")*2</f>
        <v>2</v>
      </c>
      <c r="R27" s="118">
        <f>_xlfn.XLOOKUP(C27,bdhvs!B:B, bdhvs!A:A, "")</f>
        <v>1</v>
      </c>
      <c r="S27" s="118">
        <f>_xlfn.XLOOKUP(C27,lamsachdc01!B:B, lamsachdc01!A:A, "")</f>
        <v>1</v>
      </c>
      <c r="T27" s="118">
        <f>_xlfn.XLOOKUP(C27,huyso!B:B, huyso!A:A, "")</f>
        <v>1</v>
      </c>
      <c r="U27" s="118">
        <f>_xlfn.XLOOKUP(C27,treem!B:B, treem!A:A, "")</f>
        <v>1</v>
      </c>
      <c r="V27" s="118">
        <f>_xlfn.XLOOKUP(C27,giaypheplaixe!B:B, giaypheplaixe!A:A, "")</f>
        <v>1</v>
      </c>
      <c r="W27" s="118">
        <f>_xlfn.XLOOKUP(C27,dangkyxe!B:B, dangkyxe!A:A, "")</f>
        <v>1</v>
      </c>
      <c r="X27" s="118"/>
    </row>
    <row r="28" spans="1:24" x14ac:dyDescent="0.3">
      <c r="A28" s="118">
        <f t="shared" si="0"/>
        <v>6</v>
      </c>
      <c r="B28" s="118" cm="1">
        <f t="array" ref="B28">_xlfn.IFS(A28&lt;=10, 12, A28&lt;=30, 9, A28&lt;=50, 8, A28&lt;=70, 7, A28&lt;=90, 6, A28&lt;=110, 5, A28&lt;=124, 2, TRUE, "Ngoài phạm vi")</f>
        <v>12</v>
      </c>
      <c r="C28" s="117" t="s">
        <v>116</v>
      </c>
      <c r="D28" s="121">
        <f t="shared" si="1"/>
        <v>36</v>
      </c>
      <c r="E28" s="121">
        <f>_xlfn.XLOOKUP(C28,cancuoc!B:B, cancuoc!A:A, "")*2</f>
        <v>6</v>
      </c>
      <c r="F28" s="121">
        <f>_xlfn.XLOOKUP(C28,dinhdanh14!B:B, dinhdanh14!A:A, "")*2</f>
        <v>2</v>
      </c>
      <c r="G28" s="121">
        <f>_xlfn.XLOOKUP(C28,dinhdanh6!B:B, dinhdanh6!A:A, "")*2</f>
        <v>2</v>
      </c>
      <c r="H28" s="121">
        <f>_xlfn.XLOOKUP(C28,dinhdanhcq!B:B, dinhdanhcq!A:A, "")*2</f>
        <v>2</v>
      </c>
      <c r="I28" s="122">
        <f>_xlfn.XLOOKUP(C28,suckhoedientu!B:B, suckhoedientu!A:A, "")*2</f>
        <v>2</v>
      </c>
      <c r="J28" s="122">
        <f>_xlfn.XLOOKUP(C28,baohiemxahoi!B:B, baohiemxahoi!A:A, "")*2</f>
        <v>2</v>
      </c>
      <c r="K28" s="121">
        <f>_xlfn.XLOOKUP(C28,ansinhxahoi!B:B, ansinhxahoi!A:A, "")*2</f>
        <v>2</v>
      </c>
      <c r="L28" s="121">
        <f>_xlfn.XLOOKUP(C28,datdai!B:B, datdai!A:A, "")*2</f>
        <v>2</v>
      </c>
      <c r="M28" s="118">
        <f>_xlfn.XLOOKUP(C28,dvccc!B:B, dvccc!A:A, "")*2</f>
        <v>2</v>
      </c>
      <c r="N28" s="118">
        <f>_xlfn.XLOOKUP(C28,dvcct!B:B, dvcct!A:A, "")*2</f>
        <v>2</v>
      </c>
      <c r="O28" s="118">
        <f>_xlfn.XLOOKUP(C28,'ct10'!B:B, 'ct10'!A:A, "")*2</f>
        <v>2</v>
      </c>
      <c r="P28" s="118">
        <f>_xlfn.XLOOKUP(C28,hosocancuoc!B:B, hosocancuoc!A:A, "")*2</f>
        <v>2</v>
      </c>
      <c r="Q28" s="118">
        <f>_xlfn.XLOOKUP(C28,hosocutru!B:B, hosocutru!A:A, "")*2</f>
        <v>2</v>
      </c>
      <c r="R28" s="118">
        <f>_xlfn.XLOOKUP(C28,bdhvs!B:B, bdhvs!A:A, "")</f>
        <v>1</v>
      </c>
      <c r="S28" s="118">
        <f>_xlfn.XLOOKUP(C28,lamsachdc01!B:B, lamsachdc01!A:A, "")</f>
        <v>1</v>
      </c>
      <c r="T28" s="118">
        <f>_xlfn.XLOOKUP(C28,huyso!B:B, huyso!A:A, "")</f>
        <v>1</v>
      </c>
      <c r="U28" s="118">
        <f>_xlfn.XLOOKUP(C28,treem!B:B, treem!A:A, "")</f>
        <v>1</v>
      </c>
      <c r="V28" s="118">
        <f>_xlfn.XLOOKUP(C28,giaypheplaixe!B:B, giaypheplaixe!A:A, "")</f>
        <v>1</v>
      </c>
      <c r="W28" s="118">
        <f>_xlfn.XLOOKUP(C28,dangkyxe!B:B, dangkyxe!A:A, "")</f>
        <v>1</v>
      </c>
      <c r="X28" s="118"/>
    </row>
    <row r="29" spans="1:24" x14ac:dyDescent="0.3">
      <c r="A29" s="118">
        <f t="shared" si="0"/>
        <v>6</v>
      </c>
      <c r="B29" s="118" cm="1">
        <f t="array" ref="B29">_xlfn.IFS(A29&lt;=10, 12, A29&lt;=30, 9, A29&lt;=50, 8, A29&lt;=70, 7, A29&lt;=90, 6, A29&lt;=110, 5, A29&lt;=124, 2, TRUE, "Ngoài phạm vi")</f>
        <v>12</v>
      </c>
      <c r="C29" s="117" t="s">
        <v>4</v>
      </c>
      <c r="D29" s="121">
        <f t="shared" si="1"/>
        <v>36</v>
      </c>
      <c r="E29" s="121">
        <f>_xlfn.XLOOKUP(C29,cancuoc!B:B, cancuoc!A:A, "")*2</f>
        <v>6</v>
      </c>
      <c r="F29" s="121">
        <f>_xlfn.XLOOKUP(C29,dinhdanh14!B:B, dinhdanh14!A:A, "")*2</f>
        <v>2</v>
      </c>
      <c r="G29" s="121">
        <f>_xlfn.XLOOKUP(C29,dinhdanh6!B:B, dinhdanh6!A:A, "")*2</f>
        <v>2</v>
      </c>
      <c r="H29" s="121">
        <f>_xlfn.XLOOKUP(C29,dinhdanhcq!B:B, dinhdanhcq!A:A, "")*2</f>
        <v>2</v>
      </c>
      <c r="I29" s="122">
        <f>_xlfn.XLOOKUP(C29,suckhoedientu!B:B, suckhoedientu!A:A, "")*2</f>
        <v>2</v>
      </c>
      <c r="J29" s="122">
        <f>_xlfn.XLOOKUP(C29,baohiemxahoi!B:B, baohiemxahoi!A:A, "")*2</f>
        <v>2</v>
      </c>
      <c r="K29" s="121">
        <f>_xlfn.XLOOKUP(C29,ansinhxahoi!B:B, ansinhxahoi!A:A, "")*2</f>
        <v>2</v>
      </c>
      <c r="L29" s="121">
        <f>_xlfn.XLOOKUP(C29,datdai!B:B, datdai!A:A, "")*2</f>
        <v>2</v>
      </c>
      <c r="M29" s="118">
        <f>_xlfn.XLOOKUP(C29,dvccc!B:B, dvccc!A:A, "")*2</f>
        <v>2</v>
      </c>
      <c r="N29" s="118">
        <f>_xlfn.XLOOKUP(C29,dvcct!B:B, dvcct!A:A, "")*2</f>
        <v>2</v>
      </c>
      <c r="O29" s="118">
        <f>_xlfn.XLOOKUP(C29,'ct10'!B:B, 'ct10'!A:A, "")*2</f>
        <v>2</v>
      </c>
      <c r="P29" s="118">
        <f>_xlfn.XLOOKUP(C29,hosocancuoc!B:B, hosocancuoc!A:A, "")*2</f>
        <v>2</v>
      </c>
      <c r="Q29" s="118">
        <f>_xlfn.XLOOKUP(C29,hosocutru!B:B, hosocutru!A:A, "")*2</f>
        <v>2</v>
      </c>
      <c r="R29" s="118">
        <f>_xlfn.XLOOKUP(C29,bdhvs!B:B, bdhvs!A:A, "")</f>
        <v>1</v>
      </c>
      <c r="S29" s="118">
        <f>_xlfn.XLOOKUP(C29,lamsachdc01!B:B, lamsachdc01!A:A, "")</f>
        <v>1</v>
      </c>
      <c r="T29" s="118">
        <f>_xlfn.XLOOKUP(C29,huyso!B:B, huyso!A:A, "")</f>
        <v>1</v>
      </c>
      <c r="U29" s="118">
        <f>_xlfn.XLOOKUP(C29,treem!B:B, treem!A:A, "")</f>
        <v>1</v>
      </c>
      <c r="V29" s="118">
        <f>_xlfn.XLOOKUP(C29,giaypheplaixe!B:B, giaypheplaixe!A:A, "")</f>
        <v>1</v>
      </c>
      <c r="W29" s="118">
        <f>_xlfn.XLOOKUP(C29,dangkyxe!B:B, dangkyxe!A:A, "")</f>
        <v>1</v>
      </c>
      <c r="X29" s="118"/>
    </row>
    <row r="30" spans="1:24" x14ac:dyDescent="0.3">
      <c r="A30" s="118">
        <f t="shared" si="0"/>
        <v>6</v>
      </c>
      <c r="B30" s="118" cm="1">
        <f t="array" ref="B30">_xlfn.IFS(A30&lt;=10, 12, A30&lt;=30, 9, A30&lt;=50, 8, A30&lt;=70, 7, A30&lt;=90, 6, A30&lt;=110, 5, A30&lt;=124, 2, TRUE, "Ngoài phạm vi")</f>
        <v>12</v>
      </c>
      <c r="C30" s="117" t="s">
        <v>58</v>
      </c>
      <c r="D30" s="121">
        <f t="shared" si="1"/>
        <v>36</v>
      </c>
      <c r="E30" s="121">
        <f>_xlfn.XLOOKUP(C30,cancuoc!B:B, cancuoc!A:A, "")*2</f>
        <v>6</v>
      </c>
      <c r="F30" s="121">
        <f>_xlfn.XLOOKUP(C30,dinhdanh14!B:B, dinhdanh14!A:A, "")*2</f>
        <v>2</v>
      </c>
      <c r="G30" s="121">
        <f>_xlfn.XLOOKUP(C30,dinhdanh6!B:B, dinhdanh6!A:A, "")*2</f>
        <v>2</v>
      </c>
      <c r="H30" s="121">
        <f>_xlfn.XLOOKUP(C30,dinhdanhcq!B:B, dinhdanhcq!A:A, "")*2</f>
        <v>2</v>
      </c>
      <c r="I30" s="122">
        <f>_xlfn.XLOOKUP(C30,suckhoedientu!B:B, suckhoedientu!A:A, "")*2</f>
        <v>2</v>
      </c>
      <c r="J30" s="122">
        <f>_xlfn.XLOOKUP(C30,baohiemxahoi!B:B, baohiemxahoi!A:A, "")*2</f>
        <v>2</v>
      </c>
      <c r="K30" s="121">
        <f>_xlfn.XLOOKUP(C30,ansinhxahoi!B:B, ansinhxahoi!A:A, "")*2</f>
        <v>2</v>
      </c>
      <c r="L30" s="121">
        <f>_xlfn.XLOOKUP(C30,datdai!B:B, datdai!A:A, "")*2</f>
        <v>2</v>
      </c>
      <c r="M30" s="118">
        <f>_xlfn.XLOOKUP(C30,dvccc!B:B, dvccc!A:A, "")*2</f>
        <v>2</v>
      </c>
      <c r="N30" s="118">
        <f>_xlfn.XLOOKUP(C30,dvcct!B:B, dvcct!A:A, "")*2</f>
        <v>2</v>
      </c>
      <c r="O30" s="118">
        <f>_xlfn.XLOOKUP(C30,'ct10'!B:B, 'ct10'!A:A, "")*2</f>
        <v>2</v>
      </c>
      <c r="P30" s="118">
        <f>_xlfn.XLOOKUP(C30,hosocancuoc!B:B, hosocancuoc!A:A, "")*2</f>
        <v>2</v>
      </c>
      <c r="Q30" s="118">
        <f>_xlfn.XLOOKUP(C30,hosocutru!B:B, hosocutru!A:A, "")*2</f>
        <v>2</v>
      </c>
      <c r="R30" s="118">
        <f>_xlfn.XLOOKUP(C30,bdhvs!B:B, bdhvs!A:A, "")</f>
        <v>1</v>
      </c>
      <c r="S30" s="118">
        <f>_xlfn.XLOOKUP(C30,lamsachdc01!B:B, lamsachdc01!A:A, "")</f>
        <v>1</v>
      </c>
      <c r="T30" s="118">
        <f>_xlfn.XLOOKUP(C30,huyso!B:B, huyso!A:A, "")</f>
        <v>1</v>
      </c>
      <c r="U30" s="118">
        <f>_xlfn.XLOOKUP(C30,treem!B:B, treem!A:A, "")</f>
        <v>1</v>
      </c>
      <c r="V30" s="118">
        <f>_xlfn.XLOOKUP(C30,giaypheplaixe!B:B, giaypheplaixe!A:A, "")</f>
        <v>1</v>
      </c>
      <c r="W30" s="118">
        <f>_xlfn.XLOOKUP(C30,dangkyxe!B:B, dangkyxe!A:A, "")</f>
        <v>1</v>
      </c>
      <c r="X30" s="118"/>
    </row>
    <row r="31" spans="1:24" x14ac:dyDescent="0.3">
      <c r="A31" s="118">
        <f t="shared" si="0"/>
        <v>6</v>
      </c>
      <c r="B31" s="118" cm="1">
        <f t="array" ref="B31">_xlfn.IFS(A31&lt;=10, 12, A31&lt;=30, 9, A31&lt;=50, 8, A31&lt;=70, 7, A31&lt;=90, 6, A31&lt;=110, 5, A31&lt;=124, 2, TRUE, "Ngoài phạm vi")</f>
        <v>12</v>
      </c>
      <c r="C31" s="117" t="s">
        <v>36</v>
      </c>
      <c r="D31" s="121">
        <f t="shared" si="1"/>
        <v>36</v>
      </c>
      <c r="E31" s="121">
        <f>_xlfn.XLOOKUP(C31,cancuoc!B:B, cancuoc!A:A, "")*2</f>
        <v>6</v>
      </c>
      <c r="F31" s="121">
        <f>_xlfn.XLOOKUP(C31,dinhdanh14!B:B, dinhdanh14!A:A, "")*2</f>
        <v>2</v>
      </c>
      <c r="G31" s="121">
        <f>_xlfn.XLOOKUP(C31,dinhdanh6!B:B, dinhdanh6!A:A, "")*2</f>
        <v>2</v>
      </c>
      <c r="H31" s="121">
        <f>_xlfn.XLOOKUP(C31,dinhdanhcq!B:B, dinhdanhcq!A:A, "")*2</f>
        <v>2</v>
      </c>
      <c r="I31" s="122">
        <f>_xlfn.XLOOKUP(C31,suckhoedientu!B:B, suckhoedientu!A:A, "")*2</f>
        <v>2</v>
      </c>
      <c r="J31" s="122">
        <f>_xlfn.XLOOKUP(C31,baohiemxahoi!B:B, baohiemxahoi!A:A, "")*2</f>
        <v>2</v>
      </c>
      <c r="K31" s="121">
        <f>_xlfn.XLOOKUP(C31,ansinhxahoi!B:B, ansinhxahoi!A:A, "")*2</f>
        <v>2</v>
      </c>
      <c r="L31" s="121">
        <f>_xlfn.XLOOKUP(C31,datdai!B:B, datdai!A:A, "")*2</f>
        <v>2</v>
      </c>
      <c r="M31" s="118">
        <f>_xlfn.XLOOKUP(C31,dvccc!B:B, dvccc!A:A, "")*2</f>
        <v>2</v>
      </c>
      <c r="N31" s="118">
        <f>_xlfn.XLOOKUP(C31,dvcct!B:B, dvcct!A:A, "")*2</f>
        <v>2</v>
      </c>
      <c r="O31" s="118">
        <f>_xlfn.XLOOKUP(C31,'ct10'!B:B, 'ct10'!A:A, "")*2</f>
        <v>2</v>
      </c>
      <c r="P31" s="118">
        <f>_xlfn.XLOOKUP(C31,hosocancuoc!B:B, hosocancuoc!A:A, "")*2</f>
        <v>2</v>
      </c>
      <c r="Q31" s="118">
        <f>_xlfn.XLOOKUP(C31,hosocutru!B:B, hosocutru!A:A, "")*2</f>
        <v>2</v>
      </c>
      <c r="R31" s="118">
        <f>_xlfn.XLOOKUP(C31,bdhvs!B:B, bdhvs!A:A, "")</f>
        <v>1</v>
      </c>
      <c r="S31" s="118">
        <f>_xlfn.XLOOKUP(C31,lamsachdc01!B:B, lamsachdc01!A:A, "")</f>
        <v>1</v>
      </c>
      <c r="T31" s="118">
        <f>_xlfn.XLOOKUP(C31,huyso!B:B, huyso!A:A, "")</f>
        <v>1</v>
      </c>
      <c r="U31" s="118">
        <f>_xlfn.XLOOKUP(C31,treem!B:B, treem!A:A, "")</f>
        <v>1</v>
      </c>
      <c r="V31" s="118">
        <f>_xlfn.XLOOKUP(C31,giaypheplaixe!B:B, giaypheplaixe!A:A, "")</f>
        <v>1</v>
      </c>
      <c r="W31" s="118">
        <f>_xlfn.XLOOKUP(C31,dangkyxe!B:B, dangkyxe!A:A, "")</f>
        <v>1</v>
      </c>
      <c r="X31" s="118"/>
    </row>
    <row r="32" spans="1:24" x14ac:dyDescent="0.3">
      <c r="A32" s="118">
        <f t="shared" si="0"/>
        <v>6</v>
      </c>
      <c r="B32" s="118" cm="1">
        <f t="array" ref="B32">_xlfn.IFS(A32&lt;=10, 12, A32&lt;=30, 9, A32&lt;=50, 8, A32&lt;=70, 7, A32&lt;=90, 6, A32&lt;=110, 5, A32&lt;=124, 2, TRUE, "Ngoài phạm vi")</f>
        <v>12</v>
      </c>
      <c r="C32" s="117" t="s">
        <v>78</v>
      </c>
      <c r="D32" s="121">
        <f t="shared" si="1"/>
        <v>36</v>
      </c>
      <c r="E32" s="121">
        <f>_xlfn.XLOOKUP(C32,cancuoc!B:B, cancuoc!A:A, "")*2</f>
        <v>6</v>
      </c>
      <c r="F32" s="121">
        <f>_xlfn.XLOOKUP(C32,dinhdanh14!B:B, dinhdanh14!A:A, "")*2</f>
        <v>2</v>
      </c>
      <c r="G32" s="121">
        <f>_xlfn.XLOOKUP(C32,dinhdanh6!B:B, dinhdanh6!A:A, "")*2</f>
        <v>2</v>
      </c>
      <c r="H32" s="121">
        <f>_xlfn.XLOOKUP(C32,dinhdanhcq!B:B, dinhdanhcq!A:A, "")*2</f>
        <v>2</v>
      </c>
      <c r="I32" s="122">
        <f>_xlfn.XLOOKUP(C32,suckhoedientu!B:B, suckhoedientu!A:A, "")*2</f>
        <v>2</v>
      </c>
      <c r="J32" s="122">
        <f>_xlfn.XLOOKUP(C32,baohiemxahoi!B:B, baohiemxahoi!A:A, "")*2</f>
        <v>2</v>
      </c>
      <c r="K32" s="121">
        <f>_xlfn.XLOOKUP(C32,ansinhxahoi!B:B, ansinhxahoi!A:A, "")*2</f>
        <v>2</v>
      </c>
      <c r="L32" s="121">
        <f>_xlfn.XLOOKUP(C32,datdai!B:B, datdai!A:A, "")*2</f>
        <v>2</v>
      </c>
      <c r="M32" s="118">
        <f>_xlfn.XLOOKUP(C32,dvccc!B:B, dvccc!A:A, "")*2</f>
        <v>2</v>
      </c>
      <c r="N32" s="118">
        <f>_xlfn.XLOOKUP(C32,dvcct!B:B, dvcct!A:A, "")*2</f>
        <v>2</v>
      </c>
      <c r="O32" s="118">
        <f>_xlfn.XLOOKUP(C32,'ct10'!B:B, 'ct10'!A:A, "")*2</f>
        <v>2</v>
      </c>
      <c r="P32" s="118">
        <f>_xlfn.XLOOKUP(C32,hosocancuoc!B:B, hosocancuoc!A:A, "")*2</f>
        <v>2</v>
      </c>
      <c r="Q32" s="118">
        <f>_xlfn.XLOOKUP(C32,hosocutru!B:B, hosocutru!A:A, "")*2</f>
        <v>2</v>
      </c>
      <c r="R32" s="118">
        <f>_xlfn.XLOOKUP(C32,bdhvs!B:B, bdhvs!A:A, "")</f>
        <v>1</v>
      </c>
      <c r="S32" s="118">
        <f>_xlfn.XLOOKUP(C32,lamsachdc01!B:B, lamsachdc01!A:A, "")</f>
        <v>1</v>
      </c>
      <c r="T32" s="118">
        <f>_xlfn.XLOOKUP(C32,huyso!B:B, huyso!A:A, "")</f>
        <v>1</v>
      </c>
      <c r="U32" s="118">
        <f>_xlfn.XLOOKUP(C32,treem!B:B, treem!A:A, "")</f>
        <v>1</v>
      </c>
      <c r="V32" s="118">
        <f>_xlfn.XLOOKUP(C32,giaypheplaixe!B:B, giaypheplaixe!A:A, "")</f>
        <v>1</v>
      </c>
      <c r="W32" s="118">
        <f>_xlfn.XLOOKUP(C32,dangkyxe!B:B, dangkyxe!A:A, "")</f>
        <v>1</v>
      </c>
      <c r="X32" s="118"/>
    </row>
    <row r="33" spans="1:24" x14ac:dyDescent="0.3">
      <c r="A33" s="118">
        <f t="shared" si="0"/>
        <v>6</v>
      </c>
      <c r="B33" s="118" cm="1">
        <f t="array" ref="B33">_xlfn.IFS(A33&lt;=10, 12, A33&lt;=30, 9, A33&lt;=50, 8, A33&lt;=70, 7, A33&lt;=90, 6, A33&lt;=110, 5, A33&lt;=124, 2, TRUE, "Ngoài phạm vi")</f>
        <v>12</v>
      </c>
      <c r="C33" s="117" t="s">
        <v>119</v>
      </c>
      <c r="D33" s="121">
        <f t="shared" si="1"/>
        <v>36</v>
      </c>
      <c r="E33" s="121">
        <f>_xlfn.XLOOKUP(C33,cancuoc!B:B, cancuoc!A:A, "")*2</f>
        <v>6</v>
      </c>
      <c r="F33" s="121">
        <f>_xlfn.XLOOKUP(C33,dinhdanh14!B:B, dinhdanh14!A:A, "")*2</f>
        <v>2</v>
      </c>
      <c r="G33" s="121">
        <f>_xlfn.XLOOKUP(C33,dinhdanh6!B:B, dinhdanh6!A:A, "")*2</f>
        <v>2</v>
      </c>
      <c r="H33" s="121">
        <f>_xlfn.XLOOKUP(C33,dinhdanhcq!B:B, dinhdanhcq!A:A, "")*2</f>
        <v>2</v>
      </c>
      <c r="I33" s="122">
        <f>_xlfn.XLOOKUP(C33,suckhoedientu!B:B, suckhoedientu!A:A, "")*2</f>
        <v>2</v>
      </c>
      <c r="J33" s="122">
        <f>_xlfn.XLOOKUP(C33,baohiemxahoi!B:B, baohiemxahoi!A:A, "")*2</f>
        <v>2</v>
      </c>
      <c r="K33" s="121">
        <f>_xlfn.XLOOKUP(C33,ansinhxahoi!B:B, ansinhxahoi!A:A, "")*2</f>
        <v>2</v>
      </c>
      <c r="L33" s="121">
        <f>_xlfn.XLOOKUP(C33,datdai!B:B, datdai!A:A, "")*2</f>
        <v>2</v>
      </c>
      <c r="M33" s="118">
        <f>_xlfn.XLOOKUP(C33,dvccc!B:B, dvccc!A:A, "")*2</f>
        <v>2</v>
      </c>
      <c r="N33" s="118">
        <f>_xlfn.XLOOKUP(C33,dvcct!B:B, dvcct!A:A, "")*2</f>
        <v>2</v>
      </c>
      <c r="O33" s="118">
        <f>_xlfn.XLOOKUP(C33,'ct10'!B:B, 'ct10'!A:A, "")*2</f>
        <v>2</v>
      </c>
      <c r="P33" s="118">
        <f>_xlfn.XLOOKUP(C33,hosocancuoc!B:B, hosocancuoc!A:A, "")*2</f>
        <v>2</v>
      </c>
      <c r="Q33" s="118">
        <f>_xlfn.XLOOKUP(C33,hosocutru!B:B, hosocutru!A:A, "")*2</f>
        <v>2</v>
      </c>
      <c r="R33" s="118">
        <f>_xlfn.XLOOKUP(C33,bdhvs!B:B, bdhvs!A:A, "")</f>
        <v>1</v>
      </c>
      <c r="S33" s="118">
        <f>_xlfn.XLOOKUP(C33,lamsachdc01!B:B, lamsachdc01!A:A, "")</f>
        <v>1</v>
      </c>
      <c r="T33" s="118">
        <f>_xlfn.XLOOKUP(C33,huyso!B:B, huyso!A:A, "")</f>
        <v>1</v>
      </c>
      <c r="U33" s="118">
        <f>_xlfn.XLOOKUP(C33,treem!B:B, treem!A:A, "")</f>
        <v>1</v>
      </c>
      <c r="V33" s="118">
        <f>_xlfn.XLOOKUP(C33,giaypheplaixe!B:B, giaypheplaixe!A:A, "")</f>
        <v>1</v>
      </c>
      <c r="W33" s="118">
        <f>_xlfn.XLOOKUP(C33,dangkyxe!B:B, dangkyxe!A:A, "")</f>
        <v>1</v>
      </c>
      <c r="X33" s="118"/>
    </row>
    <row r="34" spans="1:24" x14ac:dyDescent="0.3">
      <c r="A34" s="118">
        <f t="shared" si="0"/>
        <v>6</v>
      </c>
      <c r="B34" s="118" cm="1">
        <f t="array" ref="B34">_xlfn.IFS(A34&lt;=10, 12, A34&lt;=30, 9, A34&lt;=50, 8, A34&lt;=70, 7, A34&lt;=90, 6, A34&lt;=110, 5, A34&lt;=124, 2, TRUE, "Ngoài phạm vi")</f>
        <v>12</v>
      </c>
      <c r="C34" s="117" t="s">
        <v>68</v>
      </c>
      <c r="D34" s="121">
        <f t="shared" si="1"/>
        <v>36</v>
      </c>
      <c r="E34" s="121">
        <f>_xlfn.XLOOKUP(C34,cancuoc!B:B, cancuoc!A:A, "")*2</f>
        <v>6</v>
      </c>
      <c r="F34" s="121">
        <f>_xlfn.XLOOKUP(C34,dinhdanh14!B:B, dinhdanh14!A:A, "")*2</f>
        <v>2</v>
      </c>
      <c r="G34" s="121">
        <f>_xlfn.XLOOKUP(C34,dinhdanh6!B:B, dinhdanh6!A:A, "")*2</f>
        <v>2</v>
      </c>
      <c r="H34" s="121">
        <f>_xlfn.XLOOKUP(C34,dinhdanhcq!B:B, dinhdanhcq!A:A, "")*2</f>
        <v>2</v>
      </c>
      <c r="I34" s="122">
        <f>_xlfn.XLOOKUP(C34,suckhoedientu!B:B, suckhoedientu!A:A, "")*2</f>
        <v>2</v>
      </c>
      <c r="J34" s="122">
        <f>_xlfn.XLOOKUP(C34,baohiemxahoi!B:B, baohiemxahoi!A:A, "")*2</f>
        <v>2</v>
      </c>
      <c r="K34" s="121">
        <f>_xlfn.XLOOKUP(C34,ansinhxahoi!B:B, ansinhxahoi!A:A, "")*2</f>
        <v>2</v>
      </c>
      <c r="L34" s="121">
        <f>_xlfn.XLOOKUP(C34,datdai!B:B, datdai!A:A, "")*2</f>
        <v>2</v>
      </c>
      <c r="M34" s="118">
        <f>_xlfn.XLOOKUP(C34,dvccc!B:B, dvccc!A:A, "")*2</f>
        <v>2</v>
      </c>
      <c r="N34" s="118">
        <f>_xlfn.XLOOKUP(C34,dvcct!B:B, dvcct!A:A, "")*2</f>
        <v>2</v>
      </c>
      <c r="O34" s="118">
        <f>_xlfn.XLOOKUP(C34,'ct10'!B:B, 'ct10'!A:A, "")*2</f>
        <v>2</v>
      </c>
      <c r="P34" s="118">
        <f>_xlfn.XLOOKUP(C34,hosocancuoc!B:B, hosocancuoc!A:A, "")*2</f>
        <v>2</v>
      </c>
      <c r="Q34" s="118">
        <f>_xlfn.XLOOKUP(C34,hosocutru!B:B, hosocutru!A:A, "")*2</f>
        <v>2</v>
      </c>
      <c r="R34" s="118">
        <f>_xlfn.XLOOKUP(C34,bdhvs!B:B, bdhvs!A:A, "")</f>
        <v>1</v>
      </c>
      <c r="S34" s="118">
        <f>_xlfn.XLOOKUP(C34,lamsachdc01!B:B, lamsachdc01!A:A, "")</f>
        <v>1</v>
      </c>
      <c r="T34" s="118">
        <f>_xlfn.XLOOKUP(C34,huyso!B:B, huyso!A:A, "")</f>
        <v>1</v>
      </c>
      <c r="U34" s="118">
        <f>_xlfn.XLOOKUP(C34,treem!B:B, treem!A:A, "")</f>
        <v>1</v>
      </c>
      <c r="V34" s="118">
        <f>_xlfn.XLOOKUP(C34,giaypheplaixe!B:B, giaypheplaixe!A:A, "")</f>
        <v>1</v>
      </c>
      <c r="W34" s="118">
        <f>_xlfn.XLOOKUP(C34,dangkyxe!B:B, dangkyxe!A:A, "")</f>
        <v>1</v>
      </c>
      <c r="X34" s="118"/>
    </row>
    <row r="35" spans="1:24" x14ac:dyDescent="0.3">
      <c r="A35" s="118">
        <f t="shared" si="0"/>
        <v>6</v>
      </c>
      <c r="B35" s="118" cm="1">
        <f t="array" ref="B35">_xlfn.IFS(A35&lt;=10, 12, A35&lt;=30, 9, A35&lt;=50, 8, A35&lt;=70, 7, A35&lt;=90, 6, A35&lt;=110, 5, A35&lt;=124, 2, TRUE, "Ngoài phạm vi")</f>
        <v>12</v>
      </c>
      <c r="C35" s="117" t="s">
        <v>0</v>
      </c>
      <c r="D35" s="121">
        <f t="shared" si="1"/>
        <v>36</v>
      </c>
      <c r="E35" s="121">
        <f>_xlfn.XLOOKUP(C35,cancuoc!B:B, cancuoc!A:A, "")*2</f>
        <v>6</v>
      </c>
      <c r="F35" s="121">
        <f>_xlfn.XLOOKUP(C35,dinhdanh14!B:B, dinhdanh14!A:A, "")*2</f>
        <v>2</v>
      </c>
      <c r="G35" s="121">
        <f>_xlfn.XLOOKUP(C35,dinhdanh6!B:B, dinhdanh6!A:A, "")*2</f>
        <v>2</v>
      </c>
      <c r="H35" s="121">
        <f>_xlfn.XLOOKUP(C35,dinhdanhcq!B:B, dinhdanhcq!A:A, "")*2</f>
        <v>2</v>
      </c>
      <c r="I35" s="122">
        <f>_xlfn.XLOOKUP(C35,suckhoedientu!B:B, suckhoedientu!A:A, "")*2</f>
        <v>2</v>
      </c>
      <c r="J35" s="122">
        <f>_xlfn.XLOOKUP(C35,baohiemxahoi!B:B, baohiemxahoi!A:A, "")*2</f>
        <v>2</v>
      </c>
      <c r="K35" s="121">
        <f>_xlfn.XLOOKUP(C35,ansinhxahoi!B:B, ansinhxahoi!A:A, "")*2</f>
        <v>2</v>
      </c>
      <c r="L35" s="121">
        <f>_xlfn.XLOOKUP(C35,datdai!B:B, datdai!A:A, "")*2</f>
        <v>2</v>
      </c>
      <c r="M35" s="118">
        <f>_xlfn.XLOOKUP(C35,dvccc!B:B, dvccc!A:A, "")*2</f>
        <v>2</v>
      </c>
      <c r="N35" s="118">
        <f>_xlfn.XLOOKUP(C35,dvcct!B:B, dvcct!A:A, "")*2</f>
        <v>2</v>
      </c>
      <c r="O35" s="118">
        <f>_xlfn.XLOOKUP(C35,'ct10'!B:B, 'ct10'!A:A, "")*2</f>
        <v>2</v>
      </c>
      <c r="P35" s="118">
        <f>_xlfn.XLOOKUP(C35,hosocancuoc!B:B, hosocancuoc!A:A, "")*2</f>
        <v>2</v>
      </c>
      <c r="Q35" s="118">
        <f>_xlfn.XLOOKUP(C35,hosocutru!B:B, hosocutru!A:A, "")*2</f>
        <v>2</v>
      </c>
      <c r="R35" s="118">
        <f>_xlfn.XLOOKUP(C35,bdhvs!B:B, bdhvs!A:A, "")</f>
        <v>1</v>
      </c>
      <c r="S35" s="118">
        <f>_xlfn.XLOOKUP(C35,lamsachdc01!B:B, lamsachdc01!A:A, "")</f>
        <v>1</v>
      </c>
      <c r="T35" s="118">
        <f>_xlfn.XLOOKUP(C35,huyso!B:B, huyso!A:A, "")</f>
        <v>1</v>
      </c>
      <c r="U35" s="118">
        <f>_xlfn.XLOOKUP(C35,treem!B:B, treem!A:A, "")</f>
        <v>1</v>
      </c>
      <c r="V35" s="118">
        <f>_xlfn.XLOOKUP(C35,giaypheplaixe!B:B, giaypheplaixe!A:A, "")</f>
        <v>1</v>
      </c>
      <c r="W35" s="118">
        <f>_xlfn.XLOOKUP(C35,dangkyxe!B:B, dangkyxe!A:A, "")</f>
        <v>1</v>
      </c>
      <c r="X35" s="118"/>
    </row>
    <row r="36" spans="1:24" x14ac:dyDescent="0.3">
      <c r="A36" s="118">
        <f t="shared" si="0"/>
        <v>6</v>
      </c>
      <c r="B36" s="118" cm="1">
        <f t="array" ref="B36">_xlfn.IFS(A36&lt;=10, 12, A36&lt;=30, 9, A36&lt;=50, 8, A36&lt;=70, 7, A36&lt;=90, 6, A36&lt;=110, 5, A36&lt;=124, 2, TRUE, "Ngoài phạm vi")</f>
        <v>12</v>
      </c>
      <c r="C36" s="117" t="s">
        <v>21</v>
      </c>
      <c r="D36" s="121">
        <f t="shared" si="1"/>
        <v>36</v>
      </c>
      <c r="E36" s="121">
        <f>_xlfn.XLOOKUP(C36,cancuoc!B:B, cancuoc!A:A, "")*2</f>
        <v>6</v>
      </c>
      <c r="F36" s="121">
        <f>_xlfn.XLOOKUP(C36,dinhdanh14!B:B, dinhdanh14!A:A, "")*2</f>
        <v>2</v>
      </c>
      <c r="G36" s="121">
        <f>_xlfn.XLOOKUP(C36,dinhdanh6!B:B, dinhdanh6!A:A, "")*2</f>
        <v>2</v>
      </c>
      <c r="H36" s="121">
        <f>_xlfn.XLOOKUP(C36,dinhdanhcq!B:B, dinhdanhcq!A:A, "")*2</f>
        <v>2</v>
      </c>
      <c r="I36" s="122">
        <f>_xlfn.XLOOKUP(C36,suckhoedientu!B:B, suckhoedientu!A:A, "")*2</f>
        <v>2</v>
      </c>
      <c r="J36" s="122">
        <f>_xlfn.XLOOKUP(C36,baohiemxahoi!B:B, baohiemxahoi!A:A, "")*2</f>
        <v>2</v>
      </c>
      <c r="K36" s="121">
        <f>_xlfn.XLOOKUP(C36,ansinhxahoi!B:B, ansinhxahoi!A:A, "")*2</f>
        <v>2</v>
      </c>
      <c r="L36" s="121">
        <f>_xlfn.XLOOKUP(C36,datdai!B:B, datdai!A:A, "")*2</f>
        <v>2</v>
      </c>
      <c r="M36" s="118">
        <f>_xlfn.XLOOKUP(C36,dvccc!B:B, dvccc!A:A, "")*2</f>
        <v>2</v>
      </c>
      <c r="N36" s="118">
        <f>_xlfn.XLOOKUP(C36,dvcct!B:B, dvcct!A:A, "")*2</f>
        <v>2</v>
      </c>
      <c r="O36" s="118">
        <f>_xlfn.XLOOKUP(C36,'ct10'!B:B, 'ct10'!A:A, "")*2</f>
        <v>2</v>
      </c>
      <c r="P36" s="118">
        <f>_xlfn.XLOOKUP(C36,hosocancuoc!B:B, hosocancuoc!A:A, "")*2</f>
        <v>2</v>
      </c>
      <c r="Q36" s="118">
        <f>_xlfn.XLOOKUP(C36,hosocutru!B:B, hosocutru!A:A, "")*2</f>
        <v>2</v>
      </c>
      <c r="R36" s="118">
        <f>_xlfn.XLOOKUP(C36,bdhvs!B:B, bdhvs!A:A, "")</f>
        <v>1</v>
      </c>
      <c r="S36" s="118">
        <f>_xlfn.XLOOKUP(C36,lamsachdc01!B:B, lamsachdc01!A:A, "")</f>
        <v>1</v>
      </c>
      <c r="T36" s="118">
        <f>_xlfn.XLOOKUP(C36,huyso!B:B, huyso!A:A, "")</f>
        <v>1</v>
      </c>
      <c r="U36" s="118">
        <f>_xlfn.XLOOKUP(C36,treem!B:B, treem!A:A, "")</f>
        <v>1</v>
      </c>
      <c r="V36" s="118">
        <f>_xlfn.XLOOKUP(C36,giaypheplaixe!B:B, giaypheplaixe!A:A, "")</f>
        <v>1</v>
      </c>
      <c r="W36" s="118">
        <f>_xlfn.XLOOKUP(C36,dangkyxe!B:B, dangkyxe!A:A, "")</f>
        <v>1</v>
      </c>
      <c r="X36" s="118"/>
    </row>
    <row r="37" spans="1:24" x14ac:dyDescent="0.3">
      <c r="A37" s="118">
        <f t="shared" si="0"/>
        <v>6</v>
      </c>
      <c r="B37" s="118" cm="1">
        <f t="array" ref="B37">_xlfn.IFS(A37&lt;=10, 12, A37&lt;=30, 9, A37&lt;=50, 8, A37&lt;=70, 7, A37&lt;=90, 6, A37&lt;=110, 5, A37&lt;=124, 2, TRUE, "Ngoài phạm vi")</f>
        <v>12</v>
      </c>
      <c r="C37" s="117" t="s">
        <v>102</v>
      </c>
      <c r="D37" s="121">
        <f t="shared" si="1"/>
        <v>36</v>
      </c>
      <c r="E37" s="121">
        <f>_xlfn.XLOOKUP(C37,cancuoc!B:B, cancuoc!A:A, "")*2</f>
        <v>6</v>
      </c>
      <c r="F37" s="121">
        <f>_xlfn.XLOOKUP(C37,dinhdanh14!B:B, dinhdanh14!A:A, "")*2</f>
        <v>2</v>
      </c>
      <c r="G37" s="121">
        <f>_xlfn.XLOOKUP(C37,dinhdanh6!B:B, dinhdanh6!A:A, "")*2</f>
        <v>2</v>
      </c>
      <c r="H37" s="121">
        <f>_xlfn.XLOOKUP(C37,dinhdanhcq!B:B, dinhdanhcq!A:A, "")*2</f>
        <v>2</v>
      </c>
      <c r="I37" s="122">
        <f>_xlfn.XLOOKUP(C37,suckhoedientu!B:B, suckhoedientu!A:A, "")*2</f>
        <v>2</v>
      </c>
      <c r="J37" s="122">
        <f>_xlfn.XLOOKUP(C37,baohiemxahoi!B:B, baohiemxahoi!A:A, "")*2</f>
        <v>2</v>
      </c>
      <c r="K37" s="121">
        <f>_xlfn.XLOOKUP(C37,ansinhxahoi!B:B, ansinhxahoi!A:A, "")*2</f>
        <v>2</v>
      </c>
      <c r="L37" s="121">
        <f>_xlfn.XLOOKUP(C37,datdai!B:B, datdai!A:A, "")*2</f>
        <v>2</v>
      </c>
      <c r="M37" s="118">
        <f>_xlfn.XLOOKUP(C37,dvccc!B:B, dvccc!A:A, "")*2</f>
        <v>2</v>
      </c>
      <c r="N37" s="118">
        <f>_xlfn.XLOOKUP(C37,dvcct!B:B, dvcct!A:A, "")*2</f>
        <v>2</v>
      </c>
      <c r="O37" s="118">
        <f>_xlfn.XLOOKUP(C37,'ct10'!B:B, 'ct10'!A:A, "")*2</f>
        <v>2</v>
      </c>
      <c r="P37" s="118">
        <f>_xlfn.XLOOKUP(C37,hosocancuoc!B:B, hosocancuoc!A:A, "")*2</f>
        <v>2</v>
      </c>
      <c r="Q37" s="118">
        <f>_xlfn.XLOOKUP(C37,hosocutru!B:B, hosocutru!A:A, "")*2</f>
        <v>2</v>
      </c>
      <c r="R37" s="118">
        <f>_xlfn.XLOOKUP(C37,bdhvs!B:B, bdhvs!A:A, "")</f>
        <v>1</v>
      </c>
      <c r="S37" s="118">
        <f>_xlfn.XLOOKUP(C37,lamsachdc01!B:B, lamsachdc01!A:A, "")</f>
        <v>1</v>
      </c>
      <c r="T37" s="118">
        <f>_xlfn.XLOOKUP(C37,huyso!B:B, huyso!A:A, "")</f>
        <v>1</v>
      </c>
      <c r="U37" s="118">
        <f>_xlfn.XLOOKUP(C37,treem!B:B, treem!A:A, "")</f>
        <v>1</v>
      </c>
      <c r="V37" s="118">
        <f>_xlfn.XLOOKUP(C37,giaypheplaixe!B:B, giaypheplaixe!A:A, "")</f>
        <v>1</v>
      </c>
      <c r="W37" s="118">
        <f>_xlfn.XLOOKUP(C37,dangkyxe!B:B, dangkyxe!A:A, "")</f>
        <v>1</v>
      </c>
      <c r="X37" s="118"/>
    </row>
    <row r="38" spans="1:24" x14ac:dyDescent="0.3">
      <c r="A38" s="118">
        <f t="shared" ref="A38:A69" si="2">_xlfn.RANK.EQ(D38,$D$6:$D$129,1)</f>
        <v>6</v>
      </c>
      <c r="B38" s="118" cm="1">
        <f t="array" ref="B38">_xlfn.IFS(A38&lt;=10, 12, A38&lt;=30, 9, A38&lt;=50, 8, A38&lt;=70, 7, A38&lt;=90, 6, A38&lt;=110, 5, A38&lt;=124, 2, TRUE, "Ngoài phạm vi")</f>
        <v>12</v>
      </c>
      <c r="C38" s="117" t="s">
        <v>29</v>
      </c>
      <c r="D38" s="121">
        <f t="shared" si="1"/>
        <v>36</v>
      </c>
      <c r="E38" s="121">
        <f>_xlfn.XLOOKUP(C38,cancuoc!B:B, cancuoc!A:A, "")*2</f>
        <v>6</v>
      </c>
      <c r="F38" s="121">
        <f>_xlfn.XLOOKUP(C38,dinhdanh14!B:B, dinhdanh14!A:A, "")*2</f>
        <v>2</v>
      </c>
      <c r="G38" s="121">
        <f>_xlfn.XLOOKUP(C38,dinhdanh6!B:B, dinhdanh6!A:A, "")*2</f>
        <v>2</v>
      </c>
      <c r="H38" s="121">
        <f>_xlfn.XLOOKUP(C38,dinhdanhcq!B:B, dinhdanhcq!A:A, "")*2</f>
        <v>2</v>
      </c>
      <c r="I38" s="122">
        <f>_xlfn.XLOOKUP(C38,suckhoedientu!B:B, suckhoedientu!A:A, "")*2</f>
        <v>2</v>
      </c>
      <c r="J38" s="122">
        <f>_xlfn.XLOOKUP(C38,baohiemxahoi!B:B, baohiemxahoi!A:A, "")*2</f>
        <v>2</v>
      </c>
      <c r="K38" s="121">
        <f>_xlfn.XLOOKUP(C38,ansinhxahoi!B:B, ansinhxahoi!A:A, "")*2</f>
        <v>2</v>
      </c>
      <c r="L38" s="121">
        <f>_xlfn.XLOOKUP(C38,datdai!B:B, datdai!A:A, "")*2</f>
        <v>2</v>
      </c>
      <c r="M38" s="118">
        <f>_xlfn.XLOOKUP(C38,dvccc!B:B, dvccc!A:A, "")*2</f>
        <v>2</v>
      </c>
      <c r="N38" s="118">
        <f>_xlfn.XLOOKUP(C38,dvcct!B:B, dvcct!A:A, "")*2</f>
        <v>2</v>
      </c>
      <c r="O38" s="118">
        <f>_xlfn.XLOOKUP(C38,'ct10'!B:B, 'ct10'!A:A, "")*2</f>
        <v>2</v>
      </c>
      <c r="P38" s="118">
        <f>_xlfn.XLOOKUP(C38,hosocancuoc!B:B, hosocancuoc!A:A, "")*2</f>
        <v>2</v>
      </c>
      <c r="Q38" s="118">
        <f>_xlfn.XLOOKUP(C38,hosocutru!B:B, hosocutru!A:A, "")*2</f>
        <v>2</v>
      </c>
      <c r="R38" s="118">
        <f>_xlfn.XLOOKUP(C38,bdhvs!B:B, bdhvs!A:A, "")</f>
        <v>1</v>
      </c>
      <c r="S38" s="118">
        <f>_xlfn.XLOOKUP(C38,lamsachdc01!B:B, lamsachdc01!A:A, "")</f>
        <v>1</v>
      </c>
      <c r="T38" s="118">
        <f>_xlfn.XLOOKUP(C38,huyso!B:B, huyso!A:A, "")</f>
        <v>1</v>
      </c>
      <c r="U38" s="118">
        <f>_xlfn.XLOOKUP(C38,treem!B:B, treem!A:A, "")</f>
        <v>1</v>
      </c>
      <c r="V38" s="118">
        <f>_xlfn.XLOOKUP(C38,giaypheplaixe!B:B, giaypheplaixe!A:A, "")</f>
        <v>1</v>
      </c>
      <c r="W38" s="118">
        <f>_xlfn.XLOOKUP(C38,dangkyxe!B:B, dangkyxe!A:A, "")</f>
        <v>1</v>
      </c>
      <c r="X38" s="118"/>
    </row>
    <row r="39" spans="1:24" x14ac:dyDescent="0.3">
      <c r="A39" s="118">
        <f t="shared" si="2"/>
        <v>6</v>
      </c>
      <c r="B39" s="118" cm="1">
        <f t="array" ref="B39">_xlfn.IFS(A39&lt;=10, 12, A39&lt;=30, 9, A39&lt;=50, 8, A39&lt;=70, 7, A39&lt;=90, 6, A39&lt;=110, 5, A39&lt;=124, 2, TRUE, "Ngoài phạm vi")</f>
        <v>12</v>
      </c>
      <c r="C39" s="117" t="s">
        <v>38</v>
      </c>
      <c r="D39" s="121">
        <f t="shared" si="1"/>
        <v>36</v>
      </c>
      <c r="E39" s="121">
        <f>_xlfn.XLOOKUP(C39,cancuoc!B:B, cancuoc!A:A, "")*2</f>
        <v>6</v>
      </c>
      <c r="F39" s="121">
        <f>_xlfn.XLOOKUP(C39,dinhdanh14!B:B, dinhdanh14!A:A, "")*2</f>
        <v>2</v>
      </c>
      <c r="G39" s="121">
        <f>_xlfn.XLOOKUP(C39,dinhdanh6!B:B, dinhdanh6!A:A, "")*2</f>
        <v>2</v>
      </c>
      <c r="H39" s="121">
        <f>_xlfn.XLOOKUP(C39,dinhdanhcq!B:B, dinhdanhcq!A:A, "")*2</f>
        <v>2</v>
      </c>
      <c r="I39" s="122">
        <f>_xlfn.XLOOKUP(C39,suckhoedientu!B:B, suckhoedientu!A:A, "")*2</f>
        <v>2</v>
      </c>
      <c r="J39" s="122">
        <f>_xlfn.XLOOKUP(C39,baohiemxahoi!B:B, baohiemxahoi!A:A, "")*2</f>
        <v>2</v>
      </c>
      <c r="K39" s="121">
        <f>_xlfn.XLOOKUP(C39,ansinhxahoi!B:B, ansinhxahoi!A:A, "")*2</f>
        <v>2</v>
      </c>
      <c r="L39" s="121">
        <f>_xlfn.XLOOKUP(C39,datdai!B:B, datdai!A:A, "")*2</f>
        <v>2</v>
      </c>
      <c r="M39" s="118">
        <f>_xlfn.XLOOKUP(C39,dvccc!B:B, dvccc!A:A, "")*2</f>
        <v>2</v>
      </c>
      <c r="N39" s="118">
        <f>_xlfn.XLOOKUP(C39,dvcct!B:B, dvcct!A:A, "")*2</f>
        <v>2</v>
      </c>
      <c r="O39" s="118">
        <f>_xlfn.XLOOKUP(C39,'ct10'!B:B, 'ct10'!A:A, "")*2</f>
        <v>2</v>
      </c>
      <c r="P39" s="118">
        <f>_xlfn.XLOOKUP(C39,hosocancuoc!B:B, hosocancuoc!A:A, "")*2</f>
        <v>2</v>
      </c>
      <c r="Q39" s="118">
        <f>_xlfn.XLOOKUP(C39,hosocutru!B:B, hosocutru!A:A, "")*2</f>
        <v>2</v>
      </c>
      <c r="R39" s="118">
        <f>_xlfn.XLOOKUP(C39,bdhvs!B:B, bdhvs!A:A, "")</f>
        <v>1</v>
      </c>
      <c r="S39" s="118">
        <f>_xlfn.XLOOKUP(C39,lamsachdc01!B:B, lamsachdc01!A:A, "")</f>
        <v>1</v>
      </c>
      <c r="T39" s="118">
        <f>_xlfn.XLOOKUP(C39,huyso!B:B, huyso!A:A, "")</f>
        <v>1</v>
      </c>
      <c r="U39" s="118">
        <f>_xlfn.XLOOKUP(C39,treem!B:B, treem!A:A, "")</f>
        <v>1</v>
      </c>
      <c r="V39" s="118">
        <f>_xlfn.XLOOKUP(C39,giaypheplaixe!B:B, giaypheplaixe!A:A, "")</f>
        <v>1</v>
      </c>
      <c r="W39" s="118">
        <f>_xlfn.XLOOKUP(C39,dangkyxe!B:B, dangkyxe!A:A, "")</f>
        <v>1</v>
      </c>
      <c r="X39" s="118"/>
    </row>
    <row r="40" spans="1:24" x14ac:dyDescent="0.3">
      <c r="A40" s="118">
        <f t="shared" si="2"/>
        <v>6</v>
      </c>
      <c r="B40" s="118" cm="1">
        <f t="array" ref="B40">_xlfn.IFS(A40&lt;=10, 12, A40&lt;=30, 9, A40&lt;=50, 8, A40&lt;=70, 7, A40&lt;=90, 6, A40&lt;=110, 5, A40&lt;=124, 2, TRUE, "Ngoài phạm vi")</f>
        <v>12</v>
      </c>
      <c r="C40" s="123" t="s">
        <v>69</v>
      </c>
      <c r="D40" s="121">
        <f t="shared" si="1"/>
        <v>36</v>
      </c>
      <c r="E40" s="121">
        <f>_xlfn.XLOOKUP(C40,cancuoc!B:B, cancuoc!A:A, "")*2</f>
        <v>6</v>
      </c>
      <c r="F40" s="121">
        <f>_xlfn.XLOOKUP(C40,dinhdanh14!B:B, dinhdanh14!A:A, "")*2</f>
        <v>2</v>
      </c>
      <c r="G40" s="121">
        <f>_xlfn.XLOOKUP(C40,dinhdanh6!B:B, dinhdanh6!A:A, "")*2</f>
        <v>2</v>
      </c>
      <c r="H40" s="121">
        <f>_xlfn.XLOOKUP(C40,dinhdanhcq!B:B, dinhdanhcq!A:A, "")*2</f>
        <v>2</v>
      </c>
      <c r="I40" s="122">
        <f>_xlfn.XLOOKUP(C40,suckhoedientu!B:B, suckhoedientu!A:A, "")*2</f>
        <v>2</v>
      </c>
      <c r="J40" s="122">
        <f>_xlfn.XLOOKUP(C40,baohiemxahoi!B:B, baohiemxahoi!A:A, "")*2</f>
        <v>2</v>
      </c>
      <c r="K40" s="121">
        <f>_xlfn.XLOOKUP(C40,ansinhxahoi!B:B, ansinhxahoi!A:A, "")*2</f>
        <v>2</v>
      </c>
      <c r="L40" s="121">
        <f>_xlfn.XLOOKUP(C40,datdai!B:B, datdai!A:A, "")*2</f>
        <v>2</v>
      </c>
      <c r="M40" s="118">
        <f>_xlfn.XLOOKUP(C40,dvccc!B:B, dvccc!A:A, "")*2</f>
        <v>2</v>
      </c>
      <c r="N40" s="118">
        <f>_xlfn.XLOOKUP(C40,dvcct!B:B, dvcct!A:A, "")*2</f>
        <v>2</v>
      </c>
      <c r="O40" s="118">
        <f>_xlfn.XLOOKUP(C40,'ct10'!B:B, 'ct10'!A:A, "")*2</f>
        <v>2</v>
      </c>
      <c r="P40" s="118">
        <f>_xlfn.XLOOKUP(C40,hosocancuoc!B:B, hosocancuoc!A:A, "")*2</f>
        <v>2</v>
      </c>
      <c r="Q40" s="118">
        <f>_xlfn.XLOOKUP(C40,hosocutru!B:B, hosocutru!A:A, "")*2</f>
        <v>2</v>
      </c>
      <c r="R40" s="118">
        <f>_xlfn.XLOOKUP(C40,bdhvs!B:B, bdhvs!A:A, "")</f>
        <v>1</v>
      </c>
      <c r="S40" s="118">
        <f>_xlfn.XLOOKUP(C40,lamsachdc01!B:B, lamsachdc01!A:A, "")</f>
        <v>1</v>
      </c>
      <c r="T40" s="118">
        <f>_xlfn.XLOOKUP(C40,huyso!B:B, huyso!A:A, "")</f>
        <v>1</v>
      </c>
      <c r="U40" s="118">
        <f>_xlfn.XLOOKUP(C40,treem!B:B, treem!A:A, "")</f>
        <v>1</v>
      </c>
      <c r="V40" s="118">
        <f>_xlfn.XLOOKUP(C40,giaypheplaixe!B:B, giaypheplaixe!A:A, "")</f>
        <v>1</v>
      </c>
      <c r="W40" s="118">
        <f>_xlfn.XLOOKUP(C40,dangkyxe!B:B, dangkyxe!A:A, "")</f>
        <v>1</v>
      </c>
      <c r="X40" s="118"/>
    </row>
    <row r="41" spans="1:24" x14ac:dyDescent="0.3">
      <c r="A41" s="118">
        <f t="shared" si="2"/>
        <v>6</v>
      </c>
      <c r="B41" s="118" cm="1">
        <f t="array" ref="B41">_xlfn.IFS(A41&lt;=10, 12, A41&lt;=30, 9, A41&lt;=50, 8, A41&lt;=70, 7, A41&lt;=90, 6, A41&lt;=110, 5, A41&lt;=124, 2, TRUE, "Ngoài phạm vi")</f>
        <v>12</v>
      </c>
      <c r="C41" s="117" t="s">
        <v>93</v>
      </c>
      <c r="D41" s="121">
        <f t="shared" si="1"/>
        <v>36</v>
      </c>
      <c r="E41" s="121">
        <f>_xlfn.XLOOKUP(C41,cancuoc!B:B, cancuoc!A:A, "")*2</f>
        <v>6</v>
      </c>
      <c r="F41" s="121">
        <f>_xlfn.XLOOKUP(C41,dinhdanh14!B:B, dinhdanh14!A:A, "")*2</f>
        <v>2</v>
      </c>
      <c r="G41" s="121">
        <f>_xlfn.XLOOKUP(C41,dinhdanh6!B:B, dinhdanh6!A:A, "")*2</f>
        <v>2</v>
      </c>
      <c r="H41" s="121">
        <f>_xlfn.XLOOKUP(C41,dinhdanhcq!B:B, dinhdanhcq!A:A, "")*2</f>
        <v>2</v>
      </c>
      <c r="I41" s="122">
        <f>_xlfn.XLOOKUP(C41,suckhoedientu!B:B, suckhoedientu!A:A, "")*2</f>
        <v>2</v>
      </c>
      <c r="J41" s="122">
        <f>_xlfn.XLOOKUP(C41,baohiemxahoi!B:B, baohiemxahoi!A:A, "")*2</f>
        <v>2</v>
      </c>
      <c r="K41" s="121">
        <f>_xlfn.XLOOKUP(C41,ansinhxahoi!B:B, ansinhxahoi!A:A, "")*2</f>
        <v>2</v>
      </c>
      <c r="L41" s="121">
        <f>_xlfn.XLOOKUP(C41,datdai!B:B, datdai!A:A, "")*2</f>
        <v>2</v>
      </c>
      <c r="M41" s="118">
        <f>_xlfn.XLOOKUP(C41,dvccc!B:B, dvccc!A:A, "")*2</f>
        <v>2</v>
      </c>
      <c r="N41" s="118">
        <f>_xlfn.XLOOKUP(C41,dvcct!B:B, dvcct!A:A, "")*2</f>
        <v>2</v>
      </c>
      <c r="O41" s="118">
        <f>_xlfn.XLOOKUP(C41,'ct10'!B:B, 'ct10'!A:A, "")*2</f>
        <v>2</v>
      </c>
      <c r="P41" s="118">
        <f>_xlfn.XLOOKUP(C41,hosocancuoc!B:B, hosocancuoc!A:A, "")*2</f>
        <v>2</v>
      </c>
      <c r="Q41" s="118">
        <f>_xlfn.XLOOKUP(C41,hosocutru!B:B, hosocutru!A:A, "")*2</f>
        <v>2</v>
      </c>
      <c r="R41" s="118">
        <f>_xlfn.XLOOKUP(C41,bdhvs!B:B, bdhvs!A:A, "")</f>
        <v>1</v>
      </c>
      <c r="S41" s="118">
        <f>_xlfn.XLOOKUP(C41,lamsachdc01!B:B, lamsachdc01!A:A, "")</f>
        <v>1</v>
      </c>
      <c r="T41" s="118">
        <f>_xlfn.XLOOKUP(C41,huyso!B:B, huyso!A:A, "")</f>
        <v>1</v>
      </c>
      <c r="U41" s="118">
        <f>_xlfn.XLOOKUP(C41,treem!B:B, treem!A:A, "")</f>
        <v>1</v>
      </c>
      <c r="V41" s="118">
        <f>_xlfn.XLOOKUP(C41,giaypheplaixe!B:B, giaypheplaixe!A:A, "")</f>
        <v>1</v>
      </c>
      <c r="W41" s="118">
        <f>_xlfn.XLOOKUP(C41,dangkyxe!B:B, dangkyxe!A:A, "")</f>
        <v>1</v>
      </c>
      <c r="X41" s="118"/>
    </row>
    <row r="42" spans="1:24" x14ac:dyDescent="0.3">
      <c r="A42" s="118">
        <f t="shared" si="2"/>
        <v>6</v>
      </c>
      <c r="B42" s="118" cm="1">
        <f t="array" ref="B42">_xlfn.IFS(A42&lt;=10, 12, A42&lt;=30, 9, A42&lt;=50, 8, A42&lt;=70, 7, A42&lt;=90, 6, A42&lt;=110, 5, A42&lt;=124, 2, TRUE, "Ngoài phạm vi")</f>
        <v>12</v>
      </c>
      <c r="C42" s="117" t="s">
        <v>65</v>
      </c>
      <c r="D42" s="121">
        <f t="shared" si="1"/>
        <v>36</v>
      </c>
      <c r="E42" s="121">
        <f>_xlfn.XLOOKUP(C42,cancuoc!B:B, cancuoc!A:A, "")*2</f>
        <v>6</v>
      </c>
      <c r="F42" s="121">
        <f>_xlfn.XLOOKUP(C42,dinhdanh14!B:B, dinhdanh14!A:A, "")*2</f>
        <v>2</v>
      </c>
      <c r="G42" s="121">
        <f>_xlfn.XLOOKUP(C42,dinhdanh6!B:B, dinhdanh6!A:A, "")*2</f>
        <v>2</v>
      </c>
      <c r="H42" s="121">
        <f>_xlfn.XLOOKUP(C42,dinhdanhcq!B:B, dinhdanhcq!A:A, "")*2</f>
        <v>2</v>
      </c>
      <c r="I42" s="122">
        <f>_xlfn.XLOOKUP(C42,suckhoedientu!B:B, suckhoedientu!A:A, "")*2</f>
        <v>2</v>
      </c>
      <c r="J42" s="122">
        <f>_xlfn.XLOOKUP(C42,baohiemxahoi!B:B, baohiemxahoi!A:A, "")*2</f>
        <v>2</v>
      </c>
      <c r="K42" s="121">
        <f>_xlfn.XLOOKUP(C42,ansinhxahoi!B:B, ansinhxahoi!A:A, "")*2</f>
        <v>2</v>
      </c>
      <c r="L42" s="121">
        <f>_xlfn.XLOOKUP(C42,datdai!B:B, datdai!A:A, "")*2</f>
        <v>2</v>
      </c>
      <c r="M42" s="118">
        <f>_xlfn.XLOOKUP(C42,dvccc!B:B, dvccc!A:A, "")*2</f>
        <v>2</v>
      </c>
      <c r="N42" s="118">
        <f>_xlfn.XLOOKUP(C42,dvcct!B:B, dvcct!A:A, "")*2</f>
        <v>2</v>
      </c>
      <c r="O42" s="118">
        <f>_xlfn.XLOOKUP(C42,'ct10'!B:B, 'ct10'!A:A, "")*2</f>
        <v>2</v>
      </c>
      <c r="P42" s="118">
        <f>_xlfn.XLOOKUP(C42,hosocancuoc!B:B, hosocancuoc!A:A, "")*2</f>
        <v>2</v>
      </c>
      <c r="Q42" s="118">
        <f>_xlfn.XLOOKUP(C42,hosocutru!B:B, hosocutru!A:A, "")*2</f>
        <v>2</v>
      </c>
      <c r="R42" s="118">
        <f>_xlfn.XLOOKUP(C42,bdhvs!B:B, bdhvs!A:A, "")</f>
        <v>1</v>
      </c>
      <c r="S42" s="118">
        <f>_xlfn.XLOOKUP(C42,lamsachdc01!B:B, lamsachdc01!A:A, "")</f>
        <v>1</v>
      </c>
      <c r="T42" s="118">
        <f>_xlfn.XLOOKUP(C42,huyso!B:B, huyso!A:A, "")</f>
        <v>1</v>
      </c>
      <c r="U42" s="118">
        <f>_xlfn.XLOOKUP(C42,treem!B:B, treem!A:A, "")</f>
        <v>1</v>
      </c>
      <c r="V42" s="118">
        <f>_xlfn.XLOOKUP(C42,giaypheplaixe!B:B, giaypheplaixe!A:A, "")</f>
        <v>1</v>
      </c>
      <c r="W42" s="118">
        <f>_xlfn.XLOOKUP(C42,dangkyxe!B:B, dangkyxe!A:A, "")</f>
        <v>1</v>
      </c>
      <c r="X42" s="118"/>
    </row>
    <row r="43" spans="1:24" x14ac:dyDescent="0.3">
      <c r="A43" s="118">
        <f t="shared" si="2"/>
        <v>6</v>
      </c>
      <c r="B43" s="118" cm="1">
        <f t="array" ref="B43">_xlfn.IFS(A43&lt;=10, 12, A43&lt;=30, 9, A43&lt;=50, 8, A43&lt;=70, 7, A43&lt;=90, 6, A43&lt;=110, 5, A43&lt;=124, 2, TRUE, "Ngoài phạm vi")</f>
        <v>12</v>
      </c>
      <c r="C43" s="117" t="s">
        <v>35</v>
      </c>
      <c r="D43" s="121">
        <f t="shared" si="1"/>
        <v>36</v>
      </c>
      <c r="E43" s="121">
        <f>_xlfn.XLOOKUP(C43,cancuoc!B:B, cancuoc!A:A, "")*2</f>
        <v>6</v>
      </c>
      <c r="F43" s="121">
        <f>_xlfn.XLOOKUP(C43,dinhdanh14!B:B, dinhdanh14!A:A, "")*2</f>
        <v>2</v>
      </c>
      <c r="G43" s="121">
        <f>_xlfn.XLOOKUP(C43,dinhdanh6!B:B, dinhdanh6!A:A, "")*2</f>
        <v>2</v>
      </c>
      <c r="H43" s="121">
        <f>_xlfn.XLOOKUP(C43,dinhdanhcq!B:B, dinhdanhcq!A:A, "")*2</f>
        <v>2</v>
      </c>
      <c r="I43" s="122">
        <f>_xlfn.XLOOKUP(C43,suckhoedientu!B:B, suckhoedientu!A:A, "")*2</f>
        <v>2</v>
      </c>
      <c r="J43" s="122">
        <f>_xlfn.XLOOKUP(C43,baohiemxahoi!B:B, baohiemxahoi!A:A, "")*2</f>
        <v>2</v>
      </c>
      <c r="K43" s="121">
        <f>_xlfn.XLOOKUP(C43,ansinhxahoi!B:B, ansinhxahoi!A:A, "")*2</f>
        <v>2</v>
      </c>
      <c r="L43" s="121">
        <f>_xlfn.XLOOKUP(C43,datdai!B:B, datdai!A:A, "")*2</f>
        <v>2</v>
      </c>
      <c r="M43" s="118">
        <f>_xlfn.XLOOKUP(C43,dvccc!B:B, dvccc!A:A, "")*2</f>
        <v>2</v>
      </c>
      <c r="N43" s="118">
        <f>_xlfn.XLOOKUP(C43,dvcct!B:B, dvcct!A:A, "")*2</f>
        <v>2</v>
      </c>
      <c r="O43" s="118">
        <f>_xlfn.XLOOKUP(C43,'ct10'!B:B, 'ct10'!A:A, "")*2</f>
        <v>2</v>
      </c>
      <c r="P43" s="118">
        <f>_xlfn.XLOOKUP(C43,hosocancuoc!B:B, hosocancuoc!A:A, "")*2</f>
        <v>2</v>
      </c>
      <c r="Q43" s="118">
        <f>_xlfn.XLOOKUP(C43,hosocutru!B:B, hosocutru!A:A, "")*2</f>
        <v>2</v>
      </c>
      <c r="R43" s="118">
        <f>_xlfn.XLOOKUP(C43,bdhvs!B:B, bdhvs!A:A, "")</f>
        <v>1</v>
      </c>
      <c r="S43" s="118">
        <f>_xlfn.XLOOKUP(C43,lamsachdc01!B:B, lamsachdc01!A:A, "")</f>
        <v>1</v>
      </c>
      <c r="T43" s="118">
        <f>_xlfn.XLOOKUP(C43,huyso!B:B, huyso!A:A, "")</f>
        <v>1</v>
      </c>
      <c r="U43" s="118">
        <f>_xlfn.XLOOKUP(C43,treem!B:B, treem!A:A, "")</f>
        <v>1</v>
      </c>
      <c r="V43" s="118">
        <f>_xlfn.XLOOKUP(C43,giaypheplaixe!B:B, giaypheplaixe!A:A, "")</f>
        <v>1</v>
      </c>
      <c r="W43" s="118">
        <f>_xlfn.XLOOKUP(C43,dangkyxe!B:B, dangkyxe!A:A, "")</f>
        <v>1</v>
      </c>
      <c r="X43" s="118"/>
    </row>
    <row r="44" spans="1:24" x14ac:dyDescent="0.3">
      <c r="A44" s="118">
        <f t="shared" si="2"/>
        <v>6</v>
      </c>
      <c r="B44" s="118" cm="1">
        <f t="array" ref="B44">_xlfn.IFS(A44&lt;=10, 12, A44&lt;=30, 9, A44&lt;=50, 8, A44&lt;=70, 7, A44&lt;=90, 6, A44&lt;=110, 5, A44&lt;=124, 2, TRUE, "Ngoài phạm vi")</f>
        <v>12</v>
      </c>
      <c r="C44" s="117" t="s">
        <v>39</v>
      </c>
      <c r="D44" s="121">
        <f t="shared" si="1"/>
        <v>36</v>
      </c>
      <c r="E44" s="121">
        <f>_xlfn.XLOOKUP(C44,cancuoc!B:B, cancuoc!A:A, "")*2</f>
        <v>6</v>
      </c>
      <c r="F44" s="121">
        <f>_xlfn.XLOOKUP(C44,dinhdanh14!B:B, dinhdanh14!A:A, "")*2</f>
        <v>2</v>
      </c>
      <c r="G44" s="121">
        <f>_xlfn.XLOOKUP(C44,dinhdanh6!B:B, dinhdanh6!A:A, "")*2</f>
        <v>2</v>
      </c>
      <c r="H44" s="121">
        <f>_xlfn.XLOOKUP(C44,dinhdanhcq!B:B, dinhdanhcq!A:A, "")*2</f>
        <v>2</v>
      </c>
      <c r="I44" s="122">
        <f>_xlfn.XLOOKUP(C44,suckhoedientu!B:B, suckhoedientu!A:A, "")*2</f>
        <v>2</v>
      </c>
      <c r="J44" s="122">
        <f>_xlfn.XLOOKUP(C44,baohiemxahoi!B:B, baohiemxahoi!A:A, "")*2</f>
        <v>2</v>
      </c>
      <c r="K44" s="121">
        <f>_xlfn.XLOOKUP(C44,ansinhxahoi!B:B, ansinhxahoi!A:A, "")*2</f>
        <v>2</v>
      </c>
      <c r="L44" s="121">
        <f>_xlfn.XLOOKUP(C44,datdai!B:B, datdai!A:A, "")*2</f>
        <v>2</v>
      </c>
      <c r="M44" s="118">
        <f>_xlfn.XLOOKUP(C44,dvccc!B:B, dvccc!A:A, "")*2</f>
        <v>2</v>
      </c>
      <c r="N44" s="118">
        <f>_xlfn.XLOOKUP(C44,dvcct!B:B, dvcct!A:A, "")*2</f>
        <v>2</v>
      </c>
      <c r="O44" s="118">
        <f>_xlfn.XLOOKUP(C44,'ct10'!B:B, 'ct10'!A:A, "")*2</f>
        <v>2</v>
      </c>
      <c r="P44" s="118">
        <f>_xlfn.XLOOKUP(C44,hosocancuoc!B:B, hosocancuoc!A:A, "")*2</f>
        <v>2</v>
      </c>
      <c r="Q44" s="118">
        <f>_xlfn.XLOOKUP(C44,hosocutru!B:B, hosocutru!A:A, "")*2</f>
        <v>2</v>
      </c>
      <c r="R44" s="118">
        <f>_xlfn.XLOOKUP(C44,bdhvs!B:B, bdhvs!A:A, "")</f>
        <v>1</v>
      </c>
      <c r="S44" s="118">
        <f>_xlfn.XLOOKUP(C44,lamsachdc01!B:B, lamsachdc01!A:A, "")</f>
        <v>1</v>
      </c>
      <c r="T44" s="118">
        <f>_xlfn.XLOOKUP(C44,huyso!B:B, huyso!A:A, "")</f>
        <v>1</v>
      </c>
      <c r="U44" s="118">
        <f>_xlfn.XLOOKUP(C44,treem!B:B, treem!A:A, "")</f>
        <v>1</v>
      </c>
      <c r="V44" s="118">
        <f>_xlfn.XLOOKUP(C44,giaypheplaixe!B:B, giaypheplaixe!A:A, "")</f>
        <v>1</v>
      </c>
      <c r="W44" s="118">
        <f>_xlfn.XLOOKUP(C44,dangkyxe!B:B, dangkyxe!A:A, "")</f>
        <v>1</v>
      </c>
      <c r="X44" s="118"/>
    </row>
    <row r="45" spans="1:24" x14ac:dyDescent="0.3">
      <c r="A45" s="118">
        <f t="shared" si="2"/>
        <v>6</v>
      </c>
      <c r="B45" s="118" cm="1">
        <f t="array" ref="B45">_xlfn.IFS(A45&lt;=10, 12, A45&lt;=30, 9, A45&lt;=50, 8, A45&lt;=70, 7, A45&lt;=90, 6, A45&lt;=110, 5, A45&lt;=124, 2, TRUE, "Ngoài phạm vi")</f>
        <v>12</v>
      </c>
      <c r="C45" s="123" t="s">
        <v>49</v>
      </c>
      <c r="D45" s="121">
        <f t="shared" si="1"/>
        <v>36</v>
      </c>
      <c r="E45" s="121">
        <f>_xlfn.XLOOKUP(C45,cancuoc!B:B, cancuoc!A:A, "")*2</f>
        <v>6</v>
      </c>
      <c r="F45" s="121">
        <f>_xlfn.XLOOKUP(C45,dinhdanh14!B:B, dinhdanh14!A:A, "")*2</f>
        <v>2</v>
      </c>
      <c r="G45" s="121">
        <f>_xlfn.XLOOKUP(C45,dinhdanh6!B:B, dinhdanh6!A:A, "")*2</f>
        <v>2</v>
      </c>
      <c r="H45" s="121">
        <f>_xlfn.XLOOKUP(C45,dinhdanhcq!B:B, dinhdanhcq!A:A, "")*2</f>
        <v>2</v>
      </c>
      <c r="I45" s="122">
        <f>_xlfn.XLOOKUP(C45,suckhoedientu!B:B, suckhoedientu!A:A, "")*2</f>
        <v>2</v>
      </c>
      <c r="J45" s="122">
        <f>_xlfn.XLOOKUP(C45,baohiemxahoi!B:B, baohiemxahoi!A:A, "")*2</f>
        <v>2</v>
      </c>
      <c r="K45" s="121">
        <f>_xlfn.XLOOKUP(C45,ansinhxahoi!B:B, ansinhxahoi!A:A, "")*2</f>
        <v>2</v>
      </c>
      <c r="L45" s="121">
        <f>_xlfn.XLOOKUP(C45,datdai!B:B, datdai!A:A, "")*2</f>
        <v>2</v>
      </c>
      <c r="M45" s="118">
        <f>_xlfn.XLOOKUP(C45,dvccc!B:B, dvccc!A:A, "")*2</f>
        <v>2</v>
      </c>
      <c r="N45" s="118">
        <f>_xlfn.XLOOKUP(C45,dvcct!B:B, dvcct!A:A, "")*2</f>
        <v>2</v>
      </c>
      <c r="O45" s="118">
        <f>_xlfn.XLOOKUP(C45,'ct10'!B:B, 'ct10'!A:A, "")*2</f>
        <v>2</v>
      </c>
      <c r="P45" s="118">
        <f>_xlfn.XLOOKUP(C45,hosocancuoc!B:B, hosocancuoc!A:A, "")*2</f>
        <v>2</v>
      </c>
      <c r="Q45" s="118">
        <f>_xlfn.XLOOKUP(C45,hosocutru!B:B, hosocutru!A:A, "")*2</f>
        <v>2</v>
      </c>
      <c r="R45" s="118">
        <f>_xlfn.XLOOKUP(C45,bdhvs!B:B, bdhvs!A:A, "")</f>
        <v>1</v>
      </c>
      <c r="S45" s="118">
        <f>_xlfn.XLOOKUP(C45,lamsachdc01!B:B, lamsachdc01!A:A, "")</f>
        <v>1</v>
      </c>
      <c r="T45" s="118">
        <f>_xlfn.XLOOKUP(C45,huyso!B:B, huyso!A:A, "")</f>
        <v>1</v>
      </c>
      <c r="U45" s="118">
        <f>_xlfn.XLOOKUP(C45,treem!B:B, treem!A:A, "")</f>
        <v>1</v>
      </c>
      <c r="V45" s="118">
        <f>_xlfn.XLOOKUP(C45,giaypheplaixe!B:B, giaypheplaixe!A:A, "")</f>
        <v>1</v>
      </c>
      <c r="W45" s="118">
        <f>_xlfn.XLOOKUP(C45,dangkyxe!B:B, dangkyxe!A:A, "")</f>
        <v>1</v>
      </c>
      <c r="X45" s="118"/>
    </row>
    <row r="46" spans="1:24" x14ac:dyDescent="0.3">
      <c r="A46" s="118">
        <f t="shared" si="2"/>
        <v>6</v>
      </c>
      <c r="B46" s="118" cm="1">
        <f t="array" ref="B46">_xlfn.IFS(A46&lt;=10, 12, A46&lt;=30, 9, A46&lt;=50, 8, A46&lt;=70, 7, A46&lt;=90, 6, A46&lt;=110, 5, A46&lt;=124, 2, TRUE, "Ngoài phạm vi")</f>
        <v>12</v>
      </c>
      <c r="C46" s="117" t="s">
        <v>71</v>
      </c>
      <c r="D46" s="121">
        <f t="shared" si="1"/>
        <v>36</v>
      </c>
      <c r="E46" s="121">
        <f>_xlfn.XLOOKUP(C46,cancuoc!B:B, cancuoc!A:A, "")*2</f>
        <v>6</v>
      </c>
      <c r="F46" s="121">
        <f>_xlfn.XLOOKUP(C46,dinhdanh14!B:B, dinhdanh14!A:A, "")*2</f>
        <v>2</v>
      </c>
      <c r="G46" s="121">
        <f>_xlfn.XLOOKUP(C46,dinhdanh6!B:B, dinhdanh6!A:A, "")*2</f>
        <v>2</v>
      </c>
      <c r="H46" s="121">
        <f>_xlfn.XLOOKUP(C46,dinhdanhcq!B:B, dinhdanhcq!A:A, "")*2</f>
        <v>2</v>
      </c>
      <c r="I46" s="122">
        <f>_xlfn.XLOOKUP(C46,suckhoedientu!B:B, suckhoedientu!A:A, "")*2</f>
        <v>2</v>
      </c>
      <c r="J46" s="122">
        <f>_xlfn.XLOOKUP(C46,baohiemxahoi!B:B, baohiemxahoi!A:A, "")*2</f>
        <v>2</v>
      </c>
      <c r="K46" s="121">
        <f>_xlfn.XLOOKUP(C46,ansinhxahoi!B:B, ansinhxahoi!A:A, "")*2</f>
        <v>2</v>
      </c>
      <c r="L46" s="121">
        <f>_xlfn.XLOOKUP(C46,datdai!B:B, datdai!A:A, "")*2</f>
        <v>2</v>
      </c>
      <c r="M46" s="118">
        <f>_xlfn.XLOOKUP(C46,dvccc!B:B, dvccc!A:A, "")*2</f>
        <v>2</v>
      </c>
      <c r="N46" s="118">
        <f>_xlfn.XLOOKUP(C46,dvcct!B:B, dvcct!A:A, "")*2</f>
        <v>2</v>
      </c>
      <c r="O46" s="118">
        <f>_xlfn.XLOOKUP(C46,'ct10'!B:B, 'ct10'!A:A, "")*2</f>
        <v>2</v>
      </c>
      <c r="P46" s="118">
        <f>_xlfn.XLOOKUP(C46,hosocancuoc!B:B, hosocancuoc!A:A, "")*2</f>
        <v>2</v>
      </c>
      <c r="Q46" s="118">
        <f>_xlfn.XLOOKUP(C46,hosocutru!B:B, hosocutru!A:A, "")*2</f>
        <v>2</v>
      </c>
      <c r="R46" s="118">
        <f>_xlfn.XLOOKUP(C46,bdhvs!B:B, bdhvs!A:A, "")</f>
        <v>1</v>
      </c>
      <c r="S46" s="118">
        <f>_xlfn.XLOOKUP(C46,lamsachdc01!B:B, lamsachdc01!A:A, "")</f>
        <v>1</v>
      </c>
      <c r="T46" s="118">
        <f>_xlfn.XLOOKUP(C46,huyso!B:B, huyso!A:A, "")</f>
        <v>1</v>
      </c>
      <c r="U46" s="118">
        <f>_xlfn.XLOOKUP(C46,treem!B:B, treem!A:A, "")</f>
        <v>1</v>
      </c>
      <c r="V46" s="118">
        <f>_xlfn.XLOOKUP(C46,giaypheplaixe!B:B, giaypheplaixe!A:A, "")</f>
        <v>1</v>
      </c>
      <c r="W46" s="118">
        <f>_xlfn.XLOOKUP(C46,dangkyxe!B:B, dangkyxe!A:A, "")</f>
        <v>1</v>
      </c>
      <c r="X46" s="118"/>
    </row>
    <row r="47" spans="1:24" x14ac:dyDescent="0.3">
      <c r="A47" s="118">
        <f t="shared" si="2"/>
        <v>6</v>
      </c>
      <c r="B47" s="118" cm="1">
        <f t="array" ref="B47">_xlfn.IFS(A47&lt;=10, 12, A47&lt;=30, 9, A47&lt;=50, 8, A47&lt;=70, 7, A47&lt;=90, 6, A47&lt;=110, 5, A47&lt;=124, 2, TRUE, "Ngoài phạm vi")</f>
        <v>12</v>
      </c>
      <c r="C47" s="117" t="s">
        <v>3</v>
      </c>
      <c r="D47" s="121">
        <f t="shared" si="1"/>
        <v>36</v>
      </c>
      <c r="E47" s="121">
        <f>_xlfn.XLOOKUP(C47,cancuoc!B:B, cancuoc!A:A, "")*2</f>
        <v>6</v>
      </c>
      <c r="F47" s="121">
        <f>_xlfn.XLOOKUP(C47,dinhdanh14!B:B, dinhdanh14!A:A, "")*2</f>
        <v>2</v>
      </c>
      <c r="G47" s="121">
        <f>_xlfn.XLOOKUP(C47,dinhdanh6!B:B, dinhdanh6!A:A, "")*2</f>
        <v>2</v>
      </c>
      <c r="H47" s="121">
        <f>_xlfn.XLOOKUP(C47,dinhdanhcq!B:B, dinhdanhcq!A:A, "")*2</f>
        <v>2</v>
      </c>
      <c r="I47" s="122">
        <f>_xlfn.XLOOKUP(C47,suckhoedientu!B:B, suckhoedientu!A:A, "")*2</f>
        <v>2</v>
      </c>
      <c r="J47" s="122">
        <f>_xlfn.XLOOKUP(C47,baohiemxahoi!B:B, baohiemxahoi!A:A, "")*2</f>
        <v>2</v>
      </c>
      <c r="K47" s="121">
        <f>_xlfn.XLOOKUP(C47,ansinhxahoi!B:B, ansinhxahoi!A:A, "")*2</f>
        <v>2</v>
      </c>
      <c r="L47" s="121">
        <f>_xlfn.XLOOKUP(C47,datdai!B:B, datdai!A:A, "")*2</f>
        <v>2</v>
      </c>
      <c r="M47" s="118">
        <f>_xlfn.XLOOKUP(C47,dvccc!B:B, dvccc!A:A, "")*2</f>
        <v>2</v>
      </c>
      <c r="N47" s="118">
        <f>_xlfn.XLOOKUP(C47,dvcct!B:B, dvcct!A:A, "")*2</f>
        <v>2</v>
      </c>
      <c r="O47" s="118">
        <f>_xlfn.XLOOKUP(C47,'ct10'!B:B, 'ct10'!A:A, "")*2</f>
        <v>2</v>
      </c>
      <c r="P47" s="118">
        <f>_xlfn.XLOOKUP(C47,hosocancuoc!B:B, hosocancuoc!A:A, "")*2</f>
        <v>2</v>
      </c>
      <c r="Q47" s="118">
        <f>_xlfn.XLOOKUP(C47,hosocutru!B:B, hosocutru!A:A, "")*2</f>
        <v>2</v>
      </c>
      <c r="R47" s="118">
        <f>_xlfn.XLOOKUP(C47,bdhvs!B:B, bdhvs!A:A, "")</f>
        <v>1</v>
      </c>
      <c r="S47" s="118">
        <f>_xlfn.XLOOKUP(C47,lamsachdc01!B:B, lamsachdc01!A:A, "")</f>
        <v>1</v>
      </c>
      <c r="T47" s="118">
        <f>_xlfn.XLOOKUP(C47,huyso!B:B, huyso!A:A, "")</f>
        <v>1</v>
      </c>
      <c r="U47" s="118">
        <f>_xlfn.XLOOKUP(C47,treem!B:B, treem!A:A, "")</f>
        <v>1</v>
      </c>
      <c r="V47" s="118">
        <f>_xlfn.XLOOKUP(C47,giaypheplaixe!B:B, giaypheplaixe!A:A, "")</f>
        <v>1</v>
      </c>
      <c r="W47" s="118">
        <f>_xlfn.XLOOKUP(C47,dangkyxe!B:B, dangkyxe!A:A, "")</f>
        <v>1</v>
      </c>
      <c r="X47" s="118"/>
    </row>
    <row r="48" spans="1:24" x14ac:dyDescent="0.3">
      <c r="A48" s="118">
        <f t="shared" si="2"/>
        <v>6</v>
      </c>
      <c r="B48" s="118" cm="1">
        <f t="array" ref="B48">_xlfn.IFS(A48&lt;=10, 12, A48&lt;=30, 9, A48&lt;=50, 8, A48&lt;=70, 7, A48&lt;=90, 6, A48&lt;=110, 5, A48&lt;=124, 2, TRUE, "Ngoài phạm vi")</f>
        <v>12</v>
      </c>
      <c r="C48" s="117" t="s">
        <v>56</v>
      </c>
      <c r="D48" s="121">
        <f t="shared" si="1"/>
        <v>36</v>
      </c>
      <c r="E48" s="121">
        <f>_xlfn.XLOOKUP(C48,cancuoc!B:B, cancuoc!A:A, "")*2</f>
        <v>6</v>
      </c>
      <c r="F48" s="121">
        <f>_xlfn.XLOOKUP(C48,dinhdanh14!B:B, dinhdanh14!A:A, "")*2</f>
        <v>2</v>
      </c>
      <c r="G48" s="121">
        <f>_xlfn.XLOOKUP(C48,dinhdanh6!B:B, dinhdanh6!A:A, "")*2</f>
        <v>2</v>
      </c>
      <c r="H48" s="121">
        <f>_xlfn.XLOOKUP(C48,dinhdanhcq!B:B, dinhdanhcq!A:A, "")*2</f>
        <v>2</v>
      </c>
      <c r="I48" s="122">
        <f>_xlfn.XLOOKUP(C48,suckhoedientu!B:B, suckhoedientu!A:A, "")*2</f>
        <v>2</v>
      </c>
      <c r="J48" s="122">
        <f>_xlfn.XLOOKUP(C48,baohiemxahoi!B:B, baohiemxahoi!A:A, "")*2</f>
        <v>2</v>
      </c>
      <c r="K48" s="121">
        <f>_xlfn.XLOOKUP(C48,ansinhxahoi!B:B, ansinhxahoi!A:A, "")*2</f>
        <v>2</v>
      </c>
      <c r="L48" s="121">
        <f>_xlfn.XLOOKUP(C48,datdai!B:B, datdai!A:A, "")*2</f>
        <v>2</v>
      </c>
      <c r="M48" s="118">
        <f>_xlfn.XLOOKUP(C48,dvccc!B:B, dvccc!A:A, "")*2</f>
        <v>2</v>
      </c>
      <c r="N48" s="118">
        <f>_xlfn.XLOOKUP(C48,dvcct!B:B, dvcct!A:A, "")*2</f>
        <v>2</v>
      </c>
      <c r="O48" s="118">
        <f>_xlfn.XLOOKUP(C48,'ct10'!B:B, 'ct10'!A:A, "")*2</f>
        <v>2</v>
      </c>
      <c r="P48" s="118">
        <f>_xlfn.XLOOKUP(C48,hosocancuoc!B:B, hosocancuoc!A:A, "")*2</f>
        <v>2</v>
      </c>
      <c r="Q48" s="118">
        <f>_xlfn.XLOOKUP(C48,hosocutru!B:B, hosocutru!A:A, "")*2</f>
        <v>2</v>
      </c>
      <c r="R48" s="118">
        <f>_xlfn.XLOOKUP(C48,bdhvs!B:B, bdhvs!A:A, "")</f>
        <v>1</v>
      </c>
      <c r="S48" s="118">
        <f>_xlfn.XLOOKUP(C48,lamsachdc01!B:B, lamsachdc01!A:A, "")</f>
        <v>1</v>
      </c>
      <c r="T48" s="118">
        <f>_xlfn.XLOOKUP(C48,huyso!B:B, huyso!A:A, "")</f>
        <v>1</v>
      </c>
      <c r="U48" s="118">
        <f>_xlfn.XLOOKUP(C48,treem!B:B, treem!A:A, "")</f>
        <v>1</v>
      </c>
      <c r="V48" s="118">
        <f>_xlfn.XLOOKUP(C48,giaypheplaixe!B:B, giaypheplaixe!A:A, "")</f>
        <v>1</v>
      </c>
      <c r="W48" s="118">
        <f>_xlfn.XLOOKUP(C48,dangkyxe!B:B, dangkyxe!A:A, "")</f>
        <v>1</v>
      </c>
      <c r="X48" s="118"/>
    </row>
    <row r="49" spans="1:24" x14ac:dyDescent="0.3">
      <c r="A49" s="118">
        <f t="shared" si="2"/>
        <v>6</v>
      </c>
      <c r="B49" s="118" cm="1">
        <f t="array" ref="B49">_xlfn.IFS(A49&lt;=10, 12, A49&lt;=30, 9, A49&lt;=50, 8, A49&lt;=70, 7, A49&lt;=90, 6, A49&lt;=110, 5, A49&lt;=124, 2, TRUE, "Ngoài phạm vi")</f>
        <v>12</v>
      </c>
      <c r="C49" s="117" t="s">
        <v>26</v>
      </c>
      <c r="D49" s="121">
        <f t="shared" si="1"/>
        <v>36</v>
      </c>
      <c r="E49" s="121">
        <f>_xlfn.XLOOKUP(C49,cancuoc!B:B, cancuoc!A:A, "")*2</f>
        <v>6</v>
      </c>
      <c r="F49" s="121">
        <f>_xlfn.XLOOKUP(C49,dinhdanh14!B:B, dinhdanh14!A:A, "")*2</f>
        <v>2</v>
      </c>
      <c r="G49" s="121">
        <f>_xlfn.XLOOKUP(C49,dinhdanh6!B:B, dinhdanh6!A:A, "")*2</f>
        <v>2</v>
      </c>
      <c r="H49" s="121">
        <f>_xlfn.XLOOKUP(C49,dinhdanhcq!B:B, dinhdanhcq!A:A, "")*2</f>
        <v>2</v>
      </c>
      <c r="I49" s="122">
        <f>_xlfn.XLOOKUP(C49,suckhoedientu!B:B, suckhoedientu!A:A, "")*2</f>
        <v>2</v>
      </c>
      <c r="J49" s="122">
        <f>_xlfn.XLOOKUP(C49,baohiemxahoi!B:B, baohiemxahoi!A:A, "")*2</f>
        <v>2</v>
      </c>
      <c r="K49" s="121">
        <f>_xlfn.XLOOKUP(C49,ansinhxahoi!B:B, ansinhxahoi!A:A, "")*2</f>
        <v>2</v>
      </c>
      <c r="L49" s="121">
        <f>_xlfn.XLOOKUP(C49,datdai!B:B, datdai!A:A, "")*2</f>
        <v>2</v>
      </c>
      <c r="M49" s="118">
        <f>_xlfn.XLOOKUP(C49,dvccc!B:B, dvccc!A:A, "")*2</f>
        <v>2</v>
      </c>
      <c r="N49" s="118">
        <f>_xlfn.XLOOKUP(C49,dvcct!B:B, dvcct!A:A, "")*2</f>
        <v>2</v>
      </c>
      <c r="O49" s="118">
        <f>_xlfn.XLOOKUP(C49,'ct10'!B:B, 'ct10'!A:A, "")*2</f>
        <v>2</v>
      </c>
      <c r="P49" s="118">
        <f>_xlfn.XLOOKUP(C49,hosocancuoc!B:B, hosocancuoc!A:A, "")*2</f>
        <v>2</v>
      </c>
      <c r="Q49" s="118">
        <f>_xlfn.XLOOKUP(C49,hosocutru!B:B, hosocutru!A:A, "")*2</f>
        <v>2</v>
      </c>
      <c r="R49" s="118">
        <f>_xlfn.XLOOKUP(C49,bdhvs!B:B, bdhvs!A:A, "")</f>
        <v>1</v>
      </c>
      <c r="S49" s="118">
        <f>_xlfn.XLOOKUP(C49,lamsachdc01!B:B, lamsachdc01!A:A, "")</f>
        <v>1</v>
      </c>
      <c r="T49" s="118">
        <f>_xlfn.XLOOKUP(C49,huyso!B:B, huyso!A:A, "")</f>
        <v>1</v>
      </c>
      <c r="U49" s="118">
        <f>_xlfn.XLOOKUP(C49,treem!B:B, treem!A:A, "")</f>
        <v>1</v>
      </c>
      <c r="V49" s="118">
        <f>_xlfn.XLOOKUP(C49,giaypheplaixe!B:B, giaypheplaixe!A:A, "")</f>
        <v>1</v>
      </c>
      <c r="W49" s="118">
        <f>_xlfn.XLOOKUP(C49,dangkyxe!B:B, dangkyxe!A:A, "")</f>
        <v>1</v>
      </c>
      <c r="X49" s="118"/>
    </row>
    <row r="50" spans="1:24" x14ac:dyDescent="0.3">
      <c r="A50" s="118">
        <f t="shared" si="2"/>
        <v>6</v>
      </c>
      <c r="B50" s="118" cm="1">
        <f t="array" ref="B50">_xlfn.IFS(A50&lt;=10, 12, A50&lt;=30, 9, A50&lt;=50, 8, A50&lt;=70, 7, A50&lt;=90, 6, A50&lt;=110, 5, A50&lt;=124, 2, TRUE, "Ngoài phạm vi")</f>
        <v>12</v>
      </c>
      <c r="C50" s="117" t="s">
        <v>33</v>
      </c>
      <c r="D50" s="121">
        <f t="shared" si="1"/>
        <v>36</v>
      </c>
      <c r="E50" s="121">
        <f>_xlfn.XLOOKUP(C50,cancuoc!B:B, cancuoc!A:A, "")*2</f>
        <v>6</v>
      </c>
      <c r="F50" s="121">
        <f>_xlfn.XLOOKUP(C50,dinhdanh14!B:B, dinhdanh14!A:A, "")*2</f>
        <v>2</v>
      </c>
      <c r="G50" s="121">
        <f>_xlfn.XLOOKUP(C50,dinhdanh6!B:B, dinhdanh6!A:A, "")*2</f>
        <v>2</v>
      </c>
      <c r="H50" s="121">
        <f>_xlfn.XLOOKUP(C50,dinhdanhcq!B:B, dinhdanhcq!A:A, "")*2</f>
        <v>2</v>
      </c>
      <c r="I50" s="122">
        <f>_xlfn.XLOOKUP(C50,suckhoedientu!B:B, suckhoedientu!A:A, "")*2</f>
        <v>2</v>
      </c>
      <c r="J50" s="122">
        <f>_xlfn.XLOOKUP(C50,baohiemxahoi!B:B, baohiemxahoi!A:A, "")*2</f>
        <v>2</v>
      </c>
      <c r="K50" s="121">
        <f>_xlfn.XLOOKUP(C50,ansinhxahoi!B:B, ansinhxahoi!A:A, "")*2</f>
        <v>2</v>
      </c>
      <c r="L50" s="121">
        <f>_xlfn.XLOOKUP(C50,datdai!B:B, datdai!A:A, "")*2</f>
        <v>2</v>
      </c>
      <c r="M50" s="118">
        <f>_xlfn.XLOOKUP(C50,dvccc!B:B, dvccc!A:A, "")*2</f>
        <v>2</v>
      </c>
      <c r="N50" s="118">
        <f>_xlfn.XLOOKUP(C50,dvcct!B:B, dvcct!A:A, "")*2</f>
        <v>2</v>
      </c>
      <c r="O50" s="118">
        <f>_xlfn.XLOOKUP(C50,'ct10'!B:B, 'ct10'!A:A, "")*2</f>
        <v>2</v>
      </c>
      <c r="P50" s="118">
        <f>_xlfn.XLOOKUP(C50,hosocancuoc!B:B, hosocancuoc!A:A, "")*2</f>
        <v>2</v>
      </c>
      <c r="Q50" s="118">
        <f>_xlfn.XLOOKUP(C50,hosocutru!B:B, hosocutru!A:A, "")*2</f>
        <v>2</v>
      </c>
      <c r="R50" s="118">
        <f>_xlfn.XLOOKUP(C50,bdhvs!B:B, bdhvs!A:A, "")</f>
        <v>1</v>
      </c>
      <c r="S50" s="118">
        <f>_xlfn.XLOOKUP(C50,lamsachdc01!B:B, lamsachdc01!A:A, "")</f>
        <v>1</v>
      </c>
      <c r="T50" s="118">
        <f>_xlfn.XLOOKUP(C50,huyso!B:B, huyso!A:A, "")</f>
        <v>1</v>
      </c>
      <c r="U50" s="118">
        <f>_xlfn.XLOOKUP(C50,treem!B:B, treem!A:A, "")</f>
        <v>1</v>
      </c>
      <c r="V50" s="118">
        <f>_xlfn.XLOOKUP(C50,giaypheplaixe!B:B, giaypheplaixe!A:A, "")</f>
        <v>1</v>
      </c>
      <c r="W50" s="118">
        <f>_xlfn.XLOOKUP(C50,dangkyxe!B:B, dangkyxe!A:A, "")</f>
        <v>1</v>
      </c>
      <c r="X50" s="118"/>
    </row>
    <row r="51" spans="1:24" x14ac:dyDescent="0.3">
      <c r="A51" s="118">
        <f t="shared" si="2"/>
        <v>6</v>
      </c>
      <c r="B51" s="118" cm="1">
        <f t="array" ref="B51">_xlfn.IFS(A51&lt;=10, 12, A51&lt;=30, 9, A51&lt;=50, 8, A51&lt;=70, 7, A51&lt;=90, 6, A51&lt;=110, 5, A51&lt;=124, 2, TRUE, "Ngoài phạm vi")</f>
        <v>12</v>
      </c>
      <c r="C51" s="117" t="s">
        <v>89</v>
      </c>
      <c r="D51" s="121">
        <f t="shared" si="1"/>
        <v>36</v>
      </c>
      <c r="E51" s="121">
        <f>_xlfn.XLOOKUP(C51,cancuoc!B:B, cancuoc!A:A, "")*2</f>
        <v>6</v>
      </c>
      <c r="F51" s="121">
        <f>_xlfn.XLOOKUP(C51,dinhdanh14!B:B, dinhdanh14!A:A, "")*2</f>
        <v>2</v>
      </c>
      <c r="G51" s="121">
        <f>_xlfn.XLOOKUP(C51,dinhdanh6!B:B, dinhdanh6!A:A, "")*2</f>
        <v>2</v>
      </c>
      <c r="H51" s="121">
        <f>_xlfn.XLOOKUP(C51,dinhdanhcq!B:B, dinhdanhcq!A:A, "")*2</f>
        <v>2</v>
      </c>
      <c r="I51" s="122">
        <f>_xlfn.XLOOKUP(C51,suckhoedientu!B:B, suckhoedientu!A:A, "")*2</f>
        <v>2</v>
      </c>
      <c r="J51" s="122">
        <f>_xlfn.XLOOKUP(C51,baohiemxahoi!B:B, baohiemxahoi!A:A, "")*2</f>
        <v>2</v>
      </c>
      <c r="K51" s="121">
        <f>_xlfn.XLOOKUP(C51,ansinhxahoi!B:B, ansinhxahoi!A:A, "")*2</f>
        <v>2</v>
      </c>
      <c r="L51" s="121">
        <f>_xlfn.XLOOKUP(C51,datdai!B:B, datdai!A:A, "")*2</f>
        <v>2</v>
      </c>
      <c r="M51" s="118">
        <f>_xlfn.XLOOKUP(C51,dvccc!B:B, dvccc!A:A, "")*2</f>
        <v>2</v>
      </c>
      <c r="N51" s="118">
        <f>_xlfn.XLOOKUP(C51,dvcct!B:B, dvcct!A:A, "")*2</f>
        <v>2</v>
      </c>
      <c r="O51" s="118">
        <f>_xlfn.XLOOKUP(C51,'ct10'!B:B, 'ct10'!A:A, "")*2</f>
        <v>2</v>
      </c>
      <c r="P51" s="118">
        <f>_xlfn.XLOOKUP(C51,hosocancuoc!B:B, hosocancuoc!A:A, "")*2</f>
        <v>2</v>
      </c>
      <c r="Q51" s="118">
        <f>_xlfn.XLOOKUP(C51,hosocutru!B:B, hosocutru!A:A, "")*2</f>
        <v>2</v>
      </c>
      <c r="R51" s="118">
        <f>_xlfn.XLOOKUP(C51,bdhvs!B:B, bdhvs!A:A, "")</f>
        <v>1</v>
      </c>
      <c r="S51" s="118">
        <f>_xlfn.XLOOKUP(C51,lamsachdc01!B:B, lamsachdc01!A:A, "")</f>
        <v>1</v>
      </c>
      <c r="T51" s="118">
        <f>_xlfn.XLOOKUP(C51,huyso!B:B, huyso!A:A, "")</f>
        <v>1</v>
      </c>
      <c r="U51" s="118">
        <f>_xlfn.XLOOKUP(C51,treem!B:B, treem!A:A, "")</f>
        <v>1</v>
      </c>
      <c r="V51" s="118">
        <f>_xlfn.XLOOKUP(C51,giaypheplaixe!B:B, giaypheplaixe!A:A, "")</f>
        <v>1</v>
      </c>
      <c r="W51" s="118">
        <f>_xlfn.XLOOKUP(C51,dangkyxe!B:B, dangkyxe!A:A, "")</f>
        <v>1</v>
      </c>
      <c r="X51" s="118"/>
    </row>
    <row r="52" spans="1:24" x14ac:dyDescent="0.3">
      <c r="A52" s="118">
        <f t="shared" si="2"/>
        <v>6</v>
      </c>
      <c r="B52" s="118" cm="1">
        <f t="array" ref="B52">_xlfn.IFS(A52&lt;=10, 12, A52&lt;=30, 9, A52&lt;=50, 8, A52&lt;=70, 7, A52&lt;=90, 6, A52&lt;=110, 5, A52&lt;=124, 2, TRUE, "Ngoài phạm vi")</f>
        <v>12</v>
      </c>
      <c r="C52" s="117" t="s">
        <v>112</v>
      </c>
      <c r="D52" s="121">
        <f t="shared" si="1"/>
        <v>36</v>
      </c>
      <c r="E52" s="121">
        <f>_xlfn.XLOOKUP(C52,cancuoc!B:B, cancuoc!A:A, "")*2</f>
        <v>6</v>
      </c>
      <c r="F52" s="121">
        <f>_xlfn.XLOOKUP(C52,dinhdanh14!B:B, dinhdanh14!A:A, "")*2</f>
        <v>2</v>
      </c>
      <c r="G52" s="121">
        <f>_xlfn.XLOOKUP(C52,dinhdanh6!B:B, dinhdanh6!A:A, "")*2</f>
        <v>2</v>
      </c>
      <c r="H52" s="121">
        <f>_xlfn.XLOOKUP(C52,dinhdanhcq!B:B, dinhdanhcq!A:A, "")*2</f>
        <v>2</v>
      </c>
      <c r="I52" s="122">
        <f>_xlfn.XLOOKUP(C52,suckhoedientu!B:B, suckhoedientu!A:A, "")*2</f>
        <v>2</v>
      </c>
      <c r="J52" s="122">
        <f>_xlfn.XLOOKUP(C52,baohiemxahoi!B:B, baohiemxahoi!A:A, "")*2</f>
        <v>2</v>
      </c>
      <c r="K52" s="121">
        <f>_xlfn.XLOOKUP(C52,ansinhxahoi!B:B, ansinhxahoi!A:A, "")*2</f>
        <v>2</v>
      </c>
      <c r="L52" s="121">
        <f>_xlfn.XLOOKUP(C52,datdai!B:B, datdai!A:A, "")*2</f>
        <v>2</v>
      </c>
      <c r="M52" s="118">
        <f>_xlfn.XLOOKUP(C52,dvccc!B:B, dvccc!A:A, "")*2</f>
        <v>2</v>
      </c>
      <c r="N52" s="118">
        <f>_xlfn.XLOOKUP(C52,dvcct!B:B, dvcct!A:A, "")*2</f>
        <v>2</v>
      </c>
      <c r="O52" s="118">
        <f>_xlfn.XLOOKUP(C52,'ct10'!B:B, 'ct10'!A:A, "")*2</f>
        <v>2</v>
      </c>
      <c r="P52" s="118">
        <f>_xlfn.XLOOKUP(C52,hosocancuoc!B:B, hosocancuoc!A:A, "")*2</f>
        <v>2</v>
      </c>
      <c r="Q52" s="118">
        <f>_xlfn.XLOOKUP(C52,hosocutru!B:B, hosocutru!A:A, "")*2</f>
        <v>2</v>
      </c>
      <c r="R52" s="118">
        <f>_xlfn.XLOOKUP(C52,bdhvs!B:B, bdhvs!A:A, "")</f>
        <v>1</v>
      </c>
      <c r="S52" s="118">
        <f>_xlfn.XLOOKUP(C52,lamsachdc01!B:B, lamsachdc01!A:A, "")</f>
        <v>1</v>
      </c>
      <c r="T52" s="118">
        <f>_xlfn.XLOOKUP(C52,huyso!B:B, huyso!A:A, "")</f>
        <v>1</v>
      </c>
      <c r="U52" s="118">
        <f>_xlfn.XLOOKUP(C52,treem!B:B, treem!A:A, "")</f>
        <v>1</v>
      </c>
      <c r="V52" s="118">
        <f>_xlfn.XLOOKUP(C52,giaypheplaixe!B:B, giaypheplaixe!A:A, "")</f>
        <v>1</v>
      </c>
      <c r="W52" s="118">
        <f>_xlfn.XLOOKUP(C52,dangkyxe!B:B, dangkyxe!A:A, "")</f>
        <v>1</v>
      </c>
      <c r="X52" s="118"/>
    </row>
    <row r="53" spans="1:24" x14ac:dyDescent="0.3">
      <c r="A53" s="118">
        <f t="shared" si="2"/>
        <v>6</v>
      </c>
      <c r="B53" s="118" cm="1">
        <f t="array" ref="B53">_xlfn.IFS(A53&lt;=10, 12, A53&lt;=30, 9, A53&lt;=50, 8, A53&lt;=70, 7, A53&lt;=90, 6, A53&lt;=110, 5, A53&lt;=124, 2, TRUE, "Ngoài phạm vi")</f>
        <v>12</v>
      </c>
      <c r="C53" s="117" t="s">
        <v>123</v>
      </c>
      <c r="D53" s="121">
        <f t="shared" si="1"/>
        <v>36</v>
      </c>
      <c r="E53" s="121">
        <f>_xlfn.XLOOKUP(C53,cancuoc!B:B, cancuoc!A:A, "")*2</f>
        <v>6</v>
      </c>
      <c r="F53" s="121">
        <f>_xlfn.XLOOKUP(C53,dinhdanh14!B:B, dinhdanh14!A:A, "")*2</f>
        <v>2</v>
      </c>
      <c r="G53" s="121">
        <f>_xlfn.XLOOKUP(C53,dinhdanh6!B:B, dinhdanh6!A:A, "")*2</f>
        <v>2</v>
      </c>
      <c r="H53" s="121">
        <f>_xlfn.XLOOKUP(C53,dinhdanhcq!B:B, dinhdanhcq!A:A, "")*2</f>
        <v>2</v>
      </c>
      <c r="I53" s="122">
        <f>_xlfn.XLOOKUP(C53,suckhoedientu!B:B, suckhoedientu!A:A, "")*2</f>
        <v>2</v>
      </c>
      <c r="J53" s="122">
        <f>_xlfn.XLOOKUP(C53,baohiemxahoi!B:B, baohiemxahoi!A:A, "")*2</f>
        <v>2</v>
      </c>
      <c r="K53" s="121">
        <f>_xlfn.XLOOKUP(C53,ansinhxahoi!B:B, ansinhxahoi!A:A, "")*2</f>
        <v>2</v>
      </c>
      <c r="L53" s="121">
        <f>_xlfn.XLOOKUP(C53,datdai!B:B, datdai!A:A, "")*2</f>
        <v>2</v>
      </c>
      <c r="M53" s="118">
        <f>_xlfn.XLOOKUP(C53,dvccc!B:B, dvccc!A:A, "")*2</f>
        <v>2</v>
      </c>
      <c r="N53" s="118">
        <f>_xlfn.XLOOKUP(C53,dvcct!B:B, dvcct!A:A, "")*2</f>
        <v>2</v>
      </c>
      <c r="O53" s="118">
        <f>_xlfn.XLOOKUP(C53,'ct10'!B:B, 'ct10'!A:A, "")*2</f>
        <v>2</v>
      </c>
      <c r="P53" s="118">
        <f>_xlfn.XLOOKUP(C53,hosocancuoc!B:B, hosocancuoc!A:A, "")*2</f>
        <v>2</v>
      </c>
      <c r="Q53" s="118">
        <f>_xlfn.XLOOKUP(C53,hosocutru!B:B, hosocutru!A:A, "")*2</f>
        <v>2</v>
      </c>
      <c r="R53" s="118">
        <f>_xlfn.XLOOKUP(C53,bdhvs!B:B, bdhvs!A:A, "")</f>
        <v>1</v>
      </c>
      <c r="S53" s="118">
        <f>_xlfn.XLOOKUP(C53,lamsachdc01!B:B, lamsachdc01!A:A, "")</f>
        <v>1</v>
      </c>
      <c r="T53" s="118">
        <f>_xlfn.XLOOKUP(C53,huyso!B:B, huyso!A:A, "")</f>
        <v>1</v>
      </c>
      <c r="U53" s="118">
        <f>_xlfn.XLOOKUP(C53,treem!B:B, treem!A:A, "")</f>
        <v>1</v>
      </c>
      <c r="V53" s="118">
        <f>_xlfn.XLOOKUP(C53,giaypheplaixe!B:B, giaypheplaixe!A:A, "")</f>
        <v>1</v>
      </c>
      <c r="W53" s="118">
        <f>_xlfn.XLOOKUP(C53,dangkyxe!B:B, dangkyxe!A:A, "")</f>
        <v>1</v>
      </c>
      <c r="X53" s="118"/>
    </row>
    <row r="54" spans="1:24" x14ac:dyDescent="0.3">
      <c r="A54" s="118">
        <f t="shared" si="2"/>
        <v>6</v>
      </c>
      <c r="B54" s="118" cm="1">
        <f t="array" ref="B54">_xlfn.IFS(A54&lt;=10, 12, A54&lt;=30, 9, A54&lt;=50, 8, A54&lt;=70, 7, A54&lt;=90, 6, A54&lt;=110, 5, A54&lt;=124, 2, TRUE, "Ngoài phạm vi")</f>
        <v>12</v>
      </c>
      <c r="C54" s="117" t="s">
        <v>79</v>
      </c>
      <c r="D54" s="121">
        <f t="shared" si="1"/>
        <v>36</v>
      </c>
      <c r="E54" s="121">
        <f>_xlfn.XLOOKUP(C54,cancuoc!B:B, cancuoc!A:A, "")*2</f>
        <v>6</v>
      </c>
      <c r="F54" s="121">
        <f>_xlfn.XLOOKUP(C54,dinhdanh14!B:B, dinhdanh14!A:A, "")*2</f>
        <v>2</v>
      </c>
      <c r="G54" s="121">
        <f>_xlfn.XLOOKUP(C54,dinhdanh6!B:B, dinhdanh6!A:A, "")*2</f>
        <v>2</v>
      </c>
      <c r="H54" s="121">
        <f>_xlfn.XLOOKUP(C54,dinhdanhcq!B:B, dinhdanhcq!A:A, "")*2</f>
        <v>2</v>
      </c>
      <c r="I54" s="122">
        <f>_xlfn.XLOOKUP(C54,suckhoedientu!B:B, suckhoedientu!A:A, "")*2</f>
        <v>2</v>
      </c>
      <c r="J54" s="122">
        <f>_xlfn.XLOOKUP(C54,baohiemxahoi!B:B, baohiemxahoi!A:A, "")*2</f>
        <v>2</v>
      </c>
      <c r="K54" s="121">
        <f>_xlfn.XLOOKUP(C54,ansinhxahoi!B:B, ansinhxahoi!A:A, "")*2</f>
        <v>2</v>
      </c>
      <c r="L54" s="121">
        <f>_xlfn.XLOOKUP(C54,datdai!B:B, datdai!A:A, "")*2</f>
        <v>2</v>
      </c>
      <c r="M54" s="118">
        <f>_xlfn.XLOOKUP(C54,dvccc!B:B, dvccc!A:A, "")*2</f>
        <v>2</v>
      </c>
      <c r="N54" s="118">
        <f>_xlfn.XLOOKUP(C54,dvcct!B:B, dvcct!A:A, "")*2</f>
        <v>2</v>
      </c>
      <c r="O54" s="118">
        <f>_xlfn.XLOOKUP(C54,'ct10'!B:B, 'ct10'!A:A, "")*2</f>
        <v>2</v>
      </c>
      <c r="P54" s="118">
        <f>_xlfn.XLOOKUP(C54,hosocancuoc!B:B, hosocancuoc!A:A, "")*2</f>
        <v>2</v>
      </c>
      <c r="Q54" s="118">
        <f>_xlfn.XLOOKUP(C54,hosocutru!B:B, hosocutru!A:A, "")*2</f>
        <v>2</v>
      </c>
      <c r="R54" s="118">
        <f>_xlfn.XLOOKUP(C54,bdhvs!B:B, bdhvs!A:A, "")</f>
        <v>1</v>
      </c>
      <c r="S54" s="118">
        <f>_xlfn.XLOOKUP(C54,lamsachdc01!B:B, lamsachdc01!A:A, "")</f>
        <v>1</v>
      </c>
      <c r="T54" s="118">
        <f>_xlfn.XLOOKUP(C54,huyso!B:B, huyso!A:A, "")</f>
        <v>1</v>
      </c>
      <c r="U54" s="118">
        <f>_xlfn.XLOOKUP(C54,treem!B:B, treem!A:A, "")</f>
        <v>1</v>
      </c>
      <c r="V54" s="118">
        <f>_xlfn.XLOOKUP(C54,giaypheplaixe!B:B, giaypheplaixe!A:A, "")</f>
        <v>1</v>
      </c>
      <c r="W54" s="118">
        <f>_xlfn.XLOOKUP(C54,dangkyxe!B:B, dangkyxe!A:A, "")</f>
        <v>1</v>
      </c>
      <c r="X54" s="118"/>
    </row>
    <row r="55" spans="1:24" x14ac:dyDescent="0.3">
      <c r="A55" s="118">
        <f t="shared" si="2"/>
        <v>6</v>
      </c>
      <c r="B55" s="118" cm="1">
        <f t="array" ref="B55">_xlfn.IFS(A55&lt;=10, 12, A55&lt;=30, 9, A55&lt;=50, 8, A55&lt;=70, 7, A55&lt;=90, 6, A55&lt;=110, 5, A55&lt;=124, 2, TRUE, "Ngoài phạm vi")</f>
        <v>12</v>
      </c>
      <c r="C55" s="117" t="s">
        <v>96</v>
      </c>
      <c r="D55" s="121">
        <f t="shared" si="1"/>
        <v>36</v>
      </c>
      <c r="E55" s="121">
        <f>_xlfn.XLOOKUP(C55,cancuoc!B:B, cancuoc!A:A, "")*2</f>
        <v>6</v>
      </c>
      <c r="F55" s="121">
        <f>_xlfn.XLOOKUP(C55,dinhdanh14!B:B, dinhdanh14!A:A, "")*2</f>
        <v>2</v>
      </c>
      <c r="G55" s="121">
        <f>_xlfn.XLOOKUP(C55,dinhdanh6!B:B, dinhdanh6!A:A, "")*2</f>
        <v>2</v>
      </c>
      <c r="H55" s="121">
        <f>_xlfn.XLOOKUP(C55,dinhdanhcq!B:B, dinhdanhcq!A:A, "")*2</f>
        <v>2</v>
      </c>
      <c r="I55" s="122">
        <f>_xlfn.XLOOKUP(C55,suckhoedientu!B:B, suckhoedientu!A:A, "")*2</f>
        <v>2</v>
      </c>
      <c r="J55" s="122">
        <f>_xlfn.XLOOKUP(C55,baohiemxahoi!B:B, baohiemxahoi!A:A, "")*2</f>
        <v>2</v>
      </c>
      <c r="K55" s="121">
        <f>_xlfn.XLOOKUP(C55,ansinhxahoi!B:B, ansinhxahoi!A:A, "")*2</f>
        <v>2</v>
      </c>
      <c r="L55" s="121">
        <f>_xlfn.XLOOKUP(C55,datdai!B:B, datdai!A:A, "")*2</f>
        <v>2</v>
      </c>
      <c r="M55" s="118">
        <f>_xlfn.XLOOKUP(C55,dvccc!B:B, dvccc!A:A, "")*2</f>
        <v>2</v>
      </c>
      <c r="N55" s="118">
        <f>_xlfn.XLOOKUP(C55,dvcct!B:B, dvcct!A:A, "")*2</f>
        <v>2</v>
      </c>
      <c r="O55" s="118">
        <f>_xlfn.XLOOKUP(C55,'ct10'!B:B, 'ct10'!A:A, "")*2</f>
        <v>2</v>
      </c>
      <c r="P55" s="118">
        <f>_xlfn.XLOOKUP(C55,hosocancuoc!B:B, hosocancuoc!A:A, "")*2</f>
        <v>2</v>
      </c>
      <c r="Q55" s="118">
        <f>_xlfn.XLOOKUP(C55,hosocutru!B:B, hosocutru!A:A, "")*2</f>
        <v>2</v>
      </c>
      <c r="R55" s="118">
        <f>_xlfn.XLOOKUP(C55,bdhvs!B:B, bdhvs!A:A, "")</f>
        <v>1</v>
      </c>
      <c r="S55" s="118">
        <f>_xlfn.XLOOKUP(C55,lamsachdc01!B:B, lamsachdc01!A:A, "")</f>
        <v>1</v>
      </c>
      <c r="T55" s="118">
        <f>_xlfn.XLOOKUP(C55,huyso!B:B, huyso!A:A, "")</f>
        <v>1</v>
      </c>
      <c r="U55" s="118">
        <f>_xlfn.XLOOKUP(C55,treem!B:B, treem!A:A, "")</f>
        <v>1</v>
      </c>
      <c r="V55" s="118">
        <f>_xlfn.XLOOKUP(C55,giaypheplaixe!B:B, giaypheplaixe!A:A, "")</f>
        <v>1</v>
      </c>
      <c r="W55" s="118">
        <f>_xlfn.XLOOKUP(C55,dangkyxe!B:B, dangkyxe!A:A, "")</f>
        <v>1</v>
      </c>
      <c r="X55" s="118"/>
    </row>
    <row r="56" spans="1:24" x14ac:dyDescent="0.3">
      <c r="A56" s="118">
        <f t="shared" si="2"/>
        <v>2</v>
      </c>
      <c r="B56" s="118" cm="1">
        <f t="array" ref="B56">_xlfn.IFS(A56&lt;=10, 12, A56&lt;=30, 9, A56&lt;=50, 8, A56&lt;=70, 7, A56&lt;=90, 6, A56&lt;=110, 5, A56&lt;=124, 2, TRUE, "Ngoài phạm vi")</f>
        <v>12</v>
      </c>
      <c r="C56" s="117" t="s">
        <v>108</v>
      </c>
      <c r="D56" s="121">
        <f t="shared" si="1"/>
        <v>34</v>
      </c>
      <c r="E56" s="121">
        <f>_xlfn.XLOOKUP(C56,cancuoc!B:B, cancuoc!A:A, "")*2</f>
        <v>6</v>
      </c>
      <c r="F56" s="121">
        <f>_xlfn.XLOOKUP(C56,dinhdanh14!B:B, dinhdanh14!A:A, "")*2</f>
        <v>2</v>
      </c>
      <c r="G56" s="121">
        <f>_xlfn.XLOOKUP(C56,dinhdanh6!B:B, dinhdanh6!A:A, "")*2</f>
        <v>2</v>
      </c>
      <c r="H56" s="121">
        <f>_xlfn.XLOOKUP(C56,dinhdanhcq!B:B, dinhdanhcq!A:A, "")*2</f>
        <v>2</v>
      </c>
      <c r="I56" s="122">
        <f>_xlfn.XLOOKUP(C56,suckhoedientu!B:B, suckhoedientu!A:A, "")*2</f>
        <v>2</v>
      </c>
      <c r="J56" s="122">
        <f>_xlfn.XLOOKUP(C56,baohiemxahoi!B:B, baohiemxahoi!A:A, "")*2</f>
        <v>2</v>
      </c>
      <c r="K56" s="121">
        <f>_xlfn.XLOOKUP(C56,ansinhxahoi!B:B, ansinhxahoi!A:A, "")*2</f>
        <v>2</v>
      </c>
      <c r="L56" s="121">
        <f>_xlfn.XLOOKUP(C56,datdai!B:B, datdai!A:A, "")*2</f>
        <v>2</v>
      </c>
      <c r="M56" s="118">
        <f>_xlfn.XLOOKUP(C56,dvccc!B:B, dvccc!A:A, "")*2</f>
        <v>2</v>
      </c>
      <c r="N56" s="118">
        <f>_xlfn.XLOOKUP(C56,dvcct!B:B, dvcct!A:A, "")*2</f>
        <v>2</v>
      </c>
      <c r="O56" s="118">
        <f>_xlfn.XLOOKUP(C56,'ct10'!B:B, 'ct10'!A:A, "")*2</f>
        <v>2</v>
      </c>
      <c r="P56" s="118">
        <f>_xlfn.XLOOKUP(C56,hosocancuoc!B:B, hosocancuoc!A:A, "")*2</f>
        <v>2</v>
      </c>
      <c r="Q56" s="118">
        <f>_xlfn.XLOOKUP(C56,hosocutru!B:B, hosocutru!A:A, "")*2</f>
        <v>2</v>
      </c>
      <c r="R56" s="118">
        <f>_xlfn.XLOOKUP(C56,bdhvs!B:B, bdhvs!A:A, "")</f>
        <v>1</v>
      </c>
      <c r="S56" s="118">
        <f>_xlfn.XLOOKUP(C56,lamsachdc01!B:B, lamsachdc01!A:A, "")</f>
        <v>1</v>
      </c>
      <c r="T56" s="118">
        <f>_xlfn.XLOOKUP(C56,huyso!B:B, huyso!A:A, "")</f>
        <v>1</v>
      </c>
      <c r="U56" s="118">
        <f>_xlfn.XLOOKUP(C56,treem!B:B, treem!A:A, "")</f>
        <v>1</v>
      </c>
      <c r="V56" s="118" t="str">
        <f>_xlfn.XLOOKUP(C56,giaypheplaixe!B:B, giaypheplaixe!A:A, "")</f>
        <v/>
      </c>
      <c r="W56" s="118" t="str">
        <f>_xlfn.XLOOKUP(C56,dangkyxe!B:B, dangkyxe!A:A, "")</f>
        <v/>
      </c>
      <c r="X56" s="118"/>
    </row>
    <row r="57" spans="1:24" x14ac:dyDescent="0.3">
      <c r="A57" s="118">
        <f t="shared" si="2"/>
        <v>6</v>
      </c>
      <c r="B57" s="118" cm="1">
        <f t="array" ref="B57">_xlfn.IFS(A57&lt;=10, 12, A57&lt;=30, 9, A57&lt;=50, 8, A57&lt;=70, 7, A57&lt;=90, 6, A57&lt;=110, 5, A57&lt;=124, 2, TRUE, "Ngoài phạm vi")</f>
        <v>12</v>
      </c>
      <c r="C57" s="117" t="s">
        <v>104</v>
      </c>
      <c r="D57" s="121">
        <f t="shared" si="1"/>
        <v>36</v>
      </c>
      <c r="E57" s="121">
        <f>_xlfn.XLOOKUP(C57,cancuoc!B:B, cancuoc!A:A, "")*2</f>
        <v>6</v>
      </c>
      <c r="F57" s="121">
        <f>_xlfn.XLOOKUP(C57,dinhdanh14!B:B, dinhdanh14!A:A, "")*2</f>
        <v>2</v>
      </c>
      <c r="G57" s="121">
        <f>_xlfn.XLOOKUP(C57,dinhdanh6!B:B, dinhdanh6!A:A, "")*2</f>
        <v>2</v>
      </c>
      <c r="H57" s="121">
        <f>_xlfn.XLOOKUP(C57,dinhdanhcq!B:B, dinhdanhcq!A:A, "")*2</f>
        <v>2</v>
      </c>
      <c r="I57" s="122">
        <f>_xlfn.XLOOKUP(C57,suckhoedientu!B:B, suckhoedientu!A:A, "")*2</f>
        <v>2</v>
      </c>
      <c r="J57" s="122">
        <f>_xlfn.XLOOKUP(C57,baohiemxahoi!B:B, baohiemxahoi!A:A, "")*2</f>
        <v>2</v>
      </c>
      <c r="K57" s="121">
        <f>_xlfn.XLOOKUP(C57,ansinhxahoi!B:B, ansinhxahoi!A:A, "")*2</f>
        <v>2</v>
      </c>
      <c r="L57" s="121">
        <f>_xlfn.XLOOKUP(C57,datdai!B:B, datdai!A:A, "")*2</f>
        <v>2</v>
      </c>
      <c r="M57" s="118">
        <f>_xlfn.XLOOKUP(C57,dvccc!B:B, dvccc!A:A, "")*2</f>
        <v>2</v>
      </c>
      <c r="N57" s="118">
        <f>_xlfn.XLOOKUP(C57,dvcct!B:B, dvcct!A:A, "")*2</f>
        <v>2</v>
      </c>
      <c r="O57" s="118">
        <f>_xlfn.XLOOKUP(C57,'ct10'!B:B, 'ct10'!A:A, "")*2</f>
        <v>2</v>
      </c>
      <c r="P57" s="118">
        <f>_xlfn.XLOOKUP(C57,hosocancuoc!B:B, hosocancuoc!A:A, "")*2</f>
        <v>2</v>
      </c>
      <c r="Q57" s="118">
        <f>_xlfn.XLOOKUP(C57,hosocutru!B:B, hosocutru!A:A, "")*2</f>
        <v>2</v>
      </c>
      <c r="R57" s="118">
        <f>_xlfn.XLOOKUP(C57,bdhvs!B:B, bdhvs!A:A, "")</f>
        <v>1</v>
      </c>
      <c r="S57" s="118">
        <f>_xlfn.XLOOKUP(C57,lamsachdc01!B:B, lamsachdc01!A:A, "")</f>
        <v>1</v>
      </c>
      <c r="T57" s="118">
        <f>_xlfn.XLOOKUP(C57,huyso!B:B, huyso!A:A, "")</f>
        <v>1</v>
      </c>
      <c r="U57" s="118">
        <f>_xlfn.XLOOKUP(C57,treem!B:B, treem!A:A, "")</f>
        <v>1</v>
      </c>
      <c r="V57" s="118">
        <f>_xlfn.XLOOKUP(C57,giaypheplaixe!B:B, giaypheplaixe!A:A, "")</f>
        <v>1</v>
      </c>
      <c r="W57" s="118">
        <f>_xlfn.XLOOKUP(C57,dangkyxe!B:B, dangkyxe!A:A, "")</f>
        <v>1</v>
      </c>
      <c r="X57" s="118"/>
    </row>
    <row r="58" spans="1:24" x14ac:dyDescent="0.3">
      <c r="A58" s="118">
        <f t="shared" si="2"/>
        <v>6</v>
      </c>
      <c r="B58" s="118" cm="1">
        <f t="array" ref="B58">_xlfn.IFS(A58&lt;=10, 12, A58&lt;=30, 9, A58&lt;=50, 8, A58&lt;=70, 7, A58&lt;=90, 6, A58&lt;=110, 5, A58&lt;=124, 2, TRUE, "Ngoài phạm vi")</f>
        <v>12</v>
      </c>
      <c r="C58" s="117" t="s">
        <v>106</v>
      </c>
      <c r="D58" s="121">
        <f t="shared" si="1"/>
        <v>36</v>
      </c>
      <c r="E58" s="121">
        <f>_xlfn.XLOOKUP(C58,cancuoc!B:B, cancuoc!A:A, "")*2</f>
        <v>6</v>
      </c>
      <c r="F58" s="121">
        <f>_xlfn.XLOOKUP(C58,dinhdanh14!B:B, dinhdanh14!A:A, "")*2</f>
        <v>2</v>
      </c>
      <c r="G58" s="121">
        <f>_xlfn.XLOOKUP(C58,dinhdanh6!B:B, dinhdanh6!A:A, "")*2</f>
        <v>2</v>
      </c>
      <c r="H58" s="121">
        <f>_xlfn.XLOOKUP(C58,dinhdanhcq!B:B, dinhdanhcq!A:A, "")*2</f>
        <v>2</v>
      </c>
      <c r="I58" s="122">
        <f>_xlfn.XLOOKUP(C58,suckhoedientu!B:B, suckhoedientu!A:A, "")*2</f>
        <v>2</v>
      </c>
      <c r="J58" s="122">
        <f>_xlfn.XLOOKUP(C58,baohiemxahoi!B:B, baohiemxahoi!A:A, "")*2</f>
        <v>2</v>
      </c>
      <c r="K58" s="121">
        <f>_xlfn.XLOOKUP(C58,ansinhxahoi!B:B, ansinhxahoi!A:A, "")*2</f>
        <v>2</v>
      </c>
      <c r="L58" s="121">
        <f>_xlfn.XLOOKUP(C58,datdai!B:B, datdai!A:A, "")*2</f>
        <v>2</v>
      </c>
      <c r="M58" s="118">
        <f>_xlfn.XLOOKUP(C58,dvccc!B:B, dvccc!A:A, "")*2</f>
        <v>2</v>
      </c>
      <c r="N58" s="118">
        <f>_xlfn.XLOOKUP(C58,dvcct!B:B, dvcct!A:A, "")*2</f>
        <v>2</v>
      </c>
      <c r="O58" s="118">
        <f>_xlfn.XLOOKUP(C58,'ct10'!B:B, 'ct10'!A:A, "")*2</f>
        <v>2</v>
      </c>
      <c r="P58" s="118">
        <f>_xlfn.XLOOKUP(C58,hosocancuoc!B:B, hosocancuoc!A:A, "")*2</f>
        <v>2</v>
      </c>
      <c r="Q58" s="118">
        <f>_xlfn.XLOOKUP(C58,hosocutru!B:B, hosocutru!A:A, "")*2</f>
        <v>2</v>
      </c>
      <c r="R58" s="118">
        <f>_xlfn.XLOOKUP(C58,bdhvs!B:B, bdhvs!A:A, "")</f>
        <v>1</v>
      </c>
      <c r="S58" s="118">
        <f>_xlfn.XLOOKUP(C58,lamsachdc01!B:B, lamsachdc01!A:A, "")</f>
        <v>1</v>
      </c>
      <c r="T58" s="118">
        <f>_xlfn.XLOOKUP(C58,huyso!B:B, huyso!A:A, "")</f>
        <v>1</v>
      </c>
      <c r="U58" s="118">
        <f>_xlfn.XLOOKUP(C58,treem!B:B, treem!A:A, "")</f>
        <v>1</v>
      </c>
      <c r="V58" s="118">
        <f>_xlfn.XLOOKUP(C58,giaypheplaixe!B:B, giaypheplaixe!A:A, "")</f>
        <v>1</v>
      </c>
      <c r="W58" s="118">
        <f>_xlfn.XLOOKUP(C58,dangkyxe!B:B, dangkyxe!A:A, "")</f>
        <v>1</v>
      </c>
      <c r="X58" s="118"/>
    </row>
    <row r="59" spans="1:24" x14ac:dyDescent="0.3">
      <c r="A59" s="118">
        <f t="shared" si="2"/>
        <v>6</v>
      </c>
      <c r="B59" s="118" cm="1">
        <f t="array" ref="B59">_xlfn.IFS(A59&lt;=10, 12, A59&lt;=30, 9, A59&lt;=50, 8, A59&lt;=70, 7, A59&lt;=90, 6, A59&lt;=110, 5, A59&lt;=124, 2, TRUE, "Ngoài phạm vi")</f>
        <v>12</v>
      </c>
      <c r="C59" s="117" t="s">
        <v>7</v>
      </c>
      <c r="D59" s="121">
        <f t="shared" si="1"/>
        <v>36</v>
      </c>
      <c r="E59" s="121">
        <f>_xlfn.XLOOKUP(C59,cancuoc!B:B, cancuoc!A:A, "")*2</f>
        <v>6</v>
      </c>
      <c r="F59" s="121">
        <f>_xlfn.XLOOKUP(C59,dinhdanh14!B:B, dinhdanh14!A:A, "")*2</f>
        <v>2</v>
      </c>
      <c r="G59" s="121">
        <f>_xlfn.XLOOKUP(C59,dinhdanh6!B:B, dinhdanh6!A:A, "")*2</f>
        <v>2</v>
      </c>
      <c r="H59" s="121">
        <f>_xlfn.XLOOKUP(C59,dinhdanhcq!B:B, dinhdanhcq!A:A, "")*2</f>
        <v>2</v>
      </c>
      <c r="I59" s="122">
        <f>_xlfn.XLOOKUP(C59,suckhoedientu!B:B, suckhoedientu!A:A, "")*2</f>
        <v>2</v>
      </c>
      <c r="J59" s="122">
        <f>_xlfn.XLOOKUP(C59,baohiemxahoi!B:B, baohiemxahoi!A:A, "")*2</f>
        <v>2</v>
      </c>
      <c r="K59" s="121">
        <f>_xlfn.XLOOKUP(C59,ansinhxahoi!B:B, ansinhxahoi!A:A, "")*2</f>
        <v>2</v>
      </c>
      <c r="L59" s="121">
        <f>_xlfn.XLOOKUP(C59,datdai!B:B, datdai!A:A, "")*2</f>
        <v>2</v>
      </c>
      <c r="M59" s="118">
        <f>_xlfn.XLOOKUP(C59,dvccc!B:B, dvccc!A:A, "")*2</f>
        <v>2</v>
      </c>
      <c r="N59" s="118">
        <f>_xlfn.XLOOKUP(C59,dvcct!B:B, dvcct!A:A, "")*2</f>
        <v>2</v>
      </c>
      <c r="O59" s="118">
        <f>_xlfn.XLOOKUP(C59,'ct10'!B:B, 'ct10'!A:A, "")*2</f>
        <v>2</v>
      </c>
      <c r="P59" s="118">
        <f>_xlfn.XLOOKUP(C59,hosocancuoc!B:B, hosocancuoc!A:A, "")*2</f>
        <v>2</v>
      </c>
      <c r="Q59" s="118">
        <f>_xlfn.XLOOKUP(C59,hosocutru!B:B, hosocutru!A:A, "")*2</f>
        <v>2</v>
      </c>
      <c r="R59" s="118">
        <f>_xlfn.XLOOKUP(C59,bdhvs!B:B, bdhvs!A:A, "")</f>
        <v>1</v>
      </c>
      <c r="S59" s="118">
        <f>_xlfn.XLOOKUP(C59,lamsachdc01!B:B, lamsachdc01!A:A, "")</f>
        <v>1</v>
      </c>
      <c r="T59" s="118">
        <f>_xlfn.XLOOKUP(C59,huyso!B:B, huyso!A:A, "")</f>
        <v>1</v>
      </c>
      <c r="U59" s="118">
        <f>_xlfn.XLOOKUP(C59,treem!B:B, treem!A:A, "")</f>
        <v>1</v>
      </c>
      <c r="V59" s="118">
        <f>_xlfn.XLOOKUP(C59,giaypheplaixe!B:B, giaypheplaixe!A:A, "")</f>
        <v>1</v>
      </c>
      <c r="W59" s="118">
        <f>_xlfn.XLOOKUP(C59,dangkyxe!B:B, dangkyxe!A:A, "")</f>
        <v>1</v>
      </c>
      <c r="X59" s="118"/>
    </row>
    <row r="60" spans="1:24" x14ac:dyDescent="0.3">
      <c r="A60" s="118">
        <f t="shared" si="2"/>
        <v>6</v>
      </c>
      <c r="B60" s="118" cm="1">
        <f t="array" ref="B60">_xlfn.IFS(A60&lt;=10, 12, A60&lt;=30, 9, A60&lt;=50, 8, A60&lt;=70, 7, A60&lt;=90, 6, A60&lt;=110, 5, A60&lt;=124, 2, TRUE, "Ngoài phạm vi")</f>
        <v>12</v>
      </c>
      <c r="C60" s="117" t="s">
        <v>95</v>
      </c>
      <c r="D60" s="121">
        <f t="shared" si="1"/>
        <v>36</v>
      </c>
      <c r="E60" s="121">
        <f>_xlfn.XLOOKUP(C60,cancuoc!B:B, cancuoc!A:A, "")*2</f>
        <v>6</v>
      </c>
      <c r="F60" s="121">
        <f>_xlfn.XLOOKUP(C60,dinhdanh14!B:B, dinhdanh14!A:A, "")*2</f>
        <v>2</v>
      </c>
      <c r="G60" s="121">
        <f>_xlfn.XLOOKUP(C60,dinhdanh6!B:B, dinhdanh6!A:A, "")*2</f>
        <v>2</v>
      </c>
      <c r="H60" s="121">
        <f>_xlfn.XLOOKUP(C60,dinhdanhcq!B:B, dinhdanhcq!A:A, "")*2</f>
        <v>2</v>
      </c>
      <c r="I60" s="122">
        <f>_xlfn.XLOOKUP(C60,suckhoedientu!B:B, suckhoedientu!A:A, "")*2</f>
        <v>2</v>
      </c>
      <c r="J60" s="122">
        <f>_xlfn.XLOOKUP(C60,baohiemxahoi!B:B, baohiemxahoi!A:A, "")*2</f>
        <v>2</v>
      </c>
      <c r="K60" s="121">
        <f>_xlfn.XLOOKUP(C60,ansinhxahoi!B:B, ansinhxahoi!A:A, "")*2</f>
        <v>2</v>
      </c>
      <c r="L60" s="121">
        <f>_xlfn.XLOOKUP(C60,datdai!B:B, datdai!A:A, "")*2</f>
        <v>2</v>
      </c>
      <c r="M60" s="118">
        <f>_xlfn.XLOOKUP(C60,dvccc!B:B, dvccc!A:A, "")*2</f>
        <v>2</v>
      </c>
      <c r="N60" s="118">
        <f>_xlfn.XLOOKUP(C60,dvcct!B:B, dvcct!A:A, "")*2</f>
        <v>2</v>
      </c>
      <c r="O60" s="118">
        <f>_xlfn.XLOOKUP(C60,'ct10'!B:B, 'ct10'!A:A, "")*2</f>
        <v>2</v>
      </c>
      <c r="P60" s="118">
        <f>_xlfn.XLOOKUP(C60,hosocancuoc!B:B, hosocancuoc!A:A, "")*2</f>
        <v>2</v>
      </c>
      <c r="Q60" s="118">
        <f>_xlfn.XLOOKUP(C60,hosocutru!B:B, hosocutru!A:A, "")*2</f>
        <v>2</v>
      </c>
      <c r="R60" s="118">
        <f>_xlfn.XLOOKUP(C60,bdhvs!B:B, bdhvs!A:A, "")</f>
        <v>1</v>
      </c>
      <c r="S60" s="118">
        <f>_xlfn.XLOOKUP(C60,lamsachdc01!B:B, lamsachdc01!A:A, "")</f>
        <v>1</v>
      </c>
      <c r="T60" s="118">
        <f>_xlfn.XLOOKUP(C60,huyso!B:B, huyso!A:A, "")</f>
        <v>1</v>
      </c>
      <c r="U60" s="118">
        <f>_xlfn.XLOOKUP(C60,treem!B:B, treem!A:A, "")</f>
        <v>1</v>
      </c>
      <c r="V60" s="118">
        <f>_xlfn.XLOOKUP(C60,giaypheplaixe!B:B, giaypheplaixe!A:A, "")</f>
        <v>1</v>
      </c>
      <c r="W60" s="118">
        <f>_xlfn.XLOOKUP(C60,dangkyxe!B:B, dangkyxe!A:A, "")</f>
        <v>1</v>
      </c>
      <c r="X60" s="118"/>
    </row>
    <row r="61" spans="1:24" x14ac:dyDescent="0.3">
      <c r="A61" s="118">
        <f t="shared" si="2"/>
        <v>6</v>
      </c>
      <c r="B61" s="118" cm="1">
        <f t="array" ref="B61">_xlfn.IFS(A61&lt;=10, 12, A61&lt;=30, 9, A61&lt;=50, 8, A61&lt;=70, 7, A61&lt;=90, 6, A61&lt;=110, 5, A61&lt;=124, 2, TRUE, "Ngoài phạm vi")</f>
        <v>12</v>
      </c>
      <c r="C61" s="117" t="s">
        <v>30</v>
      </c>
      <c r="D61" s="121">
        <f t="shared" si="1"/>
        <v>36</v>
      </c>
      <c r="E61" s="121">
        <f>_xlfn.XLOOKUP(C61,cancuoc!B:B, cancuoc!A:A, "")*2</f>
        <v>6</v>
      </c>
      <c r="F61" s="121">
        <f>_xlfn.XLOOKUP(C61,dinhdanh14!B:B, dinhdanh14!A:A, "")*2</f>
        <v>2</v>
      </c>
      <c r="G61" s="121">
        <f>_xlfn.XLOOKUP(C61,dinhdanh6!B:B, dinhdanh6!A:A, "")*2</f>
        <v>2</v>
      </c>
      <c r="H61" s="121">
        <f>_xlfn.XLOOKUP(C61,dinhdanhcq!B:B, dinhdanhcq!A:A, "")*2</f>
        <v>2</v>
      </c>
      <c r="I61" s="122">
        <f>_xlfn.XLOOKUP(C61,suckhoedientu!B:B, suckhoedientu!A:A, "")*2</f>
        <v>2</v>
      </c>
      <c r="J61" s="122">
        <f>_xlfn.XLOOKUP(C61,baohiemxahoi!B:B, baohiemxahoi!A:A, "")*2</f>
        <v>2</v>
      </c>
      <c r="K61" s="121">
        <f>_xlfn.XLOOKUP(C61,ansinhxahoi!B:B, ansinhxahoi!A:A, "")*2</f>
        <v>2</v>
      </c>
      <c r="L61" s="121">
        <f>_xlfn.XLOOKUP(C61,datdai!B:B, datdai!A:A, "")*2</f>
        <v>2</v>
      </c>
      <c r="M61" s="118">
        <f>_xlfn.XLOOKUP(C61,dvccc!B:B, dvccc!A:A, "")*2</f>
        <v>2</v>
      </c>
      <c r="N61" s="118">
        <f>_xlfn.XLOOKUP(C61,dvcct!B:B, dvcct!A:A, "")*2</f>
        <v>2</v>
      </c>
      <c r="O61" s="118">
        <f>_xlfn.XLOOKUP(C61,'ct10'!B:B, 'ct10'!A:A, "")*2</f>
        <v>2</v>
      </c>
      <c r="P61" s="118">
        <f>_xlfn.XLOOKUP(C61,hosocancuoc!B:B, hosocancuoc!A:A, "")*2</f>
        <v>2</v>
      </c>
      <c r="Q61" s="118">
        <f>_xlfn.XLOOKUP(C61,hosocutru!B:B, hosocutru!A:A, "")*2</f>
        <v>2</v>
      </c>
      <c r="R61" s="118">
        <f>_xlfn.XLOOKUP(C61,bdhvs!B:B, bdhvs!A:A, "")</f>
        <v>1</v>
      </c>
      <c r="S61" s="118">
        <f>_xlfn.XLOOKUP(C61,lamsachdc01!B:B, lamsachdc01!A:A, "")</f>
        <v>1</v>
      </c>
      <c r="T61" s="118">
        <f>_xlfn.XLOOKUP(C61,huyso!B:B, huyso!A:A, "")</f>
        <v>1</v>
      </c>
      <c r="U61" s="118">
        <f>_xlfn.XLOOKUP(C61,treem!B:B, treem!A:A, "")</f>
        <v>1</v>
      </c>
      <c r="V61" s="118">
        <f>_xlfn.XLOOKUP(C61,giaypheplaixe!B:B, giaypheplaixe!A:A, "")</f>
        <v>1</v>
      </c>
      <c r="W61" s="118">
        <f>_xlfn.XLOOKUP(C61,dangkyxe!B:B, dangkyxe!A:A, "")</f>
        <v>1</v>
      </c>
      <c r="X61" s="118"/>
    </row>
    <row r="62" spans="1:24" x14ac:dyDescent="0.3">
      <c r="A62" s="118">
        <f t="shared" si="2"/>
        <v>6</v>
      </c>
      <c r="B62" s="118" cm="1">
        <f t="array" ref="B62">_xlfn.IFS(A62&lt;=10, 12, A62&lt;=30, 9, A62&lt;=50, 8, A62&lt;=70, 7, A62&lt;=90, 6, A62&lt;=110, 5, A62&lt;=124, 2, TRUE, "Ngoài phạm vi")</f>
        <v>12</v>
      </c>
      <c r="C62" s="117" t="s">
        <v>80</v>
      </c>
      <c r="D62" s="121">
        <f t="shared" si="1"/>
        <v>36</v>
      </c>
      <c r="E62" s="121">
        <f>_xlfn.XLOOKUP(C62,cancuoc!B:B, cancuoc!A:A, "")*2</f>
        <v>6</v>
      </c>
      <c r="F62" s="121">
        <f>_xlfn.XLOOKUP(C62,dinhdanh14!B:B, dinhdanh14!A:A, "")*2</f>
        <v>2</v>
      </c>
      <c r="G62" s="121">
        <f>_xlfn.XLOOKUP(C62,dinhdanh6!B:B, dinhdanh6!A:A, "")*2</f>
        <v>2</v>
      </c>
      <c r="H62" s="121">
        <f>_xlfn.XLOOKUP(C62,dinhdanhcq!B:B, dinhdanhcq!A:A, "")*2</f>
        <v>2</v>
      </c>
      <c r="I62" s="122">
        <f>_xlfn.XLOOKUP(C62,suckhoedientu!B:B, suckhoedientu!A:A, "")*2</f>
        <v>2</v>
      </c>
      <c r="J62" s="122">
        <f>_xlfn.XLOOKUP(C62,baohiemxahoi!B:B, baohiemxahoi!A:A, "")*2</f>
        <v>2</v>
      </c>
      <c r="K62" s="121">
        <f>_xlfn.XLOOKUP(C62,ansinhxahoi!B:B, ansinhxahoi!A:A, "")*2</f>
        <v>2</v>
      </c>
      <c r="L62" s="121">
        <f>_xlfn.XLOOKUP(C62,datdai!B:B, datdai!A:A, "")*2</f>
        <v>2</v>
      </c>
      <c r="M62" s="118">
        <f>_xlfn.XLOOKUP(C62,dvccc!B:B, dvccc!A:A, "")*2</f>
        <v>2</v>
      </c>
      <c r="N62" s="118">
        <f>_xlfn.XLOOKUP(C62,dvcct!B:B, dvcct!A:A, "")*2</f>
        <v>2</v>
      </c>
      <c r="O62" s="118">
        <f>_xlfn.XLOOKUP(C62,'ct10'!B:B, 'ct10'!A:A, "")*2</f>
        <v>2</v>
      </c>
      <c r="P62" s="118">
        <f>_xlfn.XLOOKUP(C62,hosocancuoc!B:B, hosocancuoc!A:A, "")*2</f>
        <v>2</v>
      </c>
      <c r="Q62" s="118">
        <f>_xlfn.XLOOKUP(C62,hosocutru!B:B, hosocutru!A:A, "")*2</f>
        <v>2</v>
      </c>
      <c r="R62" s="118">
        <f>_xlfn.XLOOKUP(C62,bdhvs!B:B, bdhvs!A:A, "")</f>
        <v>1</v>
      </c>
      <c r="S62" s="118">
        <f>_xlfn.XLOOKUP(C62,lamsachdc01!B:B, lamsachdc01!A:A, "")</f>
        <v>1</v>
      </c>
      <c r="T62" s="118">
        <f>_xlfn.XLOOKUP(C62,huyso!B:B, huyso!A:A, "")</f>
        <v>1</v>
      </c>
      <c r="U62" s="118">
        <f>_xlfn.XLOOKUP(C62,treem!B:B, treem!A:A, "")</f>
        <v>1</v>
      </c>
      <c r="V62" s="118">
        <f>_xlfn.XLOOKUP(C62,giaypheplaixe!B:B, giaypheplaixe!A:A, "")</f>
        <v>1</v>
      </c>
      <c r="W62" s="118">
        <f>_xlfn.XLOOKUP(C62,dangkyxe!B:B, dangkyxe!A:A, "")</f>
        <v>1</v>
      </c>
      <c r="X62" s="118"/>
    </row>
    <row r="63" spans="1:24" x14ac:dyDescent="0.3">
      <c r="A63" s="118">
        <f t="shared" si="2"/>
        <v>6</v>
      </c>
      <c r="B63" s="118" cm="1">
        <f t="array" ref="B63">_xlfn.IFS(A63&lt;=10, 12, A63&lt;=30, 9, A63&lt;=50, 8, A63&lt;=70, 7, A63&lt;=90, 6, A63&lt;=110, 5, A63&lt;=124, 2, TRUE, "Ngoài phạm vi")</f>
        <v>12</v>
      </c>
      <c r="C63" s="117" t="s">
        <v>82</v>
      </c>
      <c r="D63" s="121">
        <f t="shared" si="1"/>
        <v>36</v>
      </c>
      <c r="E63" s="121">
        <f>_xlfn.XLOOKUP(C63,cancuoc!B:B, cancuoc!A:A, "")*2</f>
        <v>6</v>
      </c>
      <c r="F63" s="121">
        <f>_xlfn.XLOOKUP(C63,dinhdanh14!B:B, dinhdanh14!A:A, "")*2</f>
        <v>2</v>
      </c>
      <c r="G63" s="121">
        <f>_xlfn.XLOOKUP(C63,dinhdanh6!B:B, dinhdanh6!A:A, "")*2</f>
        <v>2</v>
      </c>
      <c r="H63" s="121">
        <f>_xlfn.XLOOKUP(C63,dinhdanhcq!B:B, dinhdanhcq!A:A, "")*2</f>
        <v>2</v>
      </c>
      <c r="I63" s="122">
        <f>_xlfn.XLOOKUP(C63,suckhoedientu!B:B, suckhoedientu!A:A, "")*2</f>
        <v>2</v>
      </c>
      <c r="J63" s="122">
        <f>_xlfn.XLOOKUP(C63,baohiemxahoi!B:B, baohiemxahoi!A:A, "")*2</f>
        <v>2</v>
      </c>
      <c r="K63" s="121">
        <f>_xlfn.XLOOKUP(C63,ansinhxahoi!B:B, ansinhxahoi!A:A, "")*2</f>
        <v>2</v>
      </c>
      <c r="L63" s="121">
        <f>_xlfn.XLOOKUP(C63,datdai!B:B, datdai!A:A, "")*2</f>
        <v>2</v>
      </c>
      <c r="M63" s="118">
        <f>_xlfn.XLOOKUP(C63,dvccc!B:B, dvccc!A:A, "")*2</f>
        <v>2</v>
      </c>
      <c r="N63" s="118">
        <f>_xlfn.XLOOKUP(C63,dvcct!B:B, dvcct!A:A, "")*2</f>
        <v>2</v>
      </c>
      <c r="O63" s="118">
        <f>_xlfn.XLOOKUP(C63,'ct10'!B:B, 'ct10'!A:A, "")*2</f>
        <v>2</v>
      </c>
      <c r="P63" s="118">
        <f>_xlfn.XLOOKUP(C63,hosocancuoc!B:B, hosocancuoc!A:A, "")*2</f>
        <v>2</v>
      </c>
      <c r="Q63" s="118">
        <f>_xlfn.XLOOKUP(C63,hosocutru!B:B, hosocutru!A:A, "")*2</f>
        <v>2</v>
      </c>
      <c r="R63" s="118">
        <f>_xlfn.XLOOKUP(C63,bdhvs!B:B, bdhvs!A:A, "")</f>
        <v>1</v>
      </c>
      <c r="S63" s="118">
        <f>_xlfn.XLOOKUP(C63,lamsachdc01!B:B, lamsachdc01!A:A, "")</f>
        <v>1</v>
      </c>
      <c r="T63" s="118">
        <f>_xlfn.XLOOKUP(C63,huyso!B:B, huyso!A:A, "")</f>
        <v>1</v>
      </c>
      <c r="U63" s="118">
        <f>_xlfn.XLOOKUP(C63,treem!B:B, treem!A:A, "")</f>
        <v>1</v>
      </c>
      <c r="V63" s="118">
        <f>_xlfn.XLOOKUP(C63,giaypheplaixe!B:B, giaypheplaixe!A:A, "")</f>
        <v>1</v>
      </c>
      <c r="W63" s="118">
        <f>_xlfn.XLOOKUP(C63,dangkyxe!B:B, dangkyxe!A:A, "")</f>
        <v>1</v>
      </c>
      <c r="X63" s="118"/>
    </row>
    <row r="64" spans="1:24" x14ac:dyDescent="0.3">
      <c r="A64" s="118">
        <f t="shared" si="2"/>
        <v>6</v>
      </c>
      <c r="B64" s="118" cm="1">
        <f t="array" ref="B64">_xlfn.IFS(A64&lt;=10, 12, A64&lt;=30, 9, A64&lt;=50, 8, A64&lt;=70, 7, A64&lt;=90, 6, A64&lt;=110, 5, A64&lt;=124, 2, TRUE, "Ngoài phạm vi")</f>
        <v>12</v>
      </c>
      <c r="C64" s="117" t="s">
        <v>47</v>
      </c>
      <c r="D64" s="121">
        <f t="shared" si="1"/>
        <v>36</v>
      </c>
      <c r="E64" s="121">
        <f>_xlfn.XLOOKUP(C64,cancuoc!B:B, cancuoc!A:A, "")*2</f>
        <v>6</v>
      </c>
      <c r="F64" s="121">
        <f>_xlfn.XLOOKUP(C64,dinhdanh14!B:B, dinhdanh14!A:A, "")*2</f>
        <v>2</v>
      </c>
      <c r="G64" s="121">
        <f>_xlfn.XLOOKUP(C64,dinhdanh6!B:B, dinhdanh6!A:A, "")*2</f>
        <v>2</v>
      </c>
      <c r="H64" s="121">
        <f>_xlfn.XLOOKUP(C64,dinhdanhcq!B:B, dinhdanhcq!A:A, "")*2</f>
        <v>2</v>
      </c>
      <c r="I64" s="122">
        <f>_xlfn.XLOOKUP(C64,suckhoedientu!B:B, suckhoedientu!A:A, "")*2</f>
        <v>2</v>
      </c>
      <c r="J64" s="122">
        <f>_xlfn.XLOOKUP(C64,baohiemxahoi!B:B, baohiemxahoi!A:A, "")*2</f>
        <v>2</v>
      </c>
      <c r="K64" s="121">
        <f>_xlfn.XLOOKUP(C64,ansinhxahoi!B:B, ansinhxahoi!A:A, "")*2</f>
        <v>2</v>
      </c>
      <c r="L64" s="121">
        <f>_xlfn.XLOOKUP(C64,datdai!B:B, datdai!A:A, "")*2</f>
        <v>2</v>
      </c>
      <c r="M64" s="118">
        <f>_xlfn.XLOOKUP(C64,dvccc!B:B, dvccc!A:A, "")*2</f>
        <v>2</v>
      </c>
      <c r="N64" s="118">
        <f>_xlfn.XLOOKUP(C64,dvcct!B:B, dvcct!A:A, "")*2</f>
        <v>2</v>
      </c>
      <c r="O64" s="118">
        <f>_xlfn.XLOOKUP(C64,'ct10'!B:B, 'ct10'!A:A, "")*2</f>
        <v>2</v>
      </c>
      <c r="P64" s="118">
        <f>_xlfn.XLOOKUP(C64,hosocancuoc!B:B, hosocancuoc!A:A, "")*2</f>
        <v>2</v>
      </c>
      <c r="Q64" s="118">
        <f>_xlfn.XLOOKUP(C64,hosocutru!B:B, hosocutru!A:A, "")*2</f>
        <v>2</v>
      </c>
      <c r="R64" s="118">
        <f>_xlfn.XLOOKUP(C64,bdhvs!B:B, bdhvs!A:A, "")</f>
        <v>1</v>
      </c>
      <c r="S64" s="118">
        <f>_xlfn.XLOOKUP(C64,lamsachdc01!B:B, lamsachdc01!A:A, "")</f>
        <v>1</v>
      </c>
      <c r="T64" s="118">
        <f>_xlfn.XLOOKUP(C64,huyso!B:B, huyso!A:A, "")</f>
        <v>1</v>
      </c>
      <c r="U64" s="118">
        <f>_xlfn.XLOOKUP(C64,treem!B:B, treem!A:A, "")</f>
        <v>1</v>
      </c>
      <c r="V64" s="118">
        <f>_xlfn.XLOOKUP(C64,giaypheplaixe!B:B, giaypheplaixe!A:A, "")</f>
        <v>1</v>
      </c>
      <c r="W64" s="118">
        <f>_xlfn.XLOOKUP(C64,dangkyxe!B:B, dangkyxe!A:A, "")</f>
        <v>1</v>
      </c>
      <c r="X64" s="118"/>
    </row>
    <row r="65" spans="1:24" x14ac:dyDescent="0.3">
      <c r="A65" s="118">
        <f t="shared" si="2"/>
        <v>6</v>
      </c>
      <c r="B65" s="118" cm="1">
        <f t="array" ref="B65">_xlfn.IFS(A65&lt;=10, 12, A65&lt;=30, 9, A65&lt;=50, 8, A65&lt;=70, 7, A65&lt;=90, 6, A65&lt;=110, 5, A65&lt;=124, 2, TRUE, "Ngoài phạm vi")</f>
        <v>12</v>
      </c>
      <c r="C65" s="117" t="s">
        <v>28</v>
      </c>
      <c r="D65" s="121">
        <f t="shared" si="1"/>
        <v>36</v>
      </c>
      <c r="E65" s="121">
        <f>_xlfn.XLOOKUP(C65,cancuoc!B:B, cancuoc!A:A, "")*2</f>
        <v>6</v>
      </c>
      <c r="F65" s="121">
        <f>_xlfn.XLOOKUP(C65,dinhdanh14!B:B, dinhdanh14!A:A, "")*2</f>
        <v>2</v>
      </c>
      <c r="G65" s="121">
        <f>_xlfn.XLOOKUP(C65,dinhdanh6!B:B, dinhdanh6!A:A, "")*2</f>
        <v>2</v>
      </c>
      <c r="H65" s="121">
        <f>_xlfn.XLOOKUP(C65,dinhdanhcq!B:B, dinhdanhcq!A:A, "")*2</f>
        <v>2</v>
      </c>
      <c r="I65" s="122">
        <f>_xlfn.XLOOKUP(C65,suckhoedientu!B:B, suckhoedientu!A:A, "")*2</f>
        <v>2</v>
      </c>
      <c r="J65" s="122">
        <f>_xlfn.XLOOKUP(C65,baohiemxahoi!B:B, baohiemxahoi!A:A, "")*2</f>
        <v>2</v>
      </c>
      <c r="K65" s="121">
        <f>_xlfn.XLOOKUP(C65,ansinhxahoi!B:B, ansinhxahoi!A:A, "")*2</f>
        <v>2</v>
      </c>
      <c r="L65" s="121">
        <f>_xlfn.XLOOKUP(C65,datdai!B:B, datdai!A:A, "")*2</f>
        <v>2</v>
      </c>
      <c r="M65" s="118">
        <f>_xlfn.XLOOKUP(C65,dvccc!B:B, dvccc!A:A, "")*2</f>
        <v>2</v>
      </c>
      <c r="N65" s="118">
        <f>_xlfn.XLOOKUP(C65,dvcct!B:B, dvcct!A:A, "")*2</f>
        <v>2</v>
      </c>
      <c r="O65" s="118">
        <f>_xlfn.XLOOKUP(C65,'ct10'!B:B, 'ct10'!A:A, "")*2</f>
        <v>2</v>
      </c>
      <c r="P65" s="118">
        <f>_xlfn.XLOOKUP(C65,hosocancuoc!B:B, hosocancuoc!A:A, "")*2</f>
        <v>2</v>
      </c>
      <c r="Q65" s="118">
        <f>_xlfn.XLOOKUP(C65,hosocutru!B:B, hosocutru!A:A, "")*2</f>
        <v>2</v>
      </c>
      <c r="R65" s="118">
        <f>_xlfn.XLOOKUP(C65,bdhvs!B:B, bdhvs!A:A, "")</f>
        <v>1</v>
      </c>
      <c r="S65" s="118">
        <f>_xlfn.XLOOKUP(C65,lamsachdc01!B:B, lamsachdc01!A:A, "")</f>
        <v>1</v>
      </c>
      <c r="T65" s="118">
        <f>_xlfn.XLOOKUP(C65,huyso!B:B, huyso!A:A, "")</f>
        <v>1</v>
      </c>
      <c r="U65" s="118">
        <f>_xlfn.XLOOKUP(C65,treem!B:B, treem!A:A, "")</f>
        <v>1</v>
      </c>
      <c r="V65" s="118">
        <f>_xlfn.XLOOKUP(C65,giaypheplaixe!B:B, giaypheplaixe!A:A, "")</f>
        <v>1</v>
      </c>
      <c r="W65" s="118">
        <f>_xlfn.XLOOKUP(C65,dangkyxe!B:B, dangkyxe!A:A, "")</f>
        <v>1</v>
      </c>
      <c r="X65" s="118"/>
    </row>
    <row r="66" spans="1:24" x14ac:dyDescent="0.3">
      <c r="A66" s="118">
        <f t="shared" si="2"/>
        <v>6</v>
      </c>
      <c r="B66" s="118" cm="1">
        <f t="array" ref="B66">_xlfn.IFS(A66&lt;=10, 12, A66&lt;=30, 9, A66&lt;=50, 8, A66&lt;=70, 7, A66&lt;=90, 6, A66&lt;=110, 5, A66&lt;=124, 2, TRUE, "Ngoài phạm vi")</f>
        <v>12</v>
      </c>
      <c r="C66" s="117" t="s">
        <v>107</v>
      </c>
      <c r="D66" s="121">
        <f t="shared" si="1"/>
        <v>36</v>
      </c>
      <c r="E66" s="121">
        <f>_xlfn.XLOOKUP(C66,cancuoc!B:B, cancuoc!A:A, "")*2</f>
        <v>6</v>
      </c>
      <c r="F66" s="121">
        <f>_xlfn.XLOOKUP(C66,dinhdanh14!B:B, dinhdanh14!A:A, "")*2</f>
        <v>2</v>
      </c>
      <c r="G66" s="121">
        <f>_xlfn.XLOOKUP(C66,dinhdanh6!B:B, dinhdanh6!A:A, "")*2</f>
        <v>2</v>
      </c>
      <c r="H66" s="121">
        <f>_xlfn.XLOOKUP(C66,dinhdanhcq!B:B, dinhdanhcq!A:A, "")*2</f>
        <v>2</v>
      </c>
      <c r="I66" s="122">
        <f>_xlfn.XLOOKUP(C66,suckhoedientu!B:B, suckhoedientu!A:A, "")*2</f>
        <v>2</v>
      </c>
      <c r="J66" s="122">
        <f>_xlfn.XLOOKUP(C66,baohiemxahoi!B:B, baohiemxahoi!A:A, "")*2</f>
        <v>2</v>
      </c>
      <c r="K66" s="121">
        <f>_xlfn.XLOOKUP(C66,ansinhxahoi!B:B, ansinhxahoi!A:A, "")*2</f>
        <v>2</v>
      </c>
      <c r="L66" s="121">
        <f>_xlfn.XLOOKUP(C66,datdai!B:B, datdai!A:A, "")*2</f>
        <v>2</v>
      </c>
      <c r="M66" s="118">
        <f>_xlfn.XLOOKUP(C66,dvccc!B:B, dvccc!A:A, "")*2</f>
        <v>2</v>
      </c>
      <c r="N66" s="118">
        <f>_xlfn.XLOOKUP(C66,dvcct!B:B, dvcct!A:A, "")*2</f>
        <v>2</v>
      </c>
      <c r="O66" s="118">
        <f>_xlfn.XLOOKUP(C66,'ct10'!B:B, 'ct10'!A:A, "")*2</f>
        <v>2</v>
      </c>
      <c r="P66" s="118">
        <f>_xlfn.XLOOKUP(C66,hosocancuoc!B:B, hosocancuoc!A:A, "")*2</f>
        <v>2</v>
      </c>
      <c r="Q66" s="118">
        <f>_xlfn.XLOOKUP(C66,hosocutru!B:B, hosocutru!A:A, "")*2</f>
        <v>2</v>
      </c>
      <c r="R66" s="118">
        <f>_xlfn.XLOOKUP(C66,bdhvs!B:B, bdhvs!A:A, "")</f>
        <v>1</v>
      </c>
      <c r="S66" s="118">
        <f>_xlfn.XLOOKUP(C66,lamsachdc01!B:B, lamsachdc01!A:A, "")</f>
        <v>1</v>
      </c>
      <c r="T66" s="118">
        <f>_xlfn.XLOOKUP(C66,huyso!B:B, huyso!A:A, "")</f>
        <v>1</v>
      </c>
      <c r="U66" s="118">
        <f>_xlfn.XLOOKUP(C66,treem!B:B, treem!A:A, "")</f>
        <v>1</v>
      </c>
      <c r="V66" s="118">
        <f>_xlfn.XLOOKUP(C66,giaypheplaixe!B:B, giaypheplaixe!A:A, "")</f>
        <v>1</v>
      </c>
      <c r="W66" s="118">
        <f>_xlfn.XLOOKUP(C66,dangkyxe!B:B, dangkyxe!A:A, "")</f>
        <v>1</v>
      </c>
      <c r="X66" s="118"/>
    </row>
    <row r="67" spans="1:24" x14ac:dyDescent="0.3">
      <c r="A67" s="118">
        <f t="shared" si="2"/>
        <v>6</v>
      </c>
      <c r="B67" s="118" cm="1">
        <f t="array" ref="B67">_xlfn.IFS(A67&lt;=10, 12, A67&lt;=30, 9, A67&lt;=50, 8, A67&lt;=70, 7, A67&lt;=90, 6, A67&lt;=110, 5, A67&lt;=124, 2, TRUE, "Ngoài phạm vi")</f>
        <v>12</v>
      </c>
      <c r="C67" s="117" t="s">
        <v>105</v>
      </c>
      <c r="D67" s="121">
        <f t="shared" si="1"/>
        <v>36</v>
      </c>
      <c r="E67" s="121">
        <f>_xlfn.XLOOKUP(C67,cancuoc!B:B, cancuoc!A:A, "")*2</f>
        <v>6</v>
      </c>
      <c r="F67" s="121">
        <f>_xlfn.XLOOKUP(C67,dinhdanh14!B:B, dinhdanh14!A:A, "")*2</f>
        <v>2</v>
      </c>
      <c r="G67" s="121">
        <f>_xlfn.XLOOKUP(C67,dinhdanh6!B:B, dinhdanh6!A:A, "")*2</f>
        <v>2</v>
      </c>
      <c r="H67" s="121">
        <f>_xlfn.XLOOKUP(C67,dinhdanhcq!B:B, dinhdanhcq!A:A, "")*2</f>
        <v>2</v>
      </c>
      <c r="I67" s="122">
        <f>_xlfn.XLOOKUP(C67,suckhoedientu!B:B, suckhoedientu!A:A, "")*2</f>
        <v>2</v>
      </c>
      <c r="J67" s="122">
        <f>_xlfn.XLOOKUP(C67,baohiemxahoi!B:B, baohiemxahoi!A:A, "")*2</f>
        <v>2</v>
      </c>
      <c r="K67" s="121">
        <f>_xlfn.XLOOKUP(C67,ansinhxahoi!B:B, ansinhxahoi!A:A, "")*2</f>
        <v>2</v>
      </c>
      <c r="L67" s="121">
        <f>_xlfn.XLOOKUP(C67,datdai!B:B, datdai!A:A, "")*2</f>
        <v>2</v>
      </c>
      <c r="M67" s="118">
        <f>_xlfn.XLOOKUP(C67,dvccc!B:B, dvccc!A:A, "")*2</f>
        <v>2</v>
      </c>
      <c r="N67" s="118">
        <f>_xlfn.XLOOKUP(C67,dvcct!B:B, dvcct!A:A, "")*2</f>
        <v>2</v>
      </c>
      <c r="O67" s="118">
        <f>_xlfn.XLOOKUP(C67,'ct10'!B:B, 'ct10'!A:A, "")*2</f>
        <v>2</v>
      </c>
      <c r="P67" s="118">
        <f>_xlfn.XLOOKUP(C67,hosocancuoc!B:B, hosocancuoc!A:A, "")*2</f>
        <v>2</v>
      </c>
      <c r="Q67" s="118">
        <f>_xlfn.XLOOKUP(C67,hosocutru!B:B, hosocutru!A:A, "")*2</f>
        <v>2</v>
      </c>
      <c r="R67" s="118">
        <f>_xlfn.XLOOKUP(C67,bdhvs!B:B, bdhvs!A:A, "")</f>
        <v>1</v>
      </c>
      <c r="S67" s="118">
        <f>_xlfn.XLOOKUP(C67,lamsachdc01!B:B, lamsachdc01!A:A, "")</f>
        <v>1</v>
      </c>
      <c r="T67" s="118">
        <f>_xlfn.XLOOKUP(C67,huyso!B:B, huyso!A:A, "")</f>
        <v>1</v>
      </c>
      <c r="U67" s="118">
        <f>_xlfn.XLOOKUP(C67,treem!B:B, treem!A:A, "")</f>
        <v>1</v>
      </c>
      <c r="V67" s="118">
        <f>_xlfn.XLOOKUP(C67,giaypheplaixe!B:B, giaypheplaixe!A:A, "")</f>
        <v>1</v>
      </c>
      <c r="W67" s="118">
        <f>_xlfn.XLOOKUP(C67,dangkyxe!B:B, dangkyxe!A:A, "")</f>
        <v>1</v>
      </c>
      <c r="X67" s="118"/>
    </row>
    <row r="68" spans="1:24" x14ac:dyDescent="0.3">
      <c r="A68" s="118">
        <f t="shared" si="2"/>
        <v>6</v>
      </c>
      <c r="B68" s="118" cm="1">
        <f t="array" ref="B68">_xlfn.IFS(A68&lt;=10, 12, A68&lt;=30, 9, A68&lt;=50, 8, A68&lt;=70, 7, A68&lt;=90, 6, A68&lt;=110, 5, A68&lt;=124, 2, TRUE, "Ngoài phạm vi")</f>
        <v>12</v>
      </c>
      <c r="C68" s="117" t="s">
        <v>97</v>
      </c>
      <c r="D68" s="121">
        <f t="shared" si="1"/>
        <v>36</v>
      </c>
      <c r="E68" s="121">
        <f>_xlfn.XLOOKUP(C68,cancuoc!B:B, cancuoc!A:A, "")*2</f>
        <v>6</v>
      </c>
      <c r="F68" s="121">
        <f>_xlfn.XLOOKUP(C68,dinhdanh14!B:B, dinhdanh14!A:A, "")*2</f>
        <v>2</v>
      </c>
      <c r="G68" s="121">
        <f>_xlfn.XLOOKUP(C68,dinhdanh6!B:B, dinhdanh6!A:A, "")*2</f>
        <v>2</v>
      </c>
      <c r="H68" s="121">
        <f>_xlfn.XLOOKUP(C68,dinhdanhcq!B:B, dinhdanhcq!A:A, "")*2</f>
        <v>2</v>
      </c>
      <c r="I68" s="122">
        <f>_xlfn.XLOOKUP(C68,suckhoedientu!B:B, suckhoedientu!A:A, "")*2</f>
        <v>2</v>
      </c>
      <c r="J68" s="122">
        <f>_xlfn.XLOOKUP(C68,baohiemxahoi!B:B, baohiemxahoi!A:A, "")*2</f>
        <v>2</v>
      </c>
      <c r="K68" s="121">
        <f>_xlfn.XLOOKUP(C68,ansinhxahoi!B:B, ansinhxahoi!A:A, "")*2</f>
        <v>2</v>
      </c>
      <c r="L68" s="121">
        <f>_xlfn.XLOOKUP(C68,datdai!B:B, datdai!A:A, "")*2</f>
        <v>2</v>
      </c>
      <c r="M68" s="118">
        <f>_xlfn.XLOOKUP(C68,dvccc!B:B, dvccc!A:A, "")*2</f>
        <v>2</v>
      </c>
      <c r="N68" s="118">
        <f>_xlfn.XLOOKUP(C68,dvcct!B:B, dvcct!A:A, "")*2</f>
        <v>2</v>
      </c>
      <c r="O68" s="118">
        <f>_xlfn.XLOOKUP(C68,'ct10'!B:B, 'ct10'!A:A, "")*2</f>
        <v>2</v>
      </c>
      <c r="P68" s="118">
        <f>_xlfn.XLOOKUP(C68,hosocancuoc!B:B, hosocancuoc!A:A, "")*2</f>
        <v>2</v>
      </c>
      <c r="Q68" s="118">
        <f>_xlfn.XLOOKUP(C68,hosocutru!B:B, hosocutru!A:A, "")*2</f>
        <v>2</v>
      </c>
      <c r="R68" s="118">
        <f>_xlfn.XLOOKUP(C68,bdhvs!B:B, bdhvs!A:A, "")</f>
        <v>1</v>
      </c>
      <c r="S68" s="118">
        <f>_xlfn.XLOOKUP(C68,lamsachdc01!B:B, lamsachdc01!A:A, "")</f>
        <v>1</v>
      </c>
      <c r="T68" s="118">
        <f>_xlfn.XLOOKUP(C68,huyso!B:B, huyso!A:A, "")</f>
        <v>1</v>
      </c>
      <c r="U68" s="118">
        <f>_xlfn.XLOOKUP(C68,treem!B:B, treem!A:A, "")</f>
        <v>1</v>
      </c>
      <c r="V68" s="118">
        <f>_xlfn.XLOOKUP(C68,giaypheplaixe!B:B, giaypheplaixe!A:A, "")</f>
        <v>1</v>
      </c>
      <c r="W68" s="118">
        <f>_xlfn.XLOOKUP(C68,dangkyxe!B:B, dangkyxe!A:A, "")</f>
        <v>1</v>
      </c>
      <c r="X68" s="118"/>
    </row>
    <row r="69" spans="1:24" x14ac:dyDescent="0.3">
      <c r="A69" s="118">
        <f t="shared" si="2"/>
        <v>6</v>
      </c>
      <c r="B69" s="118" cm="1">
        <f t="array" ref="B69">_xlfn.IFS(A69&lt;=10, 12, A69&lt;=30, 9, A69&lt;=50, 8, A69&lt;=70, 7, A69&lt;=90, 6, A69&lt;=110, 5, A69&lt;=124, 2, TRUE, "Ngoài phạm vi")</f>
        <v>12</v>
      </c>
      <c r="C69" s="117" t="s">
        <v>76</v>
      </c>
      <c r="D69" s="121">
        <f t="shared" si="1"/>
        <v>36</v>
      </c>
      <c r="E69" s="121">
        <f>_xlfn.XLOOKUP(C69,cancuoc!B:B, cancuoc!A:A, "")*2</f>
        <v>6</v>
      </c>
      <c r="F69" s="121">
        <f>_xlfn.XLOOKUP(C69,dinhdanh14!B:B, dinhdanh14!A:A, "")*2</f>
        <v>2</v>
      </c>
      <c r="G69" s="121">
        <f>_xlfn.XLOOKUP(C69,dinhdanh6!B:B, dinhdanh6!A:A, "")*2</f>
        <v>2</v>
      </c>
      <c r="H69" s="121">
        <f>_xlfn.XLOOKUP(C69,dinhdanhcq!B:B, dinhdanhcq!A:A, "")*2</f>
        <v>2</v>
      </c>
      <c r="I69" s="122">
        <f>_xlfn.XLOOKUP(C69,suckhoedientu!B:B, suckhoedientu!A:A, "")*2</f>
        <v>2</v>
      </c>
      <c r="J69" s="122">
        <f>_xlfn.XLOOKUP(C69,baohiemxahoi!B:B, baohiemxahoi!A:A, "")*2</f>
        <v>2</v>
      </c>
      <c r="K69" s="121">
        <f>_xlfn.XLOOKUP(C69,ansinhxahoi!B:B, ansinhxahoi!A:A, "")*2</f>
        <v>2</v>
      </c>
      <c r="L69" s="121">
        <f>_xlfn.XLOOKUP(C69,datdai!B:B, datdai!A:A, "")*2</f>
        <v>2</v>
      </c>
      <c r="M69" s="118">
        <f>_xlfn.XLOOKUP(C69,dvccc!B:B, dvccc!A:A, "")*2</f>
        <v>2</v>
      </c>
      <c r="N69" s="118">
        <f>_xlfn.XLOOKUP(C69,dvcct!B:B, dvcct!A:A, "")*2</f>
        <v>2</v>
      </c>
      <c r="O69" s="118">
        <f>_xlfn.XLOOKUP(C69,'ct10'!B:B, 'ct10'!A:A, "")*2</f>
        <v>2</v>
      </c>
      <c r="P69" s="118">
        <f>_xlfn.XLOOKUP(C69,hosocancuoc!B:B, hosocancuoc!A:A, "")*2</f>
        <v>2</v>
      </c>
      <c r="Q69" s="118">
        <f>_xlfn.XLOOKUP(C69,hosocutru!B:B, hosocutru!A:A, "")*2</f>
        <v>2</v>
      </c>
      <c r="R69" s="118">
        <f>_xlfn.XLOOKUP(C69,bdhvs!B:B, bdhvs!A:A, "")</f>
        <v>1</v>
      </c>
      <c r="S69" s="118">
        <f>_xlfn.XLOOKUP(C69,lamsachdc01!B:B, lamsachdc01!A:A, "")</f>
        <v>1</v>
      </c>
      <c r="T69" s="118">
        <f>_xlfn.XLOOKUP(C69,huyso!B:B, huyso!A:A, "")</f>
        <v>1</v>
      </c>
      <c r="U69" s="118">
        <f>_xlfn.XLOOKUP(C69,treem!B:B, treem!A:A, "")</f>
        <v>1</v>
      </c>
      <c r="V69" s="118">
        <f>_xlfn.XLOOKUP(C69,giaypheplaixe!B:B, giaypheplaixe!A:A, "")</f>
        <v>1</v>
      </c>
      <c r="W69" s="118">
        <f>_xlfn.XLOOKUP(C69,dangkyxe!B:B, dangkyxe!A:A, "")</f>
        <v>1</v>
      </c>
      <c r="X69" s="118"/>
    </row>
    <row r="70" spans="1:24" x14ac:dyDescent="0.3">
      <c r="A70" s="118">
        <f t="shared" ref="A70:A101" si="3">_xlfn.RANK.EQ(D70,$D$6:$D$129,1)</f>
        <v>6</v>
      </c>
      <c r="B70" s="118" cm="1">
        <f t="array" ref="B70">_xlfn.IFS(A70&lt;=10, 12, A70&lt;=30, 9, A70&lt;=50, 8, A70&lt;=70, 7, A70&lt;=90, 6, A70&lt;=110, 5, A70&lt;=124, 2, TRUE, "Ngoài phạm vi")</f>
        <v>12</v>
      </c>
      <c r="C70" s="117" t="s">
        <v>118</v>
      </c>
      <c r="D70" s="121">
        <f t="shared" si="1"/>
        <v>36</v>
      </c>
      <c r="E70" s="121">
        <f>_xlfn.XLOOKUP(C70,cancuoc!B:B, cancuoc!A:A, "")*2</f>
        <v>6</v>
      </c>
      <c r="F70" s="121">
        <f>_xlfn.XLOOKUP(C70,dinhdanh14!B:B, dinhdanh14!A:A, "")*2</f>
        <v>2</v>
      </c>
      <c r="G70" s="121">
        <f>_xlfn.XLOOKUP(C70,dinhdanh6!B:B, dinhdanh6!A:A, "")*2</f>
        <v>2</v>
      </c>
      <c r="H70" s="121">
        <f>_xlfn.XLOOKUP(C70,dinhdanhcq!B:B, dinhdanhcq!A:A, "")*2</f>
        <v>2</v>
      </c>
      <c r="I70" s="122">
        <f>_xlfn.XLOOKUP(C70,suckhoedientu!B:B, suckhoedientu!A:A, "")*2</f>
        <v>2</v>
      </c>
      <c r="J70" s="122">
        <f>_xlfn.XLOOKUP(C70,baohiemxahoi!B:B, baohiemxahoi!A:A, "")*2</f>
        <v>2</v>
      </c>
      <c r="K70" s="121">
        <f>_xlfn.XLOOKUP(C70,ansinhxahoi!B:B, ansinhxahoi!A:A, "")*2</f>
        <v>2</v>
      </c>
      <c r="L70" s="121">
        <f>_xlfn.XLOOKUP(C70,datdai!B:B, datdai!A:A, "")*2</f>
        <v>2</v>
      </c>
      <c r="M70" s="118">
        <f>_xlfn.XLOOKUP(C70,dvccc!B:B, dvccc!A:A, "")*2</f>
        <v>2</v>
      </c>
      <c r="N70" s="118">
        <f>_xlfn.XLOOKUP(C70,dvcct!B:B, dvcct!A:A, "")*2</f>
        <v>2</v>
      </c>
      <c r="O70" s="118">
        <f>_xlfn.XLOOKUP(C70,'ct10'!B:B, 'ct10'!A:A, "")*2</f>
        <v>2</v>
      </c>
      <c r="P70" s="118">
        <f>_xlfn.XLOOKUP(C70,hosocancuoc!B:B, hosocancuoc!A:A, "")*2</f>
        <v>2</v>
      </c>
      <c r="Q70" s="118">
        <f>_xlfn.XLOOKUP(C70,hosocutru!B:B, hosocutru!A:A, "")*2</f>
        <v>2</v>
      </c>
      <c r="R70" s="118">
        <f>_xlfn.XLOOKUP(C70,bdhvs!B:B, bdhvs!A:A, "")</f>
        <v>1</v>
      </c>
      <c r="S70" s="118">
        <f>_xlfn.XLOOKUP(C70,lamsachdc01!B:B, lamsachdc01!A:A, "")</f>
        <v>1</v>
      </c>
      <c r="T70" s="118">
        <f>_xlfn.XLOOKUP(C70,huyso!B:B, huyso!A:A, "")</f>
        <v>1</v>
      </c>
      <c r="U70" s="118">
        <f>_xlfn.XLOOKUP(C70,treem!B:B, treem!A:A, "")</f>
        <v>1</v>
      </c>
      <c r="V70" s="118">
        <f>_xlfn.XLOOKUP(C70,giaypheplaixe!B:B, giaypheplaixe!A:A, "")</f>
        <v>1</v>
      </c>
      <c r="W70" s="118">
        <f>_xlfn.XLOOKUP(C70,dangkyxe!B:B, dangkyxe!A:A, "")</f>
        <v>1</v>
      </c>
      <c r="X70" s="118"/>
    </row>
    <row r="71" spans="1:24" x14ac:dyDescent="0.3">
      <c r="A71" s="118">
        <f t="shared" si="3"/>
        <v>6</v>
      </c>
      <c r="B71" s="118" cm="1">
        <f t="array" ref="B71">_xlfn.IFS(A71&lt;=10, 12, A71&lt;=30, 9, A71&lt;=50, 8, A71&lt;=70, 7, A71&lt;=90, 6, A71&lt;=110, 5, A71&lt;=124, 2, TRUE, "Ngoài phạm vi")</f>
        <v>12</v>
      </c>
      <c r="C71" s="117" t="s">
        <v>43</v>
      </c>
      <c r="D71" s="121">
        <f t="shared" ref="D71:D129" si="4">SUM(E71:X71)</f>
        <v>36</v>
      </c>
      <c r="E71" s="121">
        <f>_xlfn.XLOOKUP(C71,cancuoc!B:B, cancuoc!A:A, "")*2</f>
        <v>6</v>
      </c>
      <c r="F71" s="121">
        <f>_xlfn.XLOOKUP(C71,dinhdanh14!B:B, dinhdanh14!A:A, "")*2</f>
        <v>2</v>
      </c>
      <c r="G71" s="121">
        <f>_xlfn.XLOOKUP(C71,dinhdanh6!B:B, dinhdanh6!A:A, "")*2</f>
        <v>2</v>
      </c>
      <c r="H71" s="121">
        <f>_xlfn.XLOOKUP(C71,dinhdanhcq!B:B, dinhdanhcq!A:A, "")*2</f>
        <v>2</v>
      </c>
      <c r="I71" s="122">
        <f>_xlfn.XLOOKUP(C71,suckhoedientu!B:B, suckhoedientu!A:A, "")*2</f>
        <v>2</v>
      </c>
      <c r="J71" s="122">
        <f>_xlfn.XLOOKUP(C71,baohiemxahoi!B:B, baohiemxahoi!A:A, "")*2</f>
        <v>2</v>
      </c>
      <c r="K71" s="121">
        <f>_xlfn.XLOOKUP(C71,ansinhxahoi!B:B, ansinhxahoi!A:A, "")*2</f>
        <v>2</v>
      </c>
      <c r="L71" s="121">
        <f>_xlfn.XLOOKUP(C71,datdai!B:B, datdai!A:A, "")*2</f>
        <v>2</v>
      </c>
      <c r="M71" s="118">
        <f>_xlfn.XLOOKUP(C71,dvccc!B:B, dvccc!A:A, "")*2</f>
        <v>2</v>
      </c>
      <c r="N71" s="118">
        <f>_xlfn.XLOOKUP(C71,dvcct!B:B, dvcct!A:A, "")*2</f>
        <v>2</v>
      </c>
      <c r="O71" s="118">
        <f>_xlfn.XLOOKUP(C71,'ct10'!B:B, 'ct10'!A:A, "")*2</f>
        <v>2</v>
      </c>
      <c r="P71" s="118">
        <f>_xlfn.XLOOKUP(C71,hosocancuoc!B:B, hosocancuoc!A:A, "")*2</f>
        <v>2</v>
      </c>
      <c r="Q71" s="118">
        <f>_xlfn.XLOOKUP(C71,hosocutru!B:B, hosocutru!A:A, "")*2</f>
        <v>2</v>
      </c>
      <c r="R71" s="118">
        <f>_xlfn.XLOOKUP(C71,bdhvs!B:B, bdhvs!A:A, "")</f>
        <v>1</v>
      </c>
      <c r="S71" s="118">
        <f>_xlfn.XLOOKUP(C71,lamsachdc01!B:B, lamsachdc01!A:A, "")</f>
        <v>1</v>
      </c>
      <c r="T71" s="118">
        <f>_xlfn.XLOOKUP(C71,huyso!B:B, huyso!A:A, "")</f>
        <v>1</v>
      </c>
      <c r="U71" s="118">
        <f>_xlfn.XLOOKUP(C71,treem!B:B, treem!A:A, "")</f>
        <v>1</v>
      </c>
      <c r="V71" s="118">
        <f>_xlfn.XLOOKUP(C71,giaypheplaixe!B:B, giaypheplaixe!A:A, "")</f>
        <v>1</v>
      </c>
      <c r="W71" s="118">
        <f>_xlfn.XLOOKUP(C71,dangkyxe!B:B, dangkyxe!A:A, "")</f>
        <v>1</v>
      </c>
      <c r="X71" s="118"/>
    </row>
    <row r="72" spans="1:24" x14ac:dyDescent="0.3">
      <c r="A72" s="118">
        <f t="shared" si="3"/>
        <v>6</v>
      </c>
      <c r="B72" s="118" cm="1">
        <f t="array" ref="B72">_xlfn.IFS(A72&lt;=10, 12, A72&lt;=30, 9, A72&lt;=50, 8, A72&lt;=70, 7, A72&lt;=90, 6, A72&lt;=110, 5, A72&lt;=124, 2, TRUE, "Ngoài phạm vi")</f>
        <v>12</v>
      </c>
      <c r="C72" s="123" t="s">
        <v>73</v>
      </c>
      <c r="D72" s="121">
        <f t="shared" si="4"/>
        <v>36</v>
      </c>
      <c r="E72" s="121">
        <f>_xlfn.XLOOKUP(C72,cancuoc!B:B, cancuoc!A:A, "")*2</f>
        <v>6</v>
      </c>
      <c r="F72" s="121">
        <f>_xlfn.XLOOKUP(C72,dinhdanh14!B:B, dinhdanh14!A:A, "")*2</f>
        <v>2</v>
      </c>
      <c r="G72" s="121">
        <f>_xlfn.XLOOKUP(C72,dinhdanh6!B:B, dinhdanh6!A:A, "")*2</f>
        <v>2</v>
      </c>
      <c r="H72" s="121">
        <f>_xlfn.XLOOKUP(C72,dinhdanhcq!B:B, dinhdanhcq!A:A, "")*2</f>
        <v>2</v>
      </c>
      <c r="I72" s="122">
        <f>_xlfn.XLOOKUP(C72,suckhoedientu!B:B, suckhoedientu!A:A, "")*2</f>
        <v>2</v>
      </c>
      <c r="J72" s="122">
        <f>_xlfn.XLOOKUP(C72,baohiemxahoi!B:B, baohiemxahoi!A:A, "")*2</f>
        <v>2</v>
      </c>
      <c r="K72" s="121">
        <f>_xlfn.XLOOKUP(C72,ansinhxahoi!B:B, ansinhxahoi!A:A, "")*2</f>
        <v>2</v>
      </c>
      <c r="L72" s="121">
        <f>_xlfn.XLOOKUP(C72,datdai!B:B, datdai!A:A, "")*2</f>
        <v>2</v>
      </c>
      <c r="M72" s="118">
        <f>_xlfn.XLOOKUP(C72,dvccc!B:B, dvccc!A:A, "")*2</f>
        <v>2</v>
      </c>
      <c r="N72" s="118">
        <f>_xlfn.XLOOKUP(C72,dvcct!B:B, dvcct!A:A, "")*2</f>
        <v>2</v>
      </c>
      <c r="O72" s="118">
        <f>_xlfn.XLOOKUP(C72,'ct10'!B:B, 'ct10'!A:A, "")*2</f>
        <v>2</v>
      </c>
      <c r="P72" s="118">
        <f>_xlfn.XLOOKUP(C72,hosocancuoc!B:B, hosocancuoc!A:A, "")*2</f>
        <v>2</v>
      </c>
      <c r="Q72" s="118">
        <f>_xlfn.XLOOKUP(C72,hosocutru!B:B, hosocutru!A:A, "")*2</f>
        <v>2</v>
      </c>
      <c r="R72" s="118">
        <f>_xlfn.XLOOKUP(C72,bdhvs!B:B, bdhvs!A:A, "")</f>
        <v>1</v>
      </c>
      <c r="S72" s="118">
        <f>_xlfn.XLOOKUP(C72,lamsachdc01!B:B, lamsachdc01!A:A, "")</f>
        <v>1</v>
      </c>
      <c r="T72" s="118">
        <f>_xlfn.XLOOKUP(C72,huyso!B:B, huyso!A:A, "")</f>
        <v>1</v>
      </c>
      <c r="U72" s="118">
        <f>_xlfn.XLOOKUP(C72,treem!B:B, treem!A:A, "")</f>
        <v>1</v>
      </c>
      <c r="V72" s="118">
        <f>_xlfn.XLOOKUP(C72,giaypheplaixe!B:B, giaypheplaixe!A:A, "")</f>
        <v>1</v>
      </c>
      <c r="W72" s="118">
        <f>_xlfn.XLOOKUP(C72,dangkyxe!B:B, dangkyxe!A:A, "")</f>
        <v>1</v>
      </c>
      <c r="X72" s="118"/>
    </row>
    <row r="73" spans="1:24" x14ac:dyDescent="0.3">
      <c r="A73" s="118">
        <f t="shared" si="3"/>
        <v>6</v>
      </c>
      <c r="B73" s="118" cm="1">
        <f t="array" ref="B73">_xlfn.IFS(A73&lt;=10, 12, A73&lt;=30, 9, A73&lt;=50, 8, A73&lt;=70, 7, A73&lt;=90, 6, A73&lt;=110, 5, A73&lt;=124, 2, TRUE, "Ngoài phạm vi")</f>
        <v>12</v>
      </c>
      <c r="C73" s="117" t="s">
        <v>23</v>
      </c>
      <c r="D73" s="121">
        <f t="shared" si="4"/>
        <v>36</v>
      </c>
      <c r="E73" s="121">
        <f>_xlfn.XLOOKUP(C73,cancuoc!B:B, cancuoc!A:A, "")*2</f>
        <v>6</v>
      </c>
      <c r="F73" s="121">
        <f>_xlfn.XLOOKUP(C73,dinhdanh14!B:B, dinhdanh14!A:A, "")*2</f>
        <v>2</v>
      </c>
      <c r="G73" s="121">
        <f>_xlfn.XLOOKUP(C73,dinhdanh6!B:B, dinhdanh6!A:A, "")*2</f>
        <v>2</v>
      </c>
      <c r="H73" s="121">
        <f>_xlfn.XLOOKUP(C73,dinhdanhcq!B:B, dinhdanhcq!A:A, "")*2</f>
        <v>2</v>
      </c>
      <c r="I73" s="122">
        <f>_xlfn.XLOOKUP(C73,suckhoedientu!B:B, suckhoedientu!A:A, "")*2</f>
        <v>2</v>
      </c>
      <c r="J73" s="122">
        <f>_xlfn.XLOOKUP(C73,baohiemxahoi!B:B, baohiemxahoi!A:A, "")*2</f>
        <v>2</v>
      </c>
      <c r="K73" s="121">
        <f>_xlfn.XLOOKUP(C73,ansinhxahoi!B:B, ansinhxahoi!A:A, "")*2</f>
        <v>2</v>
      </c>
      <c r="L73" s="121">
        <f>_xlfn.XLOOKUP(C73,datdai!B:B, datdai!A:A, "")*2</f>
        <v>2</v>
      </c>
      <c r="M73" s="118">
        <f>_xlfn.XLOOKUP(C73,dvccc!B:B, dvccc!A:A, "")*2</f>
        <v>2</v>
      </c>
      <c r="N73" s="118">
        <f>_xlfn.XLOOKUP(C73,dvcct!B:B, dvcct!A:A, "")*2</f>
        <v>2</v>
      </c>
      <c r="O73" s="118">
        <f>_xlfn.XLOOKUP(C73,'ct10'!B:B, 'ct10'!A:A, "")*2</f>
        <v>2</v>
      </c>
      <c r="P73" s="118">
        <f>_xlfn.XLOOKUP(C73,hosocancuoc!B:B, hosocancuoc!A:A, "")*2</f>
        <v>2</v>
      </c>
      <c r="Q73" s="118">
        <f>_xlfn.XLOOKUP(C73,hosocutru!B:B, hosocutru!A:A, "")*2</f>
        <v>2</v>
      </c>
      <c r="R73" s="118">
        <f>_xlfn.XLOOKUP(C73,bdhvs!B:B, bdhvs!A:A, "")</f>
        <v>1</v>
      </c>
      <c r="S73" s="118">
        <f>_xlfn.XLOOKUP(C73,lamsachdc01!B:B, lamsachdc01!A:A, "")</f>
        <v>1</v>
      </c>
      <c r="T73" s="118">
        <f>_xlfn.XLOOKUP(C73,huyso!B:B, huyso!A:A, "")</f>
        <v>1</v>
      </c>
      <c r="U73" s="118">
        <f>_xlfn.XLOOKUP(C73,treem!B:B, treem!A:A, "")</f>
        <v>1</v>
      </c>
      <c r="V73" s="118">
        <f>_xlfn.XLOOKUP(C73,giaypheplaixe!B:B, giaypheplaixe!A:A, "")</f>
        <v>1</v>
      </c>
      <c r="W73" s="118">
        <f>_xlfn.XLOOKUP(C73,dangkyxe!B:B, dangkyxe!A:A, "")</f>
        <v>1</v>
      </c>
      <c r="X73" s="118"/>
    </row>
    <row r="74" spans="1:24" x14ac:dyDescent="0.3">
      <c r="A74" s="118">
        <f t="shared" si="3"/>
        <v>2</v>
      </c>
      <c r="B74" s="118" cm="1">
        <f t="array" ref="B74">_xlfn.IFS(A74&lt;=10, 12, A74&lt;=30, 9, A74&lt;=50, 8, A74&lt;=70, 7, A74&lt;=90, 6, A74&lt;=110, 5, A74&lt;=124, 2, TRUE, "Ngoài phạm vi")</f>
        <v>12</v>
      </c>
      <c r="C74" s="117" t="s">
        <v>114</v>
      </c>
      <c r="D74" s="121">
        <f t="shared" si="4"/>
        <v>34</v>
      </c>
      <c r="E74" s="121">
        <f>_xlfn.XLOOKUP(C74,cancuoc!B:B, cancuoc!A:A, "")*2</f>
        <v>6</v>
      </c>
      <c r="F74" s="121">
        <f>_xlfn.XLOOKUP(C74,dinhdanh14!B:B, dinhdanh14!A:A, "")*2</f>
        <v>2</v>
      </c>
      <c r="G74" s="121">
        <f>_xlfn.XLOOKUP(C74,dinhdanh6!B:B, dinhdanh6!A:A, "")*2</f>
        <v>2</v>
      </c>
      <c r="H74" s="121">
        <f>_xlfn.XLOOKUP(C74,dinhdanhcq!B:B, dinhdanhcq!A:A, "")*2</f>
        <v>2</v>
      </c>
      <c r="I74" s="122">
        <f>_xlfn.XLOOKUP(C74,suckhoedientu!B:B, suckhoedientu!A:A, "")*2</f>
        <v>2</v>
      </c>
      <c r="J74" s="122">
        <f>_xlfn.XLOOKUP(C74,baohiemxahoi!B:B, baohiemxahoi!A:A, "")*2</f>
        <v>2</v>
      </c>
      <c r="K74" s="121">
        <f>_xlfn.XLOOKUP(C74,ansinhxahoi!B:B, ansinhxahoi!A:A, "")*2</f>
        <v>2</v>
      </c>
      <c r="L74" s="121">
        <f>_xlfn.XLOOKUP(C74,datdai!B:B, datdai!A:A, "")*2</f>
        <v>2</v>
      </c>
      <c r="M74" s="118">
        <f>_xlfn.XLOOKUP(C74,dvccc!B:B, dvccc!A:A, "")*2</f>
        <v>2</v>
      </c>
      <c r="N74" s="118">
        <f>_xlfn.XLOOKUP(C74,dvcct!B:B, dvcct!A:A, "")*2</f>
        <v>2</v>
      </c>
      <c r="O74" s="118">
        <f>_xlfn.XLOOKUP(C74,'ct10'!B:B, 'ct10'!A:A, "")*2</f>
        <v>2</v>
      </c>
      <c r="P74" s="118">
        <f>_xlfn.XLOOKUP(C74,hosocancuoc!B:B, hosocancuoc!A:A, "")*2</f>
        <v>2</v>
      </c>
      <c r="Q74" s="118">
        <f>_xlfn.XLOOKUP(C74,hosocutru!B:B, hosocutru!A:A, "")*2</f>
        <v>2</v>
      </c>
      <c r="R74" s="118">
        <f>_xlfn.XLOOKUP(C74,bdhvs!B:B, bdhvs!A:A, "")</f>
        <v>1</v>
      </c>
      <c r="S74" s="118">
        <f>_xlfn.XLOOKUP(C74,lamsachdc01!B:B, lamsachdc01!A:A, "")</f>
        <v>1</v>
      </c>
      <c r="T74" s="118">
        <f>_xlfn.XLOOKUP(C74,huyso!B:B, huyso!A:A, "")</f>
        <v>1</v>
      </c>
      <c r="U74" s="118">
        <f>_xlfn.XLOOKUP(C74,treem!B:B, treem!A:A, "")</f>
        <v>1</v>
      </c>
      <c r="V74" s="118" t="str">
        <f>_xlfn.XLOOKUP(C74,giaypheplaixe!B:B, giaypheplaixe!A:A, "")</f>
        <v/>
      </c>
      <c r="W74" s="118" t="str">
        <f>_xlfn.XLOOKUP(C74,dangkyxe!B:B, dangkyxe!A:A, "")</f>
        <v/>
      </c>
      <c r="X74" s="118"/>
    </row>
    <row r="75" spans="1:24" x14ac:dyDescent="0.3">
      <c r="A75" s="118">
        <f t="shared" si="3"/>
        <v>6</v>
      </c>
      <c r="B75" s="118" cm="1">
        <f t="array" ref="B75">_xlfn.IFS(A75&lt;=10, 12, A75&lt;=30, 9, A75&lt;=50, 8, A75&lt;=70, 7, A75&lt;=90, 6, A75&lt;=110, 5, A75&lt;=124, 2, TRUE, "Ngoài phạm vi")</f>
        <v>12</v>
      </c>
      <c r="C75" s="117" t="s">
        <v>85</v>
      </c>
      <c r="D75" s="121">
        <f t="shared" si="4"/>
        <v>36</v>
      </c>
      <c r="E75" s="121">
        <f>_xlfn.XLOOKUP(C75,cancuoc!B:B, cancuoc!A:A, "")*2</f>
        <v>6</v>
      </c>
      <c r="F75" s="121">
        <f>_xlfn.XLOOKUP(C75,dinhdanh14!B:B, dinhdanh14!A:A, "")*2</f>
        <v>2</v>
      </c>
      <c r="G75" s="121">
        <f>_xlfn.XLOOKUP(C75,dinhdanh6!B:B, dinhdanh6!A:A, "")*2</f>
        <v>2</v>
      </c>
      <c r="H75" s="121">
        <f>_xlfn.XLOOKUP(C75,dinhdanhcq!B:B, dinhdanhcq!A:A, "")*2</f>
        <v>2</v>
      </c>
      <c r="I75" s="122">
        <f>_xlfn.XLOOKUP(C75,suckhoedientu!B:B, suckhoedientu!A:A, "")*2</f>
        <v>2</v>
      </c>
      <c r="J75" s="122">
        <f>_xlfn.XLOOKUP(C75,baohiemxahoi!B:B, baohiemxahoi!A:A, "")*2</f>
        <v>2</v>
      </c>
      <c r="K75" s="121">
        <f>_xlfn.XLOOKUP(C75,ansinhxahoi!B:B, ansinhxahoi!A:A, "")*2</f>
        <v>2</v>
      </c>
      <c r="L75" s="121">
        <f>_xlfn.XLOOKUP(C75,datdai!B:B, datdai!A:A, "")*2</f>
        <v>2</v>
      </c>
      <c r="M75" s="118">
        <f>_xlfn.XLOOKUP(C75,dvccc!B:B, dvccc!A:A, "")*2</f>
        <v>2</v>
      </c>
      <c r="N75" s="118">
        <f>_xlfn.XLOOKUP(C75,dvcct!B:B, dvcct!A:A, "")*2</f>
        <v>2</v>
      </c>
      <c r="O75" s="118">
        <f>_xlfn.XLOOKUP(C75,'ct10'!B:B, 'ct10'!A:A, "")*2</f>
        <v>2</v>
      </c>
      <c r="P75" s="118">
        <f>_xlfn.XLOOKUP(C75,hosocancuoc!B:B, hosocancuoc!A:A, "")*2</f>
        <v>2</v>
      </c>
      <c r="Q75" s="118">
        <f>_xlfn.XLOOKUP(C75,hosocutru!B:B, hosocutru!A:A, "")*2</f>
        <v>2</v>
      </c>
      <c r="R75" s="118">
        <f>_xlfn.XLOOKUP(C75,bdhvs!B:B, bdhvs!A:A, "")</f>
        <v>1</v>
      </c>
      <c r="S75" s="118">
        <f>_xlfn.XLOOKUP(C75,lamsachdc01!B:B, lamsachdc01!A:A, "")</f>
        <v>1</v>
      </c>
      <c r="T75" s="118">
        <f>_xlfn.XLOOKUP(C75,huyso!B:B, huyso!A:A, "")</f>
        <v>1</v>
      </c>
      <c r="U75" s="118">
        <f>_xlfn.XLOOKUP(C75,treem!B:B, treem!A:A, "")</f>
        <v>1</v>
      </c>
      <c r="V75" s="118">
        <f>_xlfn.XLOOKUP(C75,giaypheplaixe!B:B, giaypheplaixe!A:A, "")</f>
        <v>1</v>
      </c>
      <c r="W75" s="118">
        <f>_xlfn.XLOOKUP(C75,dangkyxe!B:B, dangkyxe!A:A, "")</f>
        <v>1</v>
      </c>
      <c r="X75" s="118"/>
    </row>
    <row r="76" spans="1:24" x14ac:dyDescent="0.3">
      <c r="A76" s="118">
        <f t="shared" si="3"/>
        <v>6</v>
      </c>
      <c r="B76" s="118" cm="1">
        <f t="array" ref="B76">_xlfn.IFS(A76&lt;=10, 12, A76&lt;=30, 9, A76&lt;=50, 8, A76&lt;=70, 7, A76&lt;=90, 6, A76&lt;=110, 5, A76&lt;=124, 2, TRUE, "Ngoài phạm vi")</f>
        <v>12</v>
      </c>
      <c r="C76" s="117" t="s">
        <v>60</v>
      </c>
      <c r="D76" s="121">
        <f t="shared" si="4"/>
        <v>36</v>
      </c>
      <c r="E76" s="121">
        <f>_xlfn.XLOOKUP(C76,cancuoc!B:B, cancuoc!A:A, "")*2</f>
        <v>6</v>
      </c>
      <c r="F76" s="121">
        <f>_xlfn.XLOOKUP(C76,dinhdanh14!B:B, dinhdanh14!A:A, "")*2</f>
        <v>2</v>
      </c>
      <c r="G76" s="121">
        <f>_xlfn.XLOOKUP(C76,dinhdanh6!B:B, dinhdanh6!A:A, "")*2</f>
        <v>2</v>
      </c>
      <c r="H76" s="121">
        <f>_xlfn.XLOOKUP(C76,dinhdanhcq!B:B, dinhdanhcq!A:A, "")*2</f>
        <v>2</v>
      </c>
      <c r="I76" s="122">
        <f>_xlfn.XLOOKUP(C76,suckhoedientu!B:B, suckhoedientu!A:A, "")*2</f>
        <v>2</v>
      </c>
      <c r="J76" s="122">
        <f>_xlfn.XLOOKUP(C76,baohiemxahoi!B:B, baohiemxahoi!A:A, "")*2</f>
        <v>2</v>
      </c>
      <c r="K76" s="121">
        <f>_xlfn.XLOOKUP(C76,ansinhxahoi!B:B, ansinhxahoi!A:A, "")*2</f>
        <v>2</v>
      </c>
      <c r="L76" s="121">
        <f>_xlfn.XLOOKUP(C76,datdai!B:B, datdai!A:A, "")*2</f>
        <v>2</v>
      </c>
      <c r="M76" s="118">
        <f>_xlfn.XLOOKUP(C76,dvccc!B:B, dvccc!A:A, "")*2</f>
        <v>2</v>
      </c>
      <c r="N76" s="118">
        <f>_xlfn.XLOOKUP(C76,dvcct!B:B, dvcct!A:A, "")*2</f>
        <v>2</v>
      </c>
      <c r="O76" s="118">
        <f>_xlfn.XLOOKUP(C76,'ct10'!B:B, 'ct10'!A:A, "")*2</f>
        <v>2</v>
      </c>
      <c r="P76" s="118">
        <f>_xlfn.XLOOKUP(C76,hosocancuoc!B:B, hosocancuoc!A:A, "")*2</f>
        <v>2</v>
      </c>
      <c r="Q76" s="118">
        <f>_xlfn.XLOOKUP(C76,hosocutru!B:B, hosocutru!A:A, "")*2</f>
        <v>2</v>
      </c>
      <c r="R76" s="118">
        <f>_xlfn.XLOOKUP(C76,bdhvs!B:B, bdhvs!A:A, "")</f>
        <v>1</v>
      </c>
      <c r="S76" s="118">
        <f>_xlfn.XLOOKUP(C76,lamsachdc01!B:B, lamsachdc01!A:A, "")</f>
        <v>1</v>
      </c>
      <c r="T76" s="118">
        <f>_xlfn.XLOOKUP(C76,huyso!B:B, huyso!A:A, "")</f>
        <v>1</v>
      </c>
      <c r="U76" s="118">
        <f>_xlfn.XLOOKUP(C76,treem!B:B, treem!A:A, "")</f>
        <v>1</v>
      </c>
      <c r="V76" s="118">
        <f>_xlfn.XLOOKUP(C76,giaypheplaixe!B:B, giaypheplaixe!A:A, "")</f>
        <v>1</v>
      </c>
      <c r="W76" s="118">
        <f>_xlfn.XLOOKUP(C76,dangkyxe!B:B, dangkyxe!A:A, "")</f>
        <v>1</v>
      </c>
      <c r="X76" s="118"/>
    </row>
    <row r="77" spans="1:24" x14ac:dyDescent="0.3">
      <c r="A77" s="118">
        <f t="shared" si="3"/>
        <v>6</v>
      </c>
      <c r="B77" s="118" cm="1">
        <f t="array" ref="B77">_xlfn.IFS(A77&lt;=10, 12, A77&lt;=30, 9, A77&lt;=50, 8, A77&lt;=70, 7, A77&lt;=90, 6, A77&lt;=110, 5, A77&lt;=124, 2, TRUE, "Ngoài phạm vi")</f>
        <v>12</v>
      </c>
      <c r="C77" s="123" t="s">
        <v>44</v>
      </c>
      <c r="D77" s="121">
        <f t="shared" si="4"/>
        <v>36</v>
      </c>
      <c r="E77" s="121">
        <f>_xlfn.XLOOKUP(C77,cancuoc!B:B, cancuoc!A:A, "")*2</f>
        <v>6</v>
      </c>
      <c r="F77" s="121">
        <f>_xlfn.XLOOKUP(C77,dinhdanh14!B:B, dinhdanh14!A:A, "")*2</f>
        <v>2</v>
      </c>
      <c r="G77" s="121">
        <f>_xlfn.XLOOKUP(C77,dinhdanh6!B:B, dinhdanh6!A:A, "")*2</f>
        <v>2</v>
      </c>
      <c r="H77" s="121">
        <f>_xlfn.XLOOKUP(C77,dinhdanhcq!B:B, dinhdanhcq!A:A, "")*2</f>
        <v>2</v>
      </c>
      <c r="I77" s="122">
        <f>_xlfn.XLOOKUP(C77,suckhoedientu!B:B, suckhoedientu!A:A, "")*2</f>
        <v>2</v>
      </c>
      <c r="J77" s="122">
        <f>_xlfn.XLOOKUP(C77,baohiemxahoi!B:B, baohiemxahoi!A:A, "")*2</f>
        <v>2</v>
      </c>
      <c r="K77" s="121">
        <f>_xlfn.XLOOKUP(C77,ansinhxahoi!B:B, ansinhxahoi!A:A, "")*2</f>
        <v>2</v>
      </c>
      <c r="L77" s="121">
        <f>_xlfn.XLOOKUP(C77,datdai!B:B, datdai!A:A, "")*2</f>
        <v>2</v>
      </c>
      <c r="M77" s="118">
        <f>_xlfn.XLOOKUP(C77,dvccc!B:B, dvccc!A:A, "")*2</f>
        <v>2</v>
      </c>
      <c r="N77" s="118">
        <f>_xlfn.XLOOKUP(C77,dvcct!B:B, dvcct!A:A, "")*2</f>
        <v>2</v>
      </c>
      <c r="O77" s="118">
        <f>_xlfn.XLOOKUP(C77,'ct10'!B:B, 'ct10'!A:A, "")*2</f>
        <v>2</v>
      </c>
      <c r="P77" s="118">
        <f>_xlfn.XLOOKUP(C77,hosocancuoc!B:B, hosocancuoc!A:A, "")*2</f>
        <v>2</v>
      </c>
      <c r="Q77" s="118">
        <f>_xlfn.XLOOKUP(C77,hosocutru!B:B, hosocutru!A:A, "")*2</f>
        <v>2</v>
      </c>
      <c r="R77" s="118">
        <f>_xlfn.XLOOKUP(C77,bdhvs!B:B, bdhvs!A:A, "")</f>
        <v>1</v>
      </c>
      <c r="S77" s="118">
        <f>_xlfn.XLOOKUP(C77,lamsachdc01!B:B, lamsachdc01!A:A, "")</f>
        <v>1</v>
      </c>
      <c r="T77" s="118">
        <f>_xlfn.XLOOKUP(C77,huyso!B:B, huyso!A:A, "")</f>
        <v>1</v>
      </c>
      <c r="U77" s="118">
        <f>_xlfn.XLOOKUP(C77,treem!B:B, treem!A:A, "")</f>
        <v>1</v>
      </c>
      <c r="V77" s="118">
        <f>_xlfn.XLOOKUP(C77,giaypheplaixe!B:B, giaypheplaixe!A:A, "")</f>
        <v>1</v>
      </c>
      <c r="W77" s="118">
        <f>_xlfn.XLOOKUP(C77,dangkyxe!B:B, dangkyxe!A:A, "")</f>
        <v>1</v>
      </c>
      <c r="X77" s="118"/>
    </row>
    <row r="78" spans="1:24" x14ac:dyDescent="0.3">
      <c r="A78" s="118">
        <f t="shared" si="3"/>
        <v>6</v>
      </c>
      <c r="B78" s="118" cm="1">
        <f t="array" ref="B78">_xlfn.IFS(A78&lt;=10, 12, A78&lt;=30, 9, A78&lt;=50, 8, A78&lt;=70, 7, A78&lt;=90, 6, A78&lt;=110, 5, A78&lt;=124, 2, TRUE, "Ngoài phạm vi")</f>
        <v>12</v>
      </c>
      <c r="C78" s="117" t="s">
        <v>91</v>
      </c>
      <c r="D78" s="121">
        <f t="shared" si="4"/>
        <v>36</v>
      </c>
      <c r="E78" s="121">
        <f>_xlfn.XLOOKUP(C78,cancuoc!B:B, cancuoc!A:A, "")*2</f>
        <v>6</v>
      </c>
      <c r="F78" s="121">
        <f>_xlfn.XLOOKUP(C78,dinhdanh14!B:B, dinhdanh14!A:A, "")*2</f>
        <v>2</v>
      </c>
      <c r="G78" s="121">
        <f>_xlfn.XLOOKUP(C78,dinhdanh6!B:B, dinhdanh6!A:A, "")*2</f>
        <v>2</v>
      </c>
      <c r="H78" s="121">
        <f>_xlfn.XLOOKUP(C78,dinhdanhcq!B:B, dinhdanhcq!A:A, "")*2</f>
        <v>2</v>
      </c>
      <c r="I78" s="122">
        <f>_xlfn.XLOOKUP(C78,suckhoedientu!B:B, suckhoedientu!A:A, "")*2</f>
        <v>2</v>
      </c>
      <c r="J78" s="122">
        <f>_xlfn.XLOOKUP(C78,baohiemxahoi!B:B, baohiemxahoi!A:A, "")*2</f>
        <v>2</v>
      </c>
      <c r="K78" s="121">
        <f>_xlfn.XLOOKUP(C78,ansinhxahoi!B:B, ansinhxahoi!A:A, "")*2</f>
        <v>2</v>
      </c>
      <c r="L78" s="121">
        <f>_xlfn.XLOOKUP(C78,datdai!B:B, datdai!A:A, "")*2</f>
        <v>2</v>
      </c>
      <c r="M78" s="118">
        <f>_xlfn.XLOOKUP(C78,dvccc!B:B, dvccc!A:A, "")*2</f>
        <v>2</v>
      </c>
      <c r="N78" s="118">
        <f>_xlfn.XLOOKUP(C78,dvcct!B:B, dvcct!A:A, "")*2</f>
        <v>2</v>
      </c>
      <c r="O78" s="118">
        <f>_xlfn.XLOOKUP(C78,'ct10'!B:B, 'ct10'!A:A, "")*2</f>
        <v>2</v>
      </c>
      <c r="P78" s="118">
        <f>_xlfn.XLOOKUP(C78,hosocancuoc!B:B, hosocancuoc!A:A, "")*2</f>
        <v>2</v>
      </c>
      <c r="Q78" s="118">
        <f>_xlfn.XLOOKUP(C78,hosocutru!B:B, hosocutru!A:A, "")*2</f>
        <v>2</v>
      </c>
      <c r="R78" s="118">
        <f>_xlfn.XLOOKUP(C78,bdhvs!B:B, bdhvs!A:A, "")</f>
        <v>1</v>
      </c>
      <c r="S78" s="118">
        <f>_xlfn.XLOOKUP(C78,lamsachdc01!B:B, lamsachdc01!A:A, "")</f>
        <v>1</v>
      </c>
      <c r="T78" s="118">
        <f>_xlfn.XLOOKUP(C78,huyso!B:B, huyso!A:A, "")</f>
        <v>1</v>
      </c>
      <c r="U78" s="118">
        <f>_xlfn.XLOOKUP(C78,treem!B:B, treem!A:A, "")</f>
        <v>1</v>
      </c>
      <c r="V78" s="118">
        <f>_xlfn.XLOOKUP(C78,giaypheplaixe!B:B, giaypheplaixe!A:A, "")</f>
        <v>1</v>
      </c>
      <c r="W78" s="118">
        <f>_xlfn.XLOOKUP(C78,dangkyxe!B:B, dangkyxe!A:A, "")</f>
        <v>1</v>
      </c>
      <c r="X78" s="118"/>
    </row>
    <row r="79" spans="1:24" x14ac:dyDescent="0.3">
      <c r="A79" s="118">
        <f t="shared" si="3"/>
        <v>6</v>
      </c>
      <c r="B79" s="118" cm="1">
        <f t="array" ref="B79">_xlfn.IFS(A79&lt;=10, 12, A79&lt;=30, 9, A79&lt;=50, 8, A79&lt;=70, 7, A79&lt;=90, 6, A79&lt;=110, 5, A79&lt;=124, 2, TRUE, "Ngoài phạm vi")</f>
        <v>12</v>
      </c>
      <c r="C79" s="117" t="s">
        <v>10</v>
      </c>
      <c r="D79" s="121">
        <f t="shared" si="4"/>
        <v>36</v>
      </c>
      <c r="E79" s="121">
        <f>_xlfn.XLOOKUP(C79,cancuoc!B:B, cancuoc!A:A, "")*2</f>
        <v>6</v>
      </c>
      <c r="F79" s="121">
        <f>_xlfn.XLOOKUP(C79,dinhdanh14!B:B, dinhdanh14!A:A, "")*2</f>
        <v>2</v>
      </c>
      <c r="G79" s="121">
        <f>_xlfn.XLOOKUP(C79,dinhdanh6!B:B, dinhdanh6!A:A, "")*2</f>
        <v>2</v>
      </c>
      <c r="H79" s="121">
        <f>_xlfn.XLOOKUP(C79,dinhdanhcq!B:B, dinhdanhcq!A:A, "")*2</f>
        <v>2</v>
      </c>
      <c r="I79" s="122">
        <f>_xlfn.XLOOKUP(C79,suckhoedientu!B:B, suckhoedientu!A:A, "")*2</f>
        <v>2</v>
      </c>
      <c r="J79" s="122">
        <f>_xlfn.XLOOKUP(C79,baohiemxahoi!B:B, baohiemxahoi!A:A, "")*2</f>
        <v>2</v>
      </c>
      <c r="K79" s="121">
        <f>_xlfn.XLOOKUP(C79,ansinhxahoi!B:B, ansinhxahoi!A:A, "")*2</f>
        <v>2</v>
      </c>
      <c r="L79" s="121">
        <f>_xlfn.XLOOKUP(C79,datdai!B:B, datdai!A:A, "")*2</f>
        <v>2</v>
      </c>
      <c r="M79" s="118">
        <f>_xlfn.XLOOKUP(C79,dvccc!B:B, dvccc!A:A, "")*2</f>
        <v>2</v>
      </c>
      <c r="N79" s="118">
        <f>_xlfn.XLOOKUP(C79,dvcct!B:B, dvcct!A:A, "")*2</f>
        <v>2</v>
      </c>
      <c r="O79" s="118">
        <f>_xlfn.XLOOKUP(C79,'ct10'!B:B, 'ct10'!A:A, "")*2</f>
        <v>2</v>
      </c>
      <c r="P79" s="118">
        <f>_xlfn.XLOOKUP(C79,hosocancuoc!B:B, hosocancuoc!A:A, "")*2</f>
        <v>2</v>
      </c>
      <c r="Q79" s="118">
        <f>_xlfn.XLOOKUP(C79,hosocutru!B:B, hosocutru!A:A, "")*2</f>
        <v>2</v>
      </c>
      <c r="R79" s="118">
        <f>_xlfn.XLOOKUP(C79,bdhvs!B:B, bdhvs!A:A, "")</f>
        <v>1</v>
      </c>
      <c r="S79" s="118">
        <f>_xlfn.XLOOKUP(C79,lamsachdc01!B:B, lamsachdc01!A:A, "")</f>
        <v>1</v>
      </c>
      <c r="T79" s="118">
        <f>_xlfn.XLOOKUP(C79,huyso!B:B, huyso!A:A, "")</f>
        <v>1</v>
      </c>
      <c r="U79" s="118">
        <f>_xlfn.XLOOKUP(C79,treem!B:B, treem!A:A, "")</f>
        <v>1</v>
      </c>
      <c r="V79" s="118">
        <f>_xlfn.XLOOKUP(C79,giaypheplaixe!B:B, giaypheplaixe!A:A, "")</f>
        <v>1</v>
      </c>
      <c r="W79" s="118">
        <f>_xlfn.XLOOKUP(C79,dangkyxe!B:B, dangkyxe!A:A, "")</f>
        <v>1</v>
      </c>
      <c r="X79" s="118"/>
    </row>
    <row r="80" spans="1:24" x14ac:dyDescent="0.3">
      <c r="A80" s="118">
        <f t="shared" si="3"/>
        <v>6</v>
      </c>
      <c r="B80" s="118" cm="1">
        <f t="array" ref="B80">_xlfn.IFS(A80&lt;=10, 12, A80&lt;=30, 9, A80&lt;=50, 8, A80&lt;=70, 7, A80&lt;=90, 6, A80&lt;=110, 5, A80&lt;=124, 2, TRUE, "Ngoài phạm vi")</f>
        <v>12</v>
      </c>
      <c r="C80" s="120" t="s">
        <v>6</v>
      </c>
      <c r="D80" s="121">
        <f t="shared" si="4"/>
        <v>36</v>
      </c>
      <c r="E80" s="121">
        <f>_xlfn.XLOOKUP(C80,cancuoc!B:B, cancuoc!A:A, "")*2</f>
        <v>6</v>
      </c>
      <c r="F80" s="121">
        <f>_xlfn.XLOOKUP(C80,dinhdanh14!B:B, dinhdanh14!A:A, "")*2</f>
        <v>2</v>
      </c>
      <c r="G80" s="121">
        <f>_xlfn.XLOOKUP(C80,dinhdanh6!B:B, dinhdanh6!A:A, "")*2</f>
        <v>2</v>
      </c>
      <c r="H80" s="121">
        <f>_xlfn.XLOOKUP(C80,dinhdanhcq!B:B, dinhdanhcq!A:A, "")*2</f>
        <v>2</v>
      </c>
      <c r="I80" s="122">
        <f>_xlfn.XLOOKUP(C80,suckhoedientu!B:B, suckhoedientu!A:A, "")*2</f>
        <v>2</v>
      </c>
      <c r="J80" s="122">
        <f>_xlfn.XLOOKUP(C80,baohiemxahoi!B:B, baohiemxahoi!A:A, "")*2</f>
        <v>2</v>
      </c>
      <c r="K80" s="121">
        <f>_xlfn.XLOOKUP(C80,ansinhxahoi!B:B, ansinhxahoi!A:A, "")*2</f>
        <v>2</v>
      </c>
      <c r="L80" s="121">
        <f>_xlfn.XLOOKUP(C80,datdai!B:B, datdai!A:A, "")*2</f>
        <v>2</v>
      </c>
      <c r="M80" s="118">
        <f>_xlfn.XLOOKUP(C80,dvccc!B:B, dvccc!A:A, "")*2</f>
        <v>2</v>
      </c>
      <c r="N80" s="118">
        <f>_xlfn.XLOOKUP(C80,dvcct!B:B, dvcct!A:A, "")*2</f>
        <v>2</v>
      </c>
      <c r="O80" s="118">
        <f>_xlfn.XLOOKUP(C80,'ct10'!B:B, 'ct10'!A:A, "")*2</f>
        <v>2</v>
      </c>
      <c r="P80" s="118">
        <f>_xlfn.XLOOKUP(C80,hosocancuoc!B:B, hosocancuoc!A:A, "")*2</f>
        <v>2</v>
      </c>
      <c r="Q80" s="118">
        <f>_xlfn.XLOOKUP(C80,hosocutru!B:B, hosocutru!A:A, "")*2</f>
        <v>2</v>
      </c>
      <c r="R80" s="118">
        <f>_xlfn.XLOOKUP(C80,bdhvs!B:B, bdhvs!A:A, "")</f>
        <v>1</v>
      </c>
      <c r="S80" s="118">
        <f>_xlfn.XLOOKUP(C80,lamsachdc01!B:B, lamsachdc01!A:A, "")</f>
        <v>1</v>
      </c>
      <c r="T80" s="118">
        <f>_xlfn.XLOOKUP(C80,huyso!B:B, huyso!A:A, "")</f>
        <v>1</v>
      </c>
      <c r="U80" s="118">
        <f>_xlfn.XLOOKUP(C80,treem!B:B, treem!A:A, "")</f>
        <v>1</v>
      </c>
      <c r="V80" s="118">
        <f>_xlfn.XLOOKUP(C80,giaypheplaixe!B:B, giaypheplaixe!A:A, "")</f>
        <v>1</v>
      </c>
      <c r="W80" s="118">
        <f>_xlfn.XLOOKUP(C80,dangkyxe!B:B, dangkyxe!A:A, "")</f>
        <v>1</v>
      </c>
      <c r="X80" s="118"/>
    </row>
    <row r="81" spans="1:24" x14ac:dyDescent="0.3">
      <c r="A81" s="118">
        <f t="shared" si="3"/>
        <v>6</v>
      </c>
      <c r="B81" s="118" cm="1">
        <f t="array" ref="B81">_xlfn.IFS(A81&lt;=10, 12, A81&lt;=30, 9, A81&lt;=50, 8, A81&lt;=70, 7, A81&lt;=90, 6, A81&lt;=110, 5, A81&lt;=124, 2, TRUE, "Ngoài phạm vi")</f>
        <v>12</v>
      </c>
      <c r="C81" s="117" t="s">
        <v>67</v>
      </c>
      <c r="D81" s="121">
        <f t="shared" si="4"/>
        <v>36</v>
      </c>
      <c r="E81" s="121">
        <f>_xlfn.XLOOKUP(C81,cancuoc!B:B, cancuoc!A:A, "")*2</f>
        <v>6</v>
      </c>
      <c r="F81" s="121">
        <f>_xlfn.XLOOKUP(C81,dinhdanh14!B:B, dinhdanh14!A:A, "")*2</f>
        <v>2</v>
      </c>
      <c r="G81" s="121">
        <f>_xlfn.XLOOKUP(C81,dinhdanh6!B:B, dinhdanh6!A:A, "")*2</f>
        <v>2</v>
      </c>
      <c r="H81" s="121">
        <f>_xlfn.XLOOKUP(C81,dinhdanhcq!B:B, dinhdanhcq!A:A, "")*2</f>
        <v>2</v>
      </c>
      <c r="I81" s="122">
        <f>_xlfn.XLOOKUP(C81,suckhoedientu!B:B, suckhoedientu!A:A, "")*2</f>
        <v>2</v>
      </c>
      <c r="J81" s="122">
        <f>_xlfn.XLOOKUP(C81,baohiemxahoi!B:B, baohiemxahoi!A:A, "")*2</f>
        <v>2</v>
      </c>
      <c r="K81" s="121">
        <f>_xlfn.XLOOKUP(C81,ansinhxahoi!B:B, ansinhxahoi!A:A, "")*2</f>
        <v>2</v>
      </c>
      <c r="L81" s="121">
        <f>_xlfn.XLOOKUP(C81,datdai!B:B, datdai!A:A, "")*2</f>
        <v>2</v>
      </c>
      <c r="M81" s="118">
        <f>_xlfn.XLOOKUP(C81,dvccc!B:B, dvccc!A:A, "")*2</f>
        <v>2</v>
      </c>
      <c r="N81" s="118">
        <f>_xlfn.XLOOKUP(C81,dvcct!B:B, dvcct!A:A, "")*2</f>
        <v>2</v>
      </c>
      <c r="O81" s="118">
        <f>_xlfn.XLOOKUP(C81,'ct10'!B:B, 'ct10'!A:A, "")*2</f>
        <v>2</v>
      </c>
      <c r="P81" s="118">
        <f>_xlfn.XLOOKUP(C81,hosocancuoc!B:B, hosocancuoc!A:A, "")*2</f>
        <v>2</v>
      </c>
      <c r="Q81" s="118">
        <f>_xlfn.XLOOKUP(C81,hosocutru!B:B, hosocutru!A:A, "")*2</f>
        <v>2</v>
      </c>
      <c r="R81" s="118">
        <f>_xlfn.XLOOKUP(C81,bdhvs!B:B, bdhvs!A:A, "")</f>
        <v>1</v>
      </c>
      <c r="S81" s="118">
        <f>_xlfn.XLOOKUP(C81,lamsachdc01!B:B, lamsachdc01!A:A, "")</f>
        <v>1</v>
      </c>
      <c r="T81" s="118">
        <f>_xlfn.XLOOKUP(C81,huyso!B:B, huyso!A:A, "")</f>
        <v>1</v>
      </c>
      <c r="U81" s="118">
        <f>_xlfn.XLOOKUP(C81,treem!B:B, treem!A:A, "")</f>
        <v>1</v>
      </c>
      <c r="V81" s="118">
        <f>_xlfn.XLOOKUP(C81,giaypheplaixe!B:B, giaypheplaixe!A:A, "")</f>
        <v>1</v>
      </c>
      <c r="W81" s="118">
        <f>_xlfn.XLOOKUP(C81,dangkyxe!B:B, dangkyxe!A:A, "")</f>
        <v>1</v>
      </c>
      <c r="X81" s="118"/>
    </row>
    <row r="82" spans="1:24" x14ac:dyDescent="0.3">
      <c r="A82" s="118">
        <f t="shared" si="3"/>
        <v>2</v>
      </c>
      <c r="B82" s="118" cm="1">
        <f t="array" ref="B82">_xlfn.IFS(A82&lt;=10, 12, A82&lt;=30, 9, A82&lt;=50, 8, A82&lt;=70, 7, A82&lt;=90, 6, A82&lt;=110, 5, A82&lt;=124, 2, TRUE, "Ngoài phạm vi")</f>
        <v>12</v>
      </c>
      <c r="C82" s="123" t="s">
        <v>109</v>
      </c>
      <c r="D82" s="121">
        <f t="shared" si="4"/>
        <v>34</v>
      </c>
      <c r="E82" s="121">
        <f>_xlfn.XLOOKUP(C82,cancuoc!B:B, cancuoc!A:A, "")*2</f>
        <v>6</v>
      </c>
      <c r="F82" s="121">
        <f>_xlfn.XLOOKUP(C82,dinhdanh14!B:B, dinhdanh14!A:A, "")*2</f>
        <v>2</v>
      </c>
      <c r="G82" s="121">
        <f>_xlfn.XLOOKUP(C82,dinhdanh6!B:B, dinhdanh6!A:A, "")*2</f>
        <v>2</v>
      </c>
      <c r="H82" s="121">
        <f>_xlfn.XLOOKUP(C82,dinhdanhcq!B:B, dinhdanhcq!A:A, "")*2</f>
        <v>2</v>
      </c>
      <c r="I82" s="122">
        <f>_xlfn.XLOOKUP(C82,suckhoedientu!B:B, suckhoedientu!A:A, "")*2</f>
        <v>2</v>
      </c>
      <c r="J82" s="122">
        <f>_xlfn.XLOOKUP(C82,baohiemxahoi!B:B, baohiemxahoi!A:A, "")*2</f>
        <v>2</v>
      </c>
      <c r="K82" s="121">
        <f>_xlfn.XLOOKUP(C82,ansinhxahoi!B:B, ansinhxahoi!A:A, "")*2</f>
        <v>2</v>
      </c>
      <c r="L82" s="121">
        <f>_xlfn.XLOOKUP(C82,datdai!B:B, datdai!A:A, "")*2</f>
        <v>2</v>
      </c>
      <c r="M82" s="118">
        <f>_xlfn.XLOOKUP(C82,dvccc!B:B, dvccc!A:A, "")*2</f>
        <v>2</v>
      </c>
      <c r="N82" s="118">
        <f>_xlfn.XLOOKUP(C82,dvcct!B:B, dvcct!A:A, "")*2</f>
        <v>2</v>
      </c>
      <c r="O82" s="118">
        <f>_xlfn.XLOOKUP(C82,'ct10'!B:B, 'ct10'!A:A, "")*2</f>
        <v>2</v>
      </c>
      <c r="P82" s="118">
        <f>_xlfn.XLOOKUP(C82,hosocancuoc!B:B, hosocancuoc!A:A, "")*2</f>
        <v>2</v>
      </c>
      <c r="Q82" s="118">
        <f>_xlfn.XLOOKUP(C82,hosocutru!B:B, hosocutru!A:A, "")*2</f>
        <v>2</v>
      </c>
      <c r="R82" s="118">
        <f>_xlfn.XLOOKUP(C82,bdhvs!B:B, bdhvs!A:A, "")</f>
        <v>1</v>
      </c>
      <c r="S82" s="118">
        <f>_xlfn.XLOOKUP(C82,lamsachdc01!B:B, lamsachdc01!A:A, "")</f>
        <v>1</v>
      </c>
      <c r="T82" s="118">
        <f>_xlfn.XLOOKUP(C82,huyso!B:B, huyso!A:A, "")</f>
        <v>1</v>
      </c>
      <c r="U82" s="118">
        <f>_xlfn.XLOOKUP(C82,treem!B:B, treem!A:A, "")</f>
        <v>1</v>
      </c>
      <c r="V82" s="118" t="str">
        <f>_xlfn.XLOOKUP(C82,giaypheplaixe!B:B, giaypheplaixe!A:A, "")</f>
        <v/>
      </c>
      <c r="W82" s="118" t="str">
        <f>_xlfn.XLOOKUP(C82,dangkyxe!B:B, dangkyxe!A:A, "")</f>
        <v/>
      </c>
      <c r="X82" s="118"/>
    </row>
    <row r="83" spans="1:24" x14ac:dyDescent="0.3">
      <c r="A83" s="118">
        <f t="shared" si="3"/>
        <v>6</v>
      </c>
      <c r="B83" s="118" cm="1">
        <f t="array" ref="B83">_xlfn.IFS(A83&lt;=10, 12, A83&lt;=30, 9, A83&lt;=50, 8, A83&lt;=70, 7, A83&lt;=90, 6, A83&lt;=110, 5, A83&lt;=124, 2, TRUE, "Ngoài phạm vi")</f>
        <v>12</v>
      </c>
      <c r="C83" s="117" t="s">
        <v>32</v>
      </c>
      <c r="D83" s="121">
        <f t="shared" si="4"/>
        <v>36</v>
      </c>
      <c r="E83" s="121">
        <f>_xlfn.XLOOKUP(C83,cancuoc!B:B, cancuoc!A:A, "")*2</f>
        <v>6</v>
      </c>
      <c r="F83" s="121">
        <f>_xlfn.XLOOKUP(C83,dinhdanh14!B:B, dinhdanh14!A:A, "")*2</f>
        <v>2</v>
      </c>
      <c r="G83" s="121">
        <f>_xlfn.XLOOKUP(C83,dinhdanh6!B:B, dinhdanh6!A:A, "")*2</f>
        <v>2</v>
      </c>
      <c r="H83" s="121">
        <f>_xlfn.XLOOKUP(C83,dinhdanhcq!B:B, dinhdanhcq!A:A, "")*2</f>
        <v>2</v>
      </c>
      <c r="I83" s="122">
        <f>_xlfn.XLOOKUP(C83,suckhoedientu!B:B, suckhoedientu!A:A, "")*2</f>
        <v>2</v>
      </c>
      <c r="J83" s="122">
        <f>_xlfn.XLOOKUP(C83,baohiemxahoi!B:B, baohiemxahoi!A:A, "")*2</f>
        <v>2</v>
      </c>
      <c r="K83" s="121">
        <f>_xlfn.XLOOKUP(C83,ansinhxahoi!B:B, ansinhxahoi!A:A, "")*2</f>
        <v>2</v>
      </c>
      <c r="L83" s="121">
        <f>_xlfn.XLOOKUP(C83,datdai!B:B, datdai!A:A, "")*2</f>
        <v>2</v>
      </c>
      <c r="M83" s="118">
        <f>_xlfn.XLOOKUP(C83,dvccc!B:B, dvccc!A:A, "")*2</f>
        <v>2</v>
      </c>
      <c r="N83" s="118">
        <f>_xlfn.XLOOKUP(C83,dvcct!B:B, dvcct!A:A, "")*2</f>
        <v>2</v>
      </c>
      <c r="O83" s="118">
        <f>_xlfn.XLOOKUP(C83,'ct10'!B:B, 'ct10'!A:A, "")*2</f>
        <v>2</v>
      </c>
      <c r="P83" s="118">
        <f>_xlfn.XLOOKUP(C83,hosocancuoc!B:B, hosocancuoc!A:A, "")*2</f>
        <v>2</v>
      </c>
      <c r="Q83" s="118">
        <f>_xlfn.XLOOKUP(C83,hosocutru!B:B, hosocutru!A:A, "")*2</f>
        <v>2</v>
      </c>
      <c r="R83" s="118">
        <f>_xlfn.XLOOKUP(C83,bdhvs!B:B, bdhvs!A:A, "")</f>
        <v>1</v>
      </c>
      <c r="S83" s="118">
        <f>_xlfn.XLOOKUP(C83,lamsachdc01!B:B, lamsachdc01!A:A, "")</f>
        <v>1</v>
      </c>
      <c r="T83" s="118">
        <f>_xlfn.XLOOKUP(C83,huyso!B:B, huyso!A:A, "")</f>
        <v>1</v>
      </c>
      <c r="U83" s="118">
        <f>_xlfn.XLOOKUP(C83,treem!B:B, treem!A:A, "")</f>
        <v>1</v>
      </c>
      <c r="V83" s="118">
        <f>_xlfn.XLOOKUP(C83,giaypheplaixe!B:B, giaypheplaixe!A:A, "")</f>
        <v>1</v>
      </c>
      <c r="W83" s="118">
        <f>_xlfn.XLOOKUP(C83,dangkyxe!B:B, dangkyxe!A:A, "")</f>
        <v>1</v>
      </c>
      <c r="X83" s="118"/>
    </row>
    <row r="84" spans="1:24" x14ac:dyDescent="0.3">
      <c r="A84" s="118">
        <f t="shared" si="3"/>
        <v>6</v>
      </c>
      <c r="B84" s="118" cm="1">
        <f t="array" ref="B84">_xlfn.IFS(A84&lt;=10, 12, A84&lt;=30, 9, A84&lt;=50, 8, A84&lt;=70, 7, A84&lt;=90, 6, A84&lt;=110, 5, A84&lt;=124, 2, TRUE, "Ngoài phạm vi")</f>
        <v>12</v>
      </c>
      <c r="C84" s="117" t="s">
        <v>54</v>
      </c>
      <c r="D84" s="121">
        <f t="shared" si="4"/>
        <v>36</v>
      </c>
      <c r="E84" s="121">
        <f>_xlfn.XLOOKUP(C84,cancuoc!B:B, cancuoc!A:A, "")*2</f>
        <v>6</v>
      </c>
      <c r="F84" s="121">
        <f>_xlfn.XLOOKUP(C84,dinhdanh14!B:B, dinhdanh14!A:A, "")*2</f>
        <v>2</v>
      </c>
      <c r="G84" s="121">
        <f>_xlfn.XLOOKUP(C84,dinhdanh6!B:B, dinhdanh6!A:A, "")*2</f>
        <v>2</v>
      </c>
      <c r="H84" s="121">
        <f>_xlfn.XLOOKUP(C84,dinhdanhcq!B:B, dinhdanhcq!A:A, "")*2</f>
        <v>2</v>
      </c>
      <c r="I84" s="122">
        <f>_xlfn.XLOOKUP(C84,suckhoedientu!B:B, suckhoedientu!A:A, "")*2</f>
        <v>2</v>
      </c>
      <c r="J84" s="122">
        <f>_xlfn.XLOOKUP(C84,baohiemxahoi!B:B, baohiemxahoi!A:A, "")*2</f>
        <v>2</v>
      </c>
      <c r="K84" s="121">
        <f>_xlfn.XLOOKUP(C84,ansinhxahoi!B:B, ansinhxahoi!A:A, "")*2</f>
        <v>2</v>
      </c>
      <c r="L84" s="121">
        <f>_xlfn.XLOOKUP(C84,datdai!B:B, datdai!A:A, "")*2</f>
        <v>2</v>
      </c>
      <c r="M84" s="118">
        <f>_xlfn.XLOOKUP(C84,dvccc!B:B, dvccc!A:A, "")*2</f>
        <v>2</v>
      </c>
      <c r="N84" s="118">
        <f>_xlfn.XLOOKUP(C84,dvcct!B:B, dvcct!A:A, "")*2</f>
        <v>2</v>
      </c>
      <c r="O84" s="118">
        <f>_xlfn.XLOOKUP(C84,'ct10'!B:B, 'ct10'!A:A, "")*2</f>
        <v>2</v>
      </c>
      <c r="P84" s="118">
        <f>_xlfn.XLOOKUP(C84,hosocancuoc!B:B, hosocancuoc!A:A, "")*2</f>
        <v>2</v>
      </c>
      <c r="Q84" s="118">
        <f>_xlfn.XLOOKUP(C84,hosocutru!B:B, hosocutru!A:A, "")*2</f>
        <v>2</v>
      </c>
      <c r="R84" s="118">
        <f>_xlfn.XLOOKUP(C84,bdhvs!B:B, bdhvs!A:A, "")</f>
        <v>1</v>
      </c>
      <c r="S84" s="118">
        <f>_xlfn.XLOOKUP(C84,lamsachdc01!B:B, lamsachdc01!A:A, "")</f>
        <v>1</v>
      </c>
      <c r="T84" s="118">
        <f>_xlfn.XLOOKUP(C84,huyso!B:B, huyso!A:A, "")</f>
        <v>1</v>
      </c>
      <c r="U84" s="118">
        <f>_xlfn.XLOOKUP(C84,treem!B:B, treem!A:A, "")</f>
        <v>1</v>
      </c>
      <c r="V84" s="118">
        <f>_xlfn.XLOOKUP(C84,giaypheplaixe!B:B, giaypheplaixe!A:A, "")</f>
        <v>1</v>
      </c>
      <c r="W84" s="118">
        <f>_xlfn.XLOOKUP(C84,dangkyxe!B:B, dangkyxe!A:A, "")</f>
        <v>1</v>
      </c>
      <c r="X84" s="118"/>
    </row>
    <row r="85" spans="1:24" x14ac:dyDescent="0.3">
      <c r="A85" s="118">
        <f t="shared" si="3"/>
        <v>6</v>
      </c>
      <c r="B85" s="118" cm="1">
        <f t="array" ref="B85">_xlfn.IFS(A85&lt;=10, 12, A85&lt;=30, 9, A85&lt;=50, 8, A85&lt;=70, 7, A85&lt;=90, 6, A85&lt;=110, 5, A85&lt;=124, 2, TRUE, "Ngoài phạm vi")</f>
        <v>12</v>
      </c>
      <c r="C85" s="123" t="s">
        <v>62</v>
      </c>
      <c r="D85" s="121">
        <f t="shared" si="4"/>
        <v>36</v>
      </c>
      <c r="E85" s="121">
        <f>_xlfn.XLOOKUP(C85,cancuoc!B:B, cancuoc!A:A, "")*2</f>
        <v>6</v>
      </c>
      <c r="F85" s="121">
        <f>_xlfn.XLOOKUP(C85,dinhdanh14!B:B, dinhdanh14!A:A, "")*2</f>
        <v>2</v>
      </c>
      <c r="G85" s="121">
        <f>_xlfn.XLOOKUP(C85,dinhdanh6!B:B, dinhdanh6!A:A, "")*2</f>
        <v>2</v>
      </c>
      <c r="H85" s="121">
        <f>_xlfn.XLOOKUP(C85,dinhdanhcq!B:B, dinhdanhcq!A:A, "")*2</f>
        <v>2</v>
      </c>
      <c r="I85" s="122">
        <f>_xlfn.XLOOKUP(C85,suckhoedientu!B:B, suckhoedientu!A:A, "")*2</f>
        <v>2</v>
      </c>
      <c r="J85" s="122">
        <f>_xlfn.XLOOKUP(C85,baohiemxahoi!B:B, baohiemxahoi!A:A, "")*2</f>
        <v>2</v>
      </c>
      <c r="K85" s="121">
        <f>_xlfn.XLOOKUP(C85,ansinhxahoi!B:B, ansinhxahoi!A:A, "")*2</f>
        <v>2</v>
      </c>
      <c r="L85" s="121">
        <f>_xlfn.XLOOKUP(C85,datdai!B:B, datdai!A:A, "")*2</f>
        <v>2</v>
      </c>
      <c r="M85" s="118">
        <f>_xlfn.XLOOKUP(C85,dvccc!B:B, dvccc!A:A, "")*2</f>
        <v>2</v>
      </c>
      <c r="N85" s="118">
        <f>_xlfn.XLOOKUP(C85,dvcct!B:B, dvcct!A:A, "")*2</f>
        <v>2</v>
      </c>
      <c r="O85" s="118">
        <f>_xlfn.XLOOKUP(C85,'ct10'!B:B, 'ct10'!A:A, "")*2</f>
        <v>2</v>
      </c>
      <c r="P85" s="118">
        <f>_xlfn.XLOOKUP(C85,hosocancuoc!B:B, hosocancuoc!A:A, "")*2</f>
        <v>2</v>
      </c>
      <c r="Q85" s="118">
        <f>_xlfn.XLOOKUP(C85,hosocutru!B:B, hosocutru!A:A, "")*2</f>
        <v>2</v>
      </c>
      <c r="R85" s="118">
        <f>_xlfn.XLOOKUP(C85,bdhvs!B:B, bdhvs!A:A, "")</f>
        <v>1</v>
      </c>
      <c r="S85" s="118">
        <f>_xlfn.XLOOKUP(C85,lamsachdc01!B:B, lamsachdc01!A:A, "")</f>
        <v>1</v>
      </c>
      <c r="T85" s="118">
        <f>_xlfn.XLOOKUP(C85,huyso!B:B, huyso!A:A, "")</f>
        <v>1</v>
      </c>
      <c r="U85" s="118">
        <f>_xlfn.XLOOKUP(C85,treem!B:B, treem!A:A, "")</f>
        <v>1</v>
      </c>
      <c r="V85" s="118">
        <f>_xlfn.XLOOKUP(C85,giaypheplaixe!B:B, giaypheplaixe!A:A, "")</f>
        <v>1</v>
      </c>
      <c r="W85" s="118">
        <f>_xlfn.XLOOKUP(C85,dangkyxe!B:B, dangkyxe!A:A, "")</f>
        <v>1</v>
      </c>
      <c r="X85" s="118"/>
    </row>
    <row r="86" spans="1:24" x14ac:dyDescent="0.3">
      <c r="A86" s="118">
        <f t="shared" si="3"/>
        <v>6</v>
      </c>
      <c r="B86" s="118" cm="1">
        <f t="array" ref="B86">_xlfn.IFS(A86&lt;=10, 12, A86&lt;=30, 9, A86&lt;=50, 8, A86&lt;=70, 7, A86&lt;=90, 6, A86&lt;=110, 5, A86&lt;=124, 2, TRUE, "Ngoài phạm vi")</f>
        <v>12</v>
      </c>
      <c r="C86" s="117" t="s">
        <v>74</v>
      </c>
      <c r="D86" s="121">
        <f t="shared" si="4"/>
        <v>36</v>
      </c>
      <c r="E86" s="121">
        <f>_xlfn.XLOOKUP(C86,cancuoc!B:B, cancuoc!A:A, "")*2</f>
        <v>6</v>
      </c>
      <c r="F86" s="121">
        <f>_xlfn.XLOOKUP(C86,dinhdanh14!B:B, dinhdanh14!A:A, "")*2</f>
        <v>2</v>
      </c>
      <c r="G86" s="121">
        <f>_xlfn.XLOOKUP(C86,dinhdanh6!B:B, dinhdanh6!A:A, "")*2</f>
        <v>2</v>
      </c>
      <c r="H86" s="121">
        <f>_xlfn.XLOOKUP(C86,dinhdanhcq!B:B, dinhdanhcq!A:A, "")*2</f>
        <v>2</v>
      </c>
      <c r="I86" s="122">
        <f>_xlfn.XLOOKUP(C86,suckhoedientu!B:B, suckhoedientu!A:A, "")*2</f>
        <v>2</v>
      </c>
      <c r="J86" s="122">
        <f>_xlfn.XLOOKUP(C86,baohiemxahoi!B:B, baohiemxahoi!A:A, "")*2</f>
        <v>2</v>
      </c>
      <c r="K86" s="121">
        <f>_xlfn.XLOOKUP(C86,ansinhxahoi!B:B, ansinhxahoi!A:A, "")*2</f>
        <v>2</v>
      </c>
      <c r="L86" s="121">
        <f>_xlfn.XLOOKUP(C86,datdai!B:B, datdai!A:A, "")*2</f>
        <v>2</v>
      </c>
      <c r="M86" s="118">
        <f>_xlfn.XLOOKUP(C86,dvccc!B:B, dvccc!A:A, "")*2</f>
        <v>2</v>
      </c>
      <c r="N86" s="118">
        <f>_xlfn.XLOOKUP(C86,dvcct!B:B, dvcct!A:A, "")*2</f>
        <v>2</v>
      </c>
      <c r="O86" s="118">
        <f>_xlfn.XLOOKUP(C86,'ct10'!B:B, 'ct10'!A:A, "")*2</f>
        <v>2</v>
      </c>
      <c r="P86" s="118">
        <f>_xlfn.XLOOKUP(C86,hosocancuoc!B:B, hosocancuoc!A:A, "")*2</f>
        <v>2</v>
      </c>
      <c r="Q86" s="118">
        <f>_xlfn.XLOOKUP(C86,hosocutru!B:B, hosocutru!A:A, "")*2</f>
        <v>2</v>
      </c>
      <c r="R86" s="118">
        <f>_xlfn.XLOOKUP(C86,bdhvs!B:B, bdhvs!A:A, "")</f>
        <v>1</v>
      </c>
      <c r="S86" s="118">
        <f>_xlfn.XLOOKUP(C86,lamsachdc01!B:B, lamsachdc01!A:A, "")</f>
        <v>1</v>
      </c>
      <c r="T86" s="118">
        <f>_xlfn.XLOOKUP(C86,huyso!B:B, huyso!A:A, "")</f>
        <v>1</v>
      </c>
      <c r="U86" s="118">
        <f>_xlfn.XLOOKUP(C86,treem!B:B, treem!A:A, "")</f>
        <v>1</v>
      </c>
      <c r="V86" s="118">
        <f>_xlfn.XLOOKUP(C86,giaypheplaixe!B:B, giaypheplaixe!A:A, "")</f>
        <v>1</v>
      </c>
      <c r="W86" s="118">
        <f>_xlfn.XLOOKUP(C86,dangkyxe!B:B, dangkyxe!A:A, "")</f>
        <v>1</v>
      </c>
      <c r="X86" s="118"/>
    </row>
    <row r="87" spans="1:24" x14ac:dyDescent="0.3">
      <c r="A87" s="118">
        <f t="shared" si="3"/>
        <v>6</v>
      </c>
      <c r="B87" s="118" cm="1">
        <f t="array" ref="B87">_xlfn.IFS(A87&lt;=10, 12, A87&lt;=30, 9, A87&lt;=50, 8, A87&lt;=70, 7, A87&lt;=90, 6, A87&lt;=110, 5, A87&lt;=124, 2, TRUE, "Ngoài phạm vi")</f>
        <v>12</v>
      </c>
      <c r="C87" s="117" t="s">
        <v>42</v>
      </c>
      <c r="D87" s="121">
        <f t="shared" si="4"/>
        <v>36</v>
      </c>
      <c r="E87" s="121">
        <f>_xlfn.XLOOKUP(C87,cancuoc!B:B, cancuoc!A:A, "")*2</f>
        <v>6</v>
      </c>
      <c r="F87" s="121">
        <f>_xlfn.XLOOKUP(C87,dinhdanh14!B:B, dinhdanh14!A:A, "")*2</f>
        <v>2</v>
      </c>
      <c r="G87" s="121">
        <f>_xlfn.XLOOKUP(C87,dinhdanh6!B:B, dinhdanh6!A:A, "")*2</f>
        <v>2</v>
      </c>
      <c r="H87" s="121">
        <f>_xlfn.XLOOKUP(C87,dinhdanhcq!B:B, dinhdanhcq!A:A, "")*2</f>
        <v>2</v>
      </c>
      <c r="I87" s="122">
        <f>_xlfn.XLOOKUP(C87,suckhoedientu!B:B, suckhoedientu!A:A, "")*2</f>
        <v>2</v>
      </c>
      <c r="J87" s="122">
        <f>_xlfn.XLOOKUP(C87,baohiemxahoi!B:B, baohiemxahoi!A:A, "")*2</f>
        <v>2</v>
      </c>
      <c r="K87" s="121">
        <f>_xlfn.XLOOKUP(C87,ansinhxahoi!B:B, ansinhxahoi!A:A, "")*2</f>
        <v>2</v>
      </c>
      <c r="L87" s="121">
        <f>_xlfn.XLOOKUP(C87,datdai!B:B, datdai!A:A, "")*2</f>
        <v>2</v>
      </c>
      <c r="M87" s="118">
        <f>_xlfn.XLOOKUP(C87,dvccc!B:B, dvccc!A:A, "")*2</f>
        <v>2</v>
      </c>
      <c r="N87" s="118">
        <f>_xlfn.XLOOKUP(C87,dvcct!B:B, dvcct!A:A, "")*2</f>
        <v>2</v>
      </c>
      <c r="O87" s="118">
        <f>_xlfn.XLOOKUP(C87,'ct10'!B:B, 'ct10'!A:A, "")*2</f>
        <v>2</v>
      </c>
      <c r="P87" s="118">
        <f>_xlfn.XLOOKUP(C87,hosocancuoc!B:B, hosocancuoc!A:A, "")*2</f>
        <v>2</v>
      </c>
      <c r="Q87" s="118">
        <f>_xlfn.XLOOKUP(C87,hosocutru!B:B, hosocutru!A:A, "")*2</f>
        <v>2</v>
      </c>
      <c r="R87" s="118">
        <f>_xlfn.XLOOKUP(C87,bdhvs!B:B, bdhvs!A:A, "")</f>
        <v>1</v>
      </c>
      <c r="S87" s="118">
        <f>_xlfn.XLOOKUP(C87,lamsachdc01!B:B, lamsachdc01!A:A, "")</f>
        <v>1</v>
      </c>
      <c r="T87" s="118">
        <f>_xlfn.XLOOKUP(C87,huyso!B:B, huyso!A:A, "")</f>
        <v>1</v>
      </c>
      <c r="U87" s="118">
        <f>_xlfn.XLOOKUP(C87,treem!B:B, treem!A:A, "")</f>
        <v>1</v>
      </c>
      <c r="V87" s="118">
        <f>_xlfn.XLOOKUP(C87,giaypheplaixe!B:B, giaypheplaixe!A:A, "")</f>
        <v>1</v>
      </c>
      <c r="W87" s="118">
        <f>_xlfn.XLOOKUP(C87,dangkyxe!B:B, dangkyxe!A:A, "")</f>
        <v>1</v>
      </c>
      <c r="X87" s="118"/>
    </row>
    <row r="88" spans="1:24" x14ac:dyDescent="0.3">
      <c r="A88" s="118">
        <f t="shared" si="3"/>
        <v>6</v>
      </c>
      <c r="B88" s="118" cm="1">
        <f t="array" ref="B88">_xlfn.IFS(A88&lt;=10, 12, A88&lt;=30, 9, A88&lt;=50, 8, A88&lt;=70, 7, A88&lt;=90, 6, A88&lt;=110, 5, A88&lt;=124, 2, TRUE, "Ngoài phạm vi")</f>
        <v>12</v>
      </c>
      <c r="C88" s="120" t="s">
        <v>31</v>
      </c>
      <c r="D88" s="121">
        <f t="shared" si="4"/>
        <v>36</v>
      </c>
      <c r="E88" s="121">
        <f>_xlfn.XLOOKUP(C88,cancuoc!B:B, cancuoc!A:A, "")*2</f>
        <v>6</v>
      </c>
      <c r="F88" s="121">
        <f>_xlfn.XLOOKUP(C88,dinhdanh14!B:B, dinhdanh14!A:A, "")*2</f>
        <v>2</v>
      </c>
      <c r="G88" s="121">
        <f>_xlfn.XLOOKUP(C88,dinhdanh6!B:B, dinhdanh6!A:A, "")*2</f>
        <v>2</v>
      </c>
      <c r="H88" s="121">
        <f>_xlfn.XLOOKUP(C88,dinhdanhcq!B:B, dinhdanhcq!A:A, "")*2</f>
        <v>2</v>
      </c>
      <c r="I88" s="122">
        <f>_xlfn.XLOOKUP(C88,suckhoedientu!B:B, suckhoedientu!A:A, "")*2</f>
        <v>2</v>
      </c>
      <c r="J88" s="122">
        <f>_xlfn.XLOOKUP(C88,baohiemxahoi!B:B, baohiemxahoi!A:A, "")*2</f>
        <v>2</v>
      </c>
      <c r="K88" s="121">
        <f>_xlfn.XLOOKUP(C88,ansinhxahoi!B:B, ansinhxahoi!A:A, "")*2</f>
        <v>2</v>
      </c>
      <c r="L88" s="121">
        <f>_xlfn.XLOOKUP(C88,datdai!B:B, datdai!A:A, "")*2</f>
        <v>2</v>
      </c>
      <c r="M88" s="118">
        <f>_xlfn.XLOOKUP(C88,dvccc!B:B, dvccc!A:A, "")*2</f>
        <v>2</v>
      </c>
      <c r="N88" s="118">
        <f>_xlfn.XLOOKUP(C88,dvcct!B:B, dvcct!A:A, "")*2</f>
        <v>2</v>
      </c>
      <c r="O88" s="118">
        <f>_xlfn.XLOOKUP(C88,'ct10'!B:B, 'ct10'!A:A, "")*2</f>
        <v>2</v>
      </c>
      <c r="P88" s="118">
        <f>_xlfn.XLOOKUP(C88,hosocancuoc!B:B, hosocancuoc!A:A, "")*2</f>
        <v>2</v>
      </c>
      <c r="Q88" s="118">
        <f>_xlfn.XLOOKUP(C88,hosocutru!B:B, hosocutru!A:A, "")*2</f>
        <v>2</v>
      </c>
      <c r="R88" s="118">
        <f>_xlfn.XLOOKUP(C88,bdhvs!B:B, bdhvs!A:A, "")</f>
        <v>1</v>
      </c>
      <c r="S88" s="118">
        <f>_xlfn.XLOOKUP(C88,lamsachdc01!B:B, lamsachdc01!A:A, "")</f>
        <v>1</v>
      </c>
      <c r="T88" s="118">
        <f>_xlfn.XLOOKUP(C88,huyso!B:B, huyso!A:A, "")</f>
        <v>1</v>
      </c>
      <c r="U88" s="118">
        <f>_xlfn.XLOOKUP(C88,treem!B:B, treem!A:A, "")</f>
        <v>1</v>
      </c>
      <c r="V88" s="118">
        <f>_xlfn.XLOOKUP(C88,giaypheplaixe!B:B, giaypheplaixe!A:A, "")</f>
        <v>1</v>
      </c>
      <c r="W88" s="118">
        <f>_xlfn.XLOOKUP(C88,dangkyxe!B:B, dangkyxe!A:A, "")</f>
        <v>1</v>
      </c>
      <c r="X88" s="118"/>
    </row>
    <row r="89" spans="1:24" x14ac:dyDescent="0.3">
      <c r="A89" s="118">
        <f t="shared" si="3"/>
        <v>6</v>
      </c>
      <c r="B89" s="118" cm="1">
        <f t="array" ref="B89">_xlfn.IFS(A89&lt;=10, 12, A89&lt;=30, 9, A89&lt;=50, 8, A89&lt;=70, 7, A89&lt;=90, 6, A89&lt;=110, 5, A89&lt;=124, 2, TRUE, "Ngoài phạm vi")</f>
        <v>12</v>
      </c>
      <c r="C89" s="117" t="s">
        <v>16</v>
      </c>
      <c r="D89" s="121">
        <f t="shared" si="4"/>
        <v>36</v>
      </c>
      <c r="E89" s="121">
        <f>_xlfn.XLOOKUP(C89,cancuoc!B:B, cancuoc!A:A, "")*2</f>
        <v>6</v>
      </c>
      <c r="F89" s="121">
        <f>_xlfn.XLOOKUP(C89,dinhdanh14!B:B, dinhdanh14!A:A, "")*2</f>
        <v>2</v>
      </c>
      <c r="G89" s="121">
        <f>_xlfn.XLOOKUP(C89,dinhdanh6!B:B, dinhdanh6!A:A, "")*2</f>
        <v>2</v>
      </c>
      <c r="H89" s="121">
        <f>_xlfn.XLOOKUP(C89,dinhdanhcq!B:B, dinhdanhcq!A:A, "")*2</f>
        <v>2</v>
      </c>
      <c r="I89" s="122">
        <f>_xlfn.XLOOKUP(C89,suckhoedientu!B:B, suckhoedientu!A:A, "")*2</f>
        <v>2</v>
      </c>
      <c r="J89" s="122">
        <f>_xlfn.XLOOKUP(C89,baohiemxahoi!B:B, baohiemxahoi!A:A, "")*2</f>
        <v>2</v>
      </c>
      <c r="K89" s="121">
        <f>_xlfn.XLOOKUP(C89,ansinhxahoi!B:B, ansinhxahoi!A:A, "")*2</f>
        <v>2</v>
      </c>
      <c r="L89" s="121">
        <f>_xlfn.XLOOKUP(C89,datdai!B:B, datdai!A:A, "")*2</f>
        <v>2</v>
      </c>
      <c r="M89" s="118">
        <f>_xlfn.XLOOKUP(C89,dvccc!B:B, dvccc!A:A, "")*2</f>
        <v>2</v>
      </c>
      <c r="N89" s="118">
        <f>_xlfn.XLOOKUP(C89,dvcct!B:B, dvcct!A:A, "")*2</f>
        <v>2</v>
      </c>
      <c r="O89" s="118">
        <f>_xlfn.XLOOKUP(C89,'ct10'!B:B, 'ct10'!A:A, "")*2</f>
        <v>2</v>
      </c>
      <c r="P89" s="118">
        <f>_xlfn.XLOOKUP(C89,hosocancuoc!B:B, hosocancuoc!A:A, "")*2</f>
        <v>2</v>
      </c>
      <c r="Q89" s="118">
        <f>_xlfn.XLOOKUP(C89,hosocutru!B:B, hosocutru!A:A, "")*2</f>
        <v>2</v>
      </c>
      <c r="R89" s="118">
        <f>_xlfn.XLOOKUP(C89,bdhvs!B:B, bdhvs!A:A, "")</f>
        <v>1</v>
      </c>
      <c r="S89" s="118">
        <f>_xlfn.XLOOKUP(C89,lamsachdc01!B:B, lamsachdc01!A:A, "")</f>
        <v>1</v>
      </c>
      <c r="T89" s="118">
        <f>_xlfn.XLOOKUP(C89,huyso!B:B, huyso!A:A, "")</f>
        <v>1</v>
      </c>
      <c r="U89" s="118">
        <f>_xlfn.XLOOKUP(C89,treem!B:B, treem!A:A, "")</f>
        <v>1</v>
      </c>
      <c r="V89" s="118">
        <f>_xlfn.XLOOKUP(C89,giaypheplaixe!B:B, giaypheplaixe!A:A, "")</f>
        <v>1</v>
      </c>
      <c r="W89" s="118">
        <f>_xlfn.XLOOKUP(C89,dangkyxe!B:B, dangkyxe!A:A, "")</f>
        <v>1</v>
      </c>
      <c r="X89" s="118"/>
    </row>
    <row r="90" spans="1:24" x14ac:dyDescent="0.3">
      <c r="A90" s="118">
        <f t="shared" si="3"/>
        <v>6</v>
      </c>
      <c r="B90" s="118" cm="1">
        <f t="array" ref="B90">_xlfn.IFS(A90&lt;=10, 12, A90&lt;=30, 9, A90&lt;=50, 8, A90&lt;=70, 7, A90&lt;=90, 6, A90&lt;=110, 5, A90&lt;=124, 2, TRUE, "Ngoài phạm vi")</f>
        <v>12</v>
      </c>
      <c r="C90" s="117" t="s">
        <v>72</v>
      </c>
      <c r="D90" s="121">
        <f t="shared" si="4"/>
        <v>36</v>
      </c>
      <c r="E90" s="121">
        <f>_xlfn.XLOOKUP(C90,cancuoc!B:B, cancuoc!A:A, "")*2</f>
        <v>6</v>
      </c>
      <c r="F90" s="121">
        <f>_xlfn.XLOOKUP(C90,dinhdanh14!B:B, dinhdanh14!A:A, "")*2</f>
        <v>2</v>
      </c>
      <c r="G90" s="121">
        <f>_xlfn.XLOOKUP(C90,dinhdanh6!B:B, dinhdanh6!A:A, "")*2</f>
        <v>2</v>
      </c>
      <c r="H90" s="121">
        <f>_xlfn.XLOOKUP(C90,dinhdanhcq!B:B, dinhdanhcq!A:A, "")*2</f>
        <v>2</v>
      </c>
      <c r="I90" s="122">
        <f>_xlfn.XLOOKUP(C90,suckhoedientu!B:B, suckhoedientu!A:A, "")*2</f>
        <v>2</v>
      </c>
      <c r="J90" s="122">
        <f>_xlfn.XLOOKUP(C90,baohiemxahoi!B:B, baohiemxahoi!A:A, "")*2</f>
        <v>2</v>
      </c>
      <c r="K90" s="121">
        <f>_xlfn.XLOOKUP(C90,ansinhxahoi!B:B, ansinhxahoi!A:A, "")*2</f>
        <v>2</v>
      </c>
      <c r="L90" s="121">
        <f>_xlfn.XLOOKUP(C90,datdai!B:B, datdai!A:A, "")*2</f>
        <v>2</v>
      </c>
      <c r="M90" s="118">
        <f>_xlfn.XLOOKUP(C90,dvccc!B:B, dvccc!A:A, "")*2</f>
        <v>2</v>
      </c>
      <c r="N90" s="118">
        <f>_xlfn.XLOOKUP(C90,dvcct!B:B, dvcct!A:A, "")*2</f>
        <v>2</v>
      </c>
      <c r="O90" s="118">
        <f>_xlfn.XLOOKUP(C90,'ct10'!B:B, 'ct10'!A:A, "")*2</f>
        <v>2</v>
      </c>
      <c r="P90" s="118">
        <f>_xlfn.XLOOKUP(C90,hosocancuoc!B:B, hosocancuoc!A:A, "")*2</f>
        <v>2</v>
      </c>
      <c r="Q90" s="118">
        <f>_xlfn.XLOOKUP(C90,hosocutru!B:B, hosocutru!A:A, "")*2</f>
        <v>2</v>
      </c>
      <c r="R90" s="118">
        <f>_xlfn.XLOOKUP(C90,bdhvs!B:B, bdhvs!A:A, "")</f>
        <v>1</v>
      </c>
      <c r="S90" s="118">
        <f>_xlfn.XLOOKUP(C90,lamsachdc01!B:B, lamsachdc01!A:A, "")</f>
        <v>1</v>
      </c>
      <c r="T90" s="118">
        <f>_xlfn.XLOOKUP(C90,huyso!B:B, huyso!A:A, "")</f>
        <v>1</v>
      </c>
      <c r="U90" s="118">
        <f>_xlfn.XLOOKUP(C90,treem!B:B, treem!A:A, "")</f>
        <v>1</v>
      </c>
      <c r="V90" s="118">
        <f>_xlfn.XLOOKUP(C90,giaypheplaixe!B:B, giaypheplaixe!A:A, "")</f>
        <v>1</v>
      </c>
      <c r="W90" s="118">
        <f>_xlfn.XLOOKUP(C90,dangkyxe!B:B, dangkyxe!A:A, "")</f>
        <v>1</v>
      </c>
      <c r="X90" s="118"/>
    </row>
    <row r="91" spans="1:24" x14ac:dyDescent="0.3">
      <c r="A91" s="118">
        <f t="shared" si="3"/>
        <v>6</v>
      </c>
      <c r="B91" s="118" cm="1">
        <f t="array" ref="B91">_xlfn.IFS(A91&lt;=10, 12, A91&lt;=30, 9, A91&lt;=50, 8, A91&lt;=70, 7, A91&lt;=90, 6, A91&lt;=110, 5, A91&lt;=124, 2, TRUE, "Ngoài phạm vi")</f>
        <v>12</v>
      </c>
      <c r="C91" s="117" t="s">
        <v>63</v>
      </c>
      <c r="D91" s="121">
        <f t="shared" si="4"/>
        <v>36</v>
      </c>
      <c r="E91" s="121">
        <f>_xlfn.XLOOKUP(C91,cancuoc!B:B, cancuoc!A:A, "")*2</f>
        <v>6</v>
      </c>
      <c r="F91" s="121">
        <f>_xlfn.XLOOKUP(C91,dinhdanh14!B:B, dinhdanh14!A:A, "")*2</f>
        <v>2</v>
      </c>
      <c r="G91" s="121">
        <f>_xlfn.XLOOKUP(C91,dinhdanh6!B:B, dinhdanh6!A:A, "")*2</f>
        <v>2</v>
      </c>
      <c r="H91" s="121">
        <f>_xlfn.XLOOKUP(C91,dinhdanhcq!B:B, dinhdanhcq!A:A, "")*2</f>
        <v>2</v>
      </c>
      <c r="I91" s="122">
        <f>_xlfn.XLOOKUP(C91,suckhoedientu!B:B, suckhoedientu!A:A, "")*2</f>
        <v>2</v>
      </c>
      <c r="J91" s="122">
        <f>_xlfn.XLOOKUP(C91,baohiemxahoi!B:B, baohiemxahoi!A:A, "")*2</f>
        <v>2</v>
      </c>
      <c r="K91" s="121">
        <f>_xlfn.XLOOKUP(C91,ansinhxahoi!B:B, ansinhxahoi!A:A, "")*2</f>
        <v>2</v>
      </c>
      <c r="L91" s="121">
        <f>_xlfn.XLOOKUP(C91,datdai!B:B, datdai!A:A, "")*2</f>
        <v>2</v>
      </c>
      <c r="M91" s="118">
        <f>_xlfn.XLOOKUP(C91,dvccc!B:B, dvccc!A:A, "")*2</f>
        <v>2</v>
      </c>
      <c r="N91" s="118">
        <f>_xlfn.XLOOKUP(C91,dvcct!B:B, dvcct!A:A, "")*2</f>
        <v>2</v>
      </c>
      <c r="O91" s="118">
        <f>_xlfn.XLOOKUP(C91,'ct10'!B:B, 'ct10'!A:A, "")*2</f>
        <v>2</v>
      </c>
      <c r="P91" s="118">
        <f>_xlfn.XLOOKUP(C91,hosocancuoc!B:B, hosocancuoc!A:A, "")*2</f>
        <v>2</v>
      </c>
      <c r="Q91" s="118">
        <f>_xlfn.XLOOKUP(C91,hosocutru!B:B, hosocutru!A:A, "")*2</f>
        <v>2</v>
      </c>
      <c r="R91" s="118">
        <f>_xlfn.XLOOKUP(C91,bdhvs!B:B, bdhvs!A:A, "")</f>
        <v>1</v>
      </c>
      <c r="S91" s="118">
        <f>_xlfn.XLOOKUP(C91,lamsachdc01!B:B, lamsachdc01!A:A, "")</f>
        <v>1</v>
      </c>
      <c r="T91" s="118">
        <f>_xlfn.XLOOKUP(C91,huyso!B:B, huyso!A:A, "")</f>
        <v>1</v>
      </c>
      <c r="U91" s="118">
        <f>_xlfn.XLOOKUP(C91,treem!B:B, treem!A:A, "")</f>
        <v>1</v>
      </c>
      <c r="V91" s="118">
        <f>_xlfn.XLOOKUP(C91,giaypheplaixe!B:B, giaypheplaixe!A:A, "")</f>
        <v>1</v>
      </c>
      <c r="W91" s="118">
        <f>_xlfn.XLOOKUP(C91,dangkyxe!B:B, dangkyxe!A:A, "")</f>
        <v>1</v>
      </c>
      <c r="X91" s="118"/>
    </row>
    <row r="92" spans="1:24" x14ac:dyDescent="0.3">
      <c r="A92" s="118">
        <f t="shared" si="3"/>
        <v>6</v>
      </c>
      <c r="B92" s="118" cm="1">
        <f t="array" ref="B92">_xlfn.IFS(A92&lt;=10, 12, A92&lt;=30, 9, A92&lt;=50, 8, A92&lt;=70, 7, A92&lt;=90, 6, A92&lt;=110, 5, A92&lt;=124, 2, TRUE, "Ngoài phạm vi")</f>
        <v>12</v>
      </c>
      <c r="C92" s="117" t="s">
        <v>52</v>
      </c>
      <c r="D92" s="121">
        <f t="shared" si="4"/>
        <v>36</v>
      </c>
      <c r="E92" s="121">
        <f>_xlfn.XLOOKUP(C92,cancuoc!B:B, cancuoc!A:A, "")*2</f>
        <v>6</v>
      </c>
      <c r="F92" s="121">
        <f>_xlfn.XLOOKUP(C92,dinhdanh14!B:B, dinhdanh14!A:A, "")*2</f>
        <v>2</v>
      </c>
      <c r="G92" s="121">
        <f>_xlfn.XLOOKUP(C92,dinhdanh6!B:B, dinhdanh6!A:A, "")*2</f>
        <v>2</v>
      </c>
      <c r="H92" s="121">
        <f>_xlfn.XLOOKUP(C92,dinhdanhcq!B:B, dinhdanhcq!A:A, "")*2</f>
        <v>2</v>
      </c>
      <c r="I92" s="122">
        <f>_xlfn.XLOOKUP(C92,suckhoedientu!B:B, suckhoedientu!A:A, "")*2</f>
        <v>2</v>
      </c>
      <c r="J92" s="122">
        <f>_xlfn.XLOOKUP(C92,baohiemxahoi!B:B, baohiemxahoi!A:A, "")*2</f>
        <v>2</v>
      </c>
      <c r="K92" s="121">
        <f>_xlfn.XLOOKUP(C92,ansinhxahoi!B:B, ansinhxahoi!A:A, "")*2</f>
        <v>2</v>
      </c>
      <c r="L92" s="121">
        <f>_xlfn.XLOOKUP(C92,datdai!B:B, datdai!A:A, "")*2</f>
        <v>2</v>
      </c>
      <c r="M92" s="118">
        <f>_xlfn.XLOOKUP(C92,dvccc!B:B, dvccc!A:A, "")*2</f>
        <v>2</v>
      </c>
      <c r="N92" s="118">
        <f>_xlfn.XLOOKUP(C92,dvcct!B:B, dvcct!A:A, "")*2</f>
        <v>2</v>
      </c>
      <c r="O92" s="118">
        <f>_xlfn.XLOOKUP(C92,'ct10'!B:B, 'ct10'!A:A, "")*2</f>
        <v>2</v>
      </c>
      <c r="P92" s="118">
        <f>_xlfn.XLOOKUP(C92,hosocancuoc!B:B, hosocancuoc!A:A, "")*2</f>
        <v>2</v>
      </c>
      <c r="Q92" s="118">
        <f>_xlfn.XLOOKUP(C92,hosocutru!B:B, hosocutru!A:A, "")*2</f>
        <v>2</v>
      </c>
      <c r="R92" s="118">
        <f>_xlfn.XLOOKUP(C92,bdhvs!B:B, bdhvs!A:A, "")</f>
        <v>1</v>
      </c>
      <c r="S92" s="118">
        <f>_xlfn.XLOOKUP(C92,lamsachdc01!B:B, lamsachdc01!A:A, "")</f>
        <v>1</v>
      </c>
      <c r="T92" s="118">
        <f>_xlfn.XLOOKUP(C92,huyso!B:B, huyso!A:A, "")</f>
        <v>1</v>
      </c>
      <c r="U92" s="118">
        <f>_xlfn.XLOOKUP(C92,treem!B:B, treem!A:A, "")</f>
        <v>1</v>
      </c>
      <c r="V92" s="118">
        <f>_xlfn.XLOOKUP(C92,giaypheplaixe!B:B, giaypheplaixe!A:A, "")</f>
        <v>1</v>
      </c>
      <c r="W92" s="118">
        <f>_xlfn.XLOOKUP(C92,dangkyxe!B:B, dangkyxe!A:A, "")</f>
        <v>1</v>
      </c>
      <c r="X92" s="118"/>
    </row>
    <row r="93" spans="1:24" x14ac:dyDescent="0.3">
      <c r="A93" s="118">
        <f t="shared" si="3"/>
        <v>6</v>
      </c>
      <c r="B93" s="118" cm="1">
        <f t="array" ref="B93">_xlfn.IFS(A93&lt;=10, 12, A93&lt;=30, 9, A93&lt;=50, 8, A93&lt;=70, 7, A93&lt;=90, 6, A93&lt;=110, 5, A93&lt;=124, 2, TRUE, "Ngoài phạm vi")</f>
        <v>12</v>
      </c>
      <c r="C93" s="123" t="s">
        <v>9</v>
      </c>
      <c r="D93" s="121">
        <f t="shared" si="4"/>
        <v>36</v>
      </c>
      <c r="E93" s="121">
        <f>_xlfn.XLOOKUP(C93,cancuoc!B:B, cancuoc!A:A, "")*2</f>
        <v>6</v>
      </c>
      <c r="F93" s="121">
        <f>_xlfn.XLOOKUP(C93,dinhdanh14!B:B, dinhdanh14!A:A, "")*2</f>
        <v>2</v>
      </c>
      <c r="G93" s="121">
        <f>_xlfn.XLOOKUP(C93,dinhdanh6!B:B, dinhdanh6!A:A, "")*2</f>
        <v>2</v>
      </c>
      <c r="H93" s="121">
        <f>_xlfn.XLOOKUP(C93,dinhdanhcq!B:B, dinhdanhcq!A:A, "")*2</f>
        <v>2</v>
      </c>
      <c r="I93" s="122">
        <f>_xlfn.XLOOKUP(C93,suckhoedientu!B:B, suckhoedientu!A:A, "")*2</f>
        <v>2</v>
      </c>
      <c r="J93" s="122">
        <f>_xlfn.XLOOKUP(C93,baohiemxahoi!B:B, baohiemxahoi!A:A, "")*2</f>
        <v>2</v>
      </c>
      <c r="K93" s="121">
        <f>_xlfn.XLOOKUP(C93,ansinhxahoi!B:B, ansinhxahoi!A:A, "")*2</f>
        <v>2</v>
      </c>
      <c r="L93" s="121">
        <f>_xlfn.XLOOKUP(C93,datdai!B:B, datdai!A:A, "")*2</f>
        <v>2</v>
      </c>
      <c r="M93" s="118">
        <f>_xlfn.XLOOKUP(C93,dvccc!B:B, dvccc!A:A, "")*2</f>
        <v>2</v>
      </c>
      <c r="N93" s="118">
        <f>_xlfn.XLOOKUP(C93,dvcct!B:B, dvcct!A:A, "")*2</f>
        <v>2</v>
      </c>
      <c r="O93" s="118">
        <f>_xlfn.XLOOKUP(C93,'ct10'!B:B, 'ct10'!A:A, "")*2</f>
        <v>2</v>
      </c>
      <c r="P93" s="118">
        <f>_xlfn.XLOOKUP(C93,hosocancuoc!B:B, hosocancuoc!A:A, "")*2</f>
        <v>2</v>
      </c>
      <c r="Q93" s="118">
        <f>_xlfn.XLOOKUP(C93,hosocutru!B:B, hosocutru!A:A, "")*2</f>
        <v>2</v>
      </c>
      <c r="R93" s="118">
        <f>_xlfn.XLOOKUP(C93,bdhvs!B:B, bdhvs!A:A, "")</f>
        <v>1</v>
      </c>
      <c r="S93" s="118">
        <f>_xlfn.XLOOKUP(C93,lamsachdc01!B:B, lamsachdc01!A:A, "")</f>
        <v>1</v>
      </c>
      <c r="T93" s="118">
        <f>_xlfn.XLOOKUP(C93,huyso!B:B, huyso!A:A, "")</f>
        <v>1</v>
      </c>
      <c r="U93" s="118">
        <f>_xlfn.XLOOKUP(C93,treem!B:B, treem!A:A, "")</f>
        <v>1</v>
      </c>
      <c r="V93" s="118">
        <f>_xlfn.XLOOKUP(C93,giaypheplaixe!B:B, giaypheplaixe!A:A, "")</f>
        <v>1</v>
      </c>
      <c r="W93" s="118">
        <f>_xlfn.XLOOKUP(C93,dangkyxe!B:B, dangkyxe!A:A, "")</f>
        <v>1</v>
      </c>
      <c r="X93" s="118"/>
    </row>
    <row r="94" spans="1:24" x14ac:dyDescent="0.3">
      <c r="A94" s="118">
        <f t="shared" si="3"/>
        <v>6</v>
      </c>
      <c r="B94" s="118" cm="1">
        <f t="array" ref="B94">_xlfn.IFS(A94&lt;=10, 12, A94&lt;=30, 9, A94&lt;=50, 8, A94&lt;=70, 7, A94&lt;=90, 6, A94&lt;=110, 5, A94&lt;=124, 2, TRUE, "Ngoài phạm vi")</f>
        <v>12</v>
      </c>
      <c r="C94" s="117" t="s">
        <v>83</v>
      </c>
      <c r="D94" s="121">
        <f t="shared" si="4"/>
        <v>36</v>
      </c>
      <c r="E94" s="121">
        <f>_xlfn.XLOOKUP(C94,cancuoc!B:B, cancuoc!A:A, "")*2</f>
        <v>6</v>
      </c>
      <c r="F94" s="121">
        <f>_xlfn.XLOOKUP(C94,dinhdanh14!B:B, dinhdanh14!A:A, "")*2</f>
        <v>2</v>
      </c>
      <c r="G94" s="121">
        <f>_xlfn.XLOOKUP(C94,dinhdanh6!B:B, dinhdanh6!A:A, "")*2</f>
        <v>2</v>
      </c>
      <c r="H94" s="121">
        <f>_xlfn.XLOOKUP(C94,dinhdanhcq!B:B, dinhdanhcq!A:A, "")*2</f>
        <v>2</v>
      </c>
      <c r="I94" s="122">
        <f>_xlfn.XLOOKUP(C94,suckhoedientu!B:B, suckhoedientu!A:A, "")*2</f>
        <v>2</v>
      </c>
      <c r="J94" s="122">
        <f>_xlfn.XLOOKUP(C94,baohiemxahoi!B:B, baohiemxahoi!A:A, "")*2</f>
        <v>2</v>
      </c>
      <c r="K94" s="121">
        <f>_xlfn.XLOOKUP(C94,ansinhxahoi!B:B, ansinhxahoi!A:A, "")*2</f>
        <v>2</v>
      </c>
      <c r="L94" s="121">
        <f>_xlfn.XLOOKUP(C94,datdai!B:B, datdai!A:A, "")*2</f>
        <v>2</v>
      </c>
      <c r="M94" s="118">
        <f>_xlfn.XLOOKUP(C94,dvccc!B:B, dvccc!A:A, "")*2</f>
        <v>2</v>
      </c>
      <c r="N94" s="118">
        <f>_xlfn.XLOOKUP(C94,dvcct!B:B, dvcct!A:A, "")*2</f>
        <v>2</v>
      </c>
      <c r="O94" s="118">
        <f>_xlfn.XLOOKUP(C94,'ct10'!B:B, 'ct10'!A:A, "")*2</f>
        <v>2</v>
      </c>
      <c r="P94" s="118">
        <f>_xlfn.XLOOKUP(C94,hosocancuoc!B:B, hosocancuoc!A:A, "")*2</f>
        <v>2</v>
      </c>
      <c r="Q94" s="118">
        <f>_xlfn.XLOOKUP(C94,hosocutru!B:B, hosocutru!A:A, "")*2</f>
        <v>2</v>
      </c>
      <c r="R94" s="118">
        <f>_xlfn.XLOOKUP(C94,bdhvs!B:B, bdhvs!A:A, "")</f>
        <v>1</v>
      </c>
      <c r="S94" s="118">
        <f>_xlfn.XLOOKUP(C94,lamsachdc01!B:B, lamsachdc01!A:A, "")</f>
        <v>1</v>
      </c>
      <c r="T94" s="118">
        <f>_xlfn.XLOOKUP(C94,huyso!B:B, huyso!A:A, "")</f>
        <v>1</v>
      </c>
      <c r="U94" s="118">
        <f>_xlfn.XLOOKUP(C94,treem!B:B, treem!A:A, "")</f>
        <v>1</v>
      </c>
      <c r="V94" s="118">
        <f>_xlfn.XLOOKUP(C94,giaypheplaixe!B:B, giaypheplaixe!A:A, "")</f>
        <v>1</v>
      </c>
      <c r="W94" s="118">
        <f>_xlfn.XLOOKUP(C94,dangkyxe!B:B, dangkyxe!A:A, "")</f>
        <v>1</v>
      </c>
      <c r="X94" s="118"/>
    </row>
    <row r="95" spans="1:24" x14ac:dyDescent="0.3">
      <c r="A95" s="118">
        <f t="shared" si="3"/>
        <v>6</v>
      </c>
      <c r="B95" s="118" cm="1">
        <f t="array" ref="B95">_xlfn.IFS(A95&lt;=10, 12, A95&lt;=30, 9, A95&lt;=50, 8, A95&lt;=70, 7, A95&lt;=90, 6, A95&lt;=110, 5, A95&lt;=124, 2, TRUE, "Ngoài phạm vi")</f>
        <v>12</v>
      </c>
      <c r="C95" s="123" t="s">
        <v>117</v>
      </c>
      <c r="D95" s="121">
        <f t="shared" si="4"/>
        <v>36</v>
      </c>
      <c r="E95" s="121">
        <f>_xlfn.XLOOKUP(C95,cancuoc!B:B, cancuoc!A:A, "")*2</f>
        <v>6</v>
      </c>
      <c r="F95" s="121">
        <f>_xlfn.XLOOKUP(C95,dinhdanh14!B:B, dinhdanh14!A:A, "")*2</f>
        <v>2</v>
      </c>
      <c r="G95" s="121">
        <f>_xlfn.XLOOKUP(C95,dinhdanh6!B:B, dinhdanh6!A:A, "")*2</f>
        <v>2</v>
      </c>
      <c r="H95" s="121">
        <f>_xlfn.XLOOKUP(C95,dinhdanhcq!B:B, dinhdanhcq!A:A, "")*2</f>
        <v>2</v>
      </c>
      <c r="I95" s="122">
        <f>_xlfn.XLOOKUP(C95,suckhoedientu!B:B, suckhoedientu!A:A, "")*2</f>
        <v>2</v>
      </c>
      <c r="J95" s="122">
        <f>_xlfn.XLOOKUP(C95,baohiemxahoi!B:B, baohiemxahoi!A:A, "")*2</f>
        <v>2</v>
      </c>
      <c r="K95" s="121">
        <f>_xlfn.XLOOKUP(C95,ansinhxahoi!B:B, ansinhxahoi!A:A, "")*2</f>
        <v>2</v>
      </c>
      <c r="L95" s="121">
        <f>_xlfn.XLOOKUP(C95,datdai!B:B, datdai!A:A, "")*2</f>
        <v>2</v>
      </c>
      <c r="M95" s="118">
        <f>_xlfn.XLOOKUP(C95,dvccc!B:B, dvccc!A:A, "")*2</f>
        <v>2</v>
      </c>
      <c r="N95" s="118">
        <f>_xlfn.XLOOKUP(C95,dvcct!B:B, dvcct!A:A, "")*2</f>
        <v>2</v>
      </c>
      <c r="O95" s="118">
        <f>_xlfn.XLOOKUP(C95,'ct10'!B:B, 'ct10'!A:A, "")*2</f>
        <v>2</v>
      </c>
      <c r="P95" s="118">
        <f>_xlfn.XLOOKUP(C95,hosocancuoc!B:B, hosocancuoc!A:A, "")*2</f>
        <v>2</v>
      </c>
      <c r="Q95" s="118">
        <f>_xlfn.XLOOKUP(C95,hosocutru!B:B, hosocutru!A:A, "")*2</f>
        <v>2</v>
      </c>
      <c r="R95" s="118">
        <f>_xlfn.XLOOKUP(C95,bdhvs!B:B, bdhvs!A:A, "")</f>
        <v>1</v>
      </c>
      <c r="S95" s="118">
        <f>_xlfn.XLOOKUP(C95,lamsachdc01!B:B, lamsachdc01!A:A, "")</f>
        <v>1</v>
      </c>
      <c r="T95" s="118">
        <f>_xlfn.XLOOKUP(C95,huyso!B:B, huyso!A:A, "")</f>
        <v>1</v>
      </c>
      <c r="U95" s="118">
        <f>_xlfn.XLOOKUP(C95,treem!B:B, treem!A:A, "")</f>
        <v>1</v>
      </c>
      <c r="V95" s="118">
        <f>_xlfn.XLOOKUP(C95,giaypheplaixe!B:B, giaypheplaixe!A:A, "")</f>
        <v>1</v>
      </c>
      <c r="W95" s="118">
        <f>_xlfn.XLOOKUP(C95,dangkyxe!B:B, dangkyxe!A:A, "")</f>
        <v>1</v>
      </c>
      <c r="X95" s="118"/>
    </row>
    <row r="96" spans="1:24" x14ac:dyDescent="0.3">
      <c r="A96" s="118">
        <f t="shared" si="3"/>
        <v>6</v>
      </c>
      <c r="B96" s="118" cm="1">
        <f t="array" ref="B96">_xlfn.IFS(A96&lt;=10, 12, A96&lt;=30, 9, A96&lt;=50, 8, A96&lt;=70, 7, A96&lt;=90, 6, A96&lt;=110, 5, A96&lt;=124, 2, TRUE, "Ngoài phạm vi")</f>
        <v>12</v>
      </c>
      <c r="C96" s="117" t="s">
        <v>45</v>
      </c>
      <c r="D96" s="121">
        <f t="shared" si="4"/>
        <v>36</v>
      </c>
      <c r="E96" s="121">
        <f>_xlfn.XLOOKUP(C96,cancuoc!B:B, cancuoc!A:A, "")*2</f>
        <v>6</v>
      </c>
      <c r="F96" s="121">
        <f>_xlfn.XLOOKUP(C96,dinhdanh14!B:B, dinhdanh14!A:A, "")*2</f>
        <v>2</v>
      </c>
      <c r="G96" s="121">
        <f>_xlfn.XLOOKUP(C96,dinhdanh6!B:B, dinhdanh6!A:A, "")*2</f>
        <v>2</v>
      </c>
      <c r="H96" s="121">
        <f>_xlfn.XLOOKUP(C96,dinhdanhcq!B:B, dinhdanhcq!A:A, "")*2</f>
        <v>2</v>
      </c>
      <c r="I96" s="122">
        <f>_xlfn.XLOOKUP(C96,suckhoedientu!B:B, suckhoedientu!A:A, "")*2</f>
        <v>2</v>
      </c>
      <c r="J96" s="122">
        <f>_xlfn.XLOOKUP(C96,baohiemxahoi!B:B, baohiemxahoi!A:A, "")*2</f>
        <v>2</v>
      </c>
      <c r="K96" s="121">
        <f>_xlfn.XLOOKUP(C96,ansinhxahoi!B:B, ansinhxahoi!A:A, "")*2</f>
        <v>2</v>
      </c>
      <c r="L96" s="121">
        <f>_xlfn.XLOOKUP(C96,datdai!B:B, datdai!A:A, "")*2</f>
        <v>2</v>
      </c>
      <c r="M96" s="118">
        <f>_xlfn.XLOOKUP(C96,dvccc!B:B, dvccc!A:A, "")*2</f>
        <v>2</v>
      </c>
      <c r="N96" s="118">
        <f>_xlfn.XLOOKUP(C96,dvcct!B:B, dvcct!A:A, "")*2</f>
        <v>2</v>
      </c>
      <c r="O96" s="118">
        <f>_xlfn.XLOOKUP(C96,'ct10'!B:B, 'ct10'!A:A, "")*2</f>
        <v>2</v>
      </c>
      <c r="P96" s="118">
        <f>_xlfn.XLOOKUP(C96,hosocancuoc!B:B, hosocancuoc!A:A, "")*2</f>
        <v>2</v>
      </c>
      <c r="Q96" s="118">
        <f>_xlfn.XLOOKUP(C96,hosocutru!B:B, hosocutru!A:A, "")*2</f>
        <v>2</v>
      </c>
      <c r="R96" s="118">
        <f>_xlfn.XLOOKUP(C96,bdhvs!B:B, bdhvs!A:A, "")</f>
        <v>1</v>
      </c>
      <c r="S96" s="118">
        <f>_xlfn.XLOOKUP(C96,lamsachdc01!B:B, lamsachdc01!A:A, "")</f>
        <v>1</v>
      </c>
      <c r="T96" s="118">
        <f>_xlfn.XLOOKUP(C96,huyso!B:B, huyso!A:A, "")</f>
        <v>1</v>
      </c>
      <c r="U96" s="118">
        <f>_xlfn.XLOOKUP(C96,treem!B:B, treem!A:A, "")</f>
        <v>1</v>
      </c>
      <c r="V96" s="118">
        <f>_xlfn.XLOOKUP(C96,giaypheplaixe!B:B, giaypheplaixe!A:A, "")</f>
        <v>1</v>
      </c>
      <c r="W96" s="118">
        <f>_xlfn.XLOOKUP(C96,dangkyxe!B:B, dangkyxe!A:A, "")</f>
        <v>1</v>
      </c>
      <c r="X96" s="118"/>
    </row>
    <row r="97" spans="1:24" x14ac:dyDescent="0.3">
      <c r="A97" s="118">
        <f t="shared" si="3"/>
        <v>6</v>
      </c>
      <c r="B97" s="118" cm="1">
        <f t="array" ref="B97">_xlfn.IFS(A97&lt;=10, 12, A97&lt;=30, 9, A97&lt;=50, 8, A97&lt;=70, 7, A97&lt;=90, 6, A97&lt;=110, 5, A97&lt;=124, 2, TRUE, "Ngoài phạm vi")</f>
        <v>12</v>
      </c>
      <c r="C97" s="117" t="s">
        <v>51</v>
      </c>
      <c r="D97" s="121">
        <f t="shared" si="4"/>
        <v>36</v>
      </c>
      <c r="E97" s="121">
        <f>_xlfn.XLOOKUP(C97,cancuoc!B:B, cancuoc!A:A, "")*2</f>
        <v>6</v>
      </c>
      <c r="F97" s="121">
        <f>_xlfn.XLOOKUP(C97,dinhdanh14!B:B, dinhdanh14!A:A, "")*2</f>
        <v>2</v>
      </c>
      <c r="G97" s="121">
        <f>_xlfn.XLOOKUP(C97,dinhdanh6!B:B, dinhdanh6!A:A, "")*2</f>
        <v>2</v>
      </c>
      <c r="H97" s="121">
        <f>_xlfn.XLOOKUP(C97,dinhdanhcq!B:B, dinhdanhcq!A:A, "")*2</f>
        <v>2</v>
      </c>
      <c r="I97" s="122">
        <f>_xlfn.XLOOKUP(C97,suckhoedientu!B:B, suckhoedientu!A:A, "")*2</f>
        <v>2</v>
      </c>
      <c r="J97" s="122">
        <f>_xlfn.XLOOKUP(C97,baohiemxahoi!B:B, baohiemxahoi!A:A, "")*2</f>
        <v>2</v>
      </c>
      <c r="K97" s="121">
        <f>_xlfn.XLOOKUP(C97,ansinhxahoi!B:B, ansinhxahoi!A:A, "")*2</f>
        <v>2</v>
      </c>
      <c r="L97" s="121">
        <f>_xlfn.XLOOKUP(C97,datdai!B:B, datdai!A:A, "")*2</f>
        <v>2</v>
      </c>
      <c r="M97" s="118">
        <f>_xlfn.XLOOKUP(C97,dvccc!B:B, dvccc!A:A, "")*2</f>
        <v>2</v>
      </c>
      <c r="N97" s="118">
        <f>_xlfn.XLOOKUP(C97,dvcct!B:B, dvcct!A:A, "")*2</f>
        <v>2</v>
      </c>
      <c r="O97" s="118">
        <f>_xlfn.XLOOKUP(C97,'ct10'!B:B, 'ct10'!A:A, "")*2</f>
        <v>2</v>
      </c>
      <c r="P97" s="118">
        <f>_xlfn.XLOOKUP(C97,hosocancuoc!B:B, hosocancuoc!A:A, "")*2</f>
        <v>2</v>
      </c>
      <c r="Q97" s="118">
        <f>_xlfn.XLOOKUP(C97,hosocutru!B:B, hosocutru!A:A, "")*2</f>
        <v>2</v>
      </c>
      <c r="R97" s="118">
        <f>_xlfn.XLOOKUP(C97,bdhvs!B:B, bdhvs!A:A, "")</f>
        <v>1</v>
      </c>
      <c r="S97" s="118">
        <f>_xlfn.XLOOKUP(C97,lamsachdc01!B:B, lamsachdc01!A:A, "")</f>
        <v>1</v>
      </c>
      <c r="T97" s="118">
        <f>_xlfn.XLOOKUP(C97,huyso!B:B, huyso!A:A, "")</f>
        <v>1</v>
      </c>
      <c r="U97" s="118">
        <f>_xlfn.XLOOKUP(C97,treem!B:B, treem!A:A, "")</f>
        <v>1</v>
      </c>
      <c r="V97" s="118">
        <f>_xlfn.XLOOKUP(C97,giaypheplaixe!B:B, giaypheplaixe!A:A, "")</f>
        <v>1</v>
      </c>
      <c r="W97" s="118">
        <f>_xlfn.XLOOKUP(C97,dangkyxe!B:B, dangkyxe!A:A, "")</f>
        <v>1</v>
      </c>
      <c r="X97" s="118"/>
    </row>
    <row r="98" spans="1:24" x14ac:dyDescent="0.3">
      <c r="A98" s="118">
        <f t="shared" si="3"/>
        <v>6</v>
      </c>
      <c r="B98" s="118" cm="1">
        <f t="array" ref="B98">_xlfn.IFS(A98&lt;=10, 12, A98&lt;=30, 9, A98&lt;=50, 8, A98&lt;=70, 7, A98&lt;=90, 6, A98&lt;=110, 5, A98&lt;=124, 2, TRUE, "Ngoài phạm vi")</f>
        <v>12</v>
      </c>
      <c r="C98" s="117" t="s">
        <v>8</v>
      </c>
      <c r="D98" s="121">
        <f t="shared" si="4"/>
        <v>36</v>
      </c>
      <c r="E98" s="121">
        <f>_xlfn.XLOOKUP(C98,cancuoc!B:B, cancuoc!A:A, "")*2</f>
        <v>6</v>
      </c>
      <c r="F98" s="121">
        <f>_xlfn.XLOOKUP(C98,dinhdanh14!B:B, dinhdanh14!A:A, "")*2</f>
        <v>2</v>
      </c>
      <c r="G98" s="121">
        <f>_xlfn.XLOOKUP(C98,dinhdanh6!B:B, dinhdanh6!A:A, "")*2</f>
        <v>2</v>
      </c>
      <c r="H98" s="121">
        <f>_xlfn.XLOOKUP(C98,dinhdanhcq!B:B, dinhdanhcq!A:A, "")*2</f>
        <v>2</v>
      </c>
      <c r="I98" s="122">
        <f>_xlfn.XLOOKUP(C98,suckhoedientu!B:B, suckhoedientu!A:A, "")*2</f>
        <v>2</v>
      </c>
      <c r="J98" s="122">
        <f>_xlfn.XLOOKUP(C98,baohiemxahoi!B:B, baohiemxahoi!A:A, "")*2</f>
        <v>2</v>
      </c>
      <c r="K98" s="121">
        <f>_xlfn.XLOOKUP(C98,ansinhxahoi!B:B, ansinhxahoi!A:A, "")*2</f>
        <v>2</v>
      </c>
      <c r="L98" s="121">
        <f>_xlfn.XLOOKUP(C98,datdai!B:B, datdai!A:A, "")*2</f>
        <v>2</v>
      </c>
      <c r="M98" s="118">
        <f>_xlfn.XLOOKUP(C98,dvccc!B:B, dvccc!A:A, "")*2</f>
        <v>2</v>
      </c>
      <c r="N98" s="118">
        <f>_xlfn.XLOOKUP(C98,dvcct!B:B, dvcct!A:A, "")*2</f>
        <v>2</v>
      </c>
      <c r="O98" s="118">
        <f>_xlfn.XLOOKUP(C98,'ct10'!B:B, 'ct10'!A:A, "")*2</f>
        <v>2</v>
      </c>
      <c r="P98" s="118">
        <f>_xlfn.XLOOKUP(C98,hosocancuoc!B:B, hosocancuoc!A:A, "")*2</f>
        <v>2</v>
      </c>
      <c r="Q98" s="118">
        <f>_xlfn.XLOOKUP(C98,hosocutru!B:B, hosocutru!A:A, "")*2</f>
        <v>2</v>
      </c>
      <c r="R98" s="118">
        <f>_xlfn.XLOOKUP(C98,bdhvs!B:B, bdhvs!A:A, "")</f>
        <v>1</v>
      </c>
      <c r="S98" s="118">
        <f>_xlfn.XLOOKUP(C98,lamsachdc01!B:B, lamsachdc01!A:A, "")</f>
        <v>1</v>
      </c>
      <c r="T98" s="118">
        <f>_xlfn.XLOOKUP(C98,huyso!B:B, huyso!A:A, "")</f>
        <v>1</v>
      </c>
      <c r="U98" s="118">
        <f>_xlfn.XLOOKUP(C98,treem!B:B, treem!A:A, "")</f>
        <v>1</v>
      </c>
      <c r="V98" s="118">
        <f>_xlfn.XLOOKUP(C98,giaypheplaixe!B:B, giaypheplaixe!A:A, "")</f>
        <v>1</v>
      </c>
      <c r="W98" s="118">
        <f>_xlfn.XLOOKUP(C98,dangkyxe!B:B, dangkyxe!A:A, "")</f>
        <v>1</v>
      </c>
      <c r="X98" s="118"/>
    </row>
    <row r="99" spans="1:24" x14ac:dyDescent="0.3">
      <c r="A99" s="118">
        <f t="shared" si="3"/>
        <v>6</v>
      </c>
      <c r="B99" s="118" cm="1">
        <f t="array" ref="B99">_xlfn.IFS(A99&lt;=10, 12, A99&lt;=30, 9, A99&lt;=50, 8, A99&lt;=70, 7, A99&lt;=90, 6, A99&lt;=110, 5, A99&lt;=124, 2, TRUE, "Ngoài phạm vi")</f>
        <v>12</v>
      </c>
      <c r="C99" s="117" t="s">
        <v>86</v>
      </c>
      <c r="D99" s="121">
        <f t="shared" si="4"/>
        <v>36</v>
      </c>
      <c r="E99" s="121">
        <f>_xlfn.XLOOKUP(C99,cancuoc!B:B, cancuoc!A:A, "")*2</f>
        <v>6</v>
      </c>
      <c r="F99" s="121">
        <f>_xlfn.XLOOKUP(C99,dinhdanh14!B:B, dinhdanh14!A:A, "")*2</f>
        <v>2</v>
      </c>
      <c r="G99" s="121">
        <f>_xlfn.XLOOKUP(C99,dinhdanh6!B:B, dinhdanh6!A:A, "")*2</f>
        <v>2</v>
      </c>
      <c r="H99" s="121">
        <f>_xlfn.XLOOKUP(C99,dinhdanhcq!B:B, dinhdanhcq!A:A, "")*2</f>
        <v>2</v>
      </c>
      <c r="I99" s="122">
        <f>_xlfn.XLOOKUP(C99,suckhoedientu!B:B, suckhoedientu!A:A, "")*2</f>
        <v>2</v>
      </c>
      <c r="J99" s="122">
        <f>_xlfn.XLOOKUP(C99,baohiemxahoi!B:B, baohiemxahoi!A:A, "")*2</f>
        <v>2</v>
      </c>
      <c r="K99" s="121">
        <f>_xlfn.XLOOKUP(C99,ansinhxahoi!B:B, ansinhxahoi!A:A, "")*2</f>
        <v>2</v>
      </c>
      <c r="L99" s="121">
        <f>_xlfn.XLOOKUP(C99,datdai!B:B, datdai!A:A, "")*2</f>
        <v>2</v>
      </c>
      <c r="M99" s="118">
        <f>_xlfn.XLOOKUP(C99,dvccc!B:B, dvccc!A:A, "")*2</f>
        <v>2</v>
      </c>
      <c r="N99" s="118">
        <f>_xlfn.XLOOKUP(C99,dvcct!B:B, dvcct!A:A, "")*2</f>
        <v>2</v>
      </c>
      <c r="O99" s="118">
        <f>_xlfn.XLOOKUP(C99,'ct10'!B:B, 'ct10'!A:A, "")*2</f>
        <v>2</v>
      </c>
      <c r="P99" s="118">
        <f>_xlfn.XLOOKUP(C99,hosocancuoc!B:B, hosocancuoc!A:A, "")*2</f>
        <v>2</v>
      </c>
      <c r="Q99" s="118">
        <f>_xlfn.XLOOKUP(C99,hosocutru!B:B, hosocutru!A:A, "")*2</f>
        <v>2</v>
      </c>
      <c r="R99" s="118">
        <f>_xlfn.XLOOKUP(C99,bdhvs!B:B, bdhvs!A:A, "")</f>
        <v>1</v>
      </c>
      <c r="S99" s="118">
        <f>_xlfn.XLOOKUP(C99,lamsachdc01!B:B, lamsachdc01!A:A, "")</f>
        <v>1</v>
      </c>
      <c r="T99" s="118">
        <f>_xlfn.XLOOKUP(C99,huyso!B:B, huyso!A:A, "")</f>
        <v>1</v>
      </c>
      <c r="U99" s="118">
        <f>_xlfn.XLOOKUP(C99,treem!B:B, treem!A:A, "")</f>
        <v>1</v>
      </c>
      <c r="V99" s="118">
        <f>_xlfn.XLOOKUP(C99,giaypheplaixe!B:B, giaypheplaixe!A:A, "")</f>
        <v>1</v>
      </c>
      <c r="W99" s="118">
        <f>_xlfn.XLOOKUP(C99,dangkyxe!B:B, dangkyxe!A:A, "")</f>
        <v>1</v>
      </c>
      <c r="X99" s="118"/>
    </row>
    <row r="100" spans="1:24" x14ac:dyDescent="0.3">
      <c r="A100" s="118">
        <f t="shared" si="3"/>
        <v>6</v>
      </c>
      <c r="B100" s="118" cm="1">
        <f t="array" ref="B100">_xlfn.IFS(A100&lt;=10, 12, A100&lt;=30, 9, A100&lt;=50, 8, A100&lt;=70, 7, A100&lt;=90, 6, A100&lt;=110, 5, A100&lt;=124, 2, TRUE, "Ngoài phạm vi")</f>
        <v>12</v>
      </c>
      <c r="C100" s="117" t="s">
        <v>100</v>
      </c>
      <c r="D100" s="121">
        <f t="shared" si="4"/>
        <v>36</v>
      </c>
      <c r="E100" s="121">
        <f>_xlfn.XLOOKUP(C100,cancuoc!B:B, cancuoc!A:A, "")*2</f>
        <v>6</v>
      </c>
      <c r="F100" s="121">
        <f>_xlfn.XLOOKUP(C100,dinhdanh14!B:B, dinhdanh14!A:A, "")*2</f>
        <v>2</v>
      </c>
      <c r="G100" s="121">
        <f>_xlfn.XLOOKUP(C100,dinhdanh6!B:B, dinhdanh6!A:A, "")*2</f>
        <v>2</v>
      </c>
      <c r="H100" s="121">
        <f>_xlfn.XLOOKUP(C100,dinhdanhcq!B:B, dinhdanhcq!A:A, "")*2</f>
        <v>2</v>
      </c>
      <c r="I100" s="122">
        <f>_xlfn.XLOOKUP(C100,suckhoedientu!B:B, suckhoedientu!A:A, "")*2</f>
        <v>2</v>
      </c>
      <c r="J100" s="122">
        <f>_xlfn.XLOOKUP(C100,baohiemxahoi!B:B, baohiemxahoi!A:A, "")*2</f>
        <v>2</v>
      </c>
      <c r="K100" s="121">
        <f>_xlfn.XLOOKUP(C100,ansinhxahoi!B:B, ansinhxahoi!A:A, "")*2</f>
        <v>2</v>
      </c>
      <c r="L100" s="121">
        <f>_xlfn.XLOOKUP(C100,datdai!B:B, datdai!A:A, "")*2</f>
        <v>2</v>
      </c>
      <c r="M100" s="118">
        <f>_xlfn.XLOOKUP(C100,dvccc!B:B, dvccc!A:A, "")*2</f>
        <v>2</v>
      </c>
      <c r="N100" s="118">
        <f>_xlfn.XLOOKUP(C100,dvcct!B:B, dvcct!A:A, "")*2</f>
        <v>2</v>
      </c>
      <c r="O100" s="118">
        <f>_xlfn.XLOOKUP(C100,'ct10'!B:B, 'ct10'!A:A, "")*2</f>
        <v>2</v>
      </c>
      <c r="P100" s="118">
        <f>_xlfn.XLOOKUP(C100,hosocancuoc!B:B, hosocancuoc!A:A, "")*2</f>
        <v>2</v>
      </c>
      <c r="Q100" s="118">
        <f>_xlfn.XLOOKUP(C100,hosocutru!B:B, hosocutru!A:A, "")*2</f>
        <v>2</v>
      </c>
      <c r="R100" s="118">
        <f>_xlfn.XLOOKUP(C100,bdhvs!B:B, bdhvs!A:A, "")</f>
        <v>1</v>
      </c>
      <c r="S100" s="118">
        <f>_xlfn.XLOOKUP(C100,lamsachdc01!B:B, lamsachdc01!A:A, "")</f>
        <v>1</v>
      </c>
      <c r="T100" s="118">
        <f>_xlfn.XLOOKUP(C100,huyso!B:B, huyso!A:A, "")</f>
        <v>1</v>
      </c>
      <c r="U100" s="118">
        <f>_xlfn.XLOOKUP(C100,treem!B:B, treem!A:A, "")</f>
        <v>1</v>
      </c>
      <c r="V100" s="118">
        <f>_xlfn.XLOOKUP(C100,giaypheplaixe!B:B, giaypheplaixe!A:A, "")</f>
        <v>1</v>
      </c>
      <c r="W100" s="118">
        <f>_xlfn.XLOOKUP(C100,dangkyxe!B:B, dangkyxe!A:A, "")</f>
        <v>1</v>
      </c>
      <c r="X100" s="118"/>
    </row>
    <row r="101" spans="1:24" x14ac:dyDescent="0.3">
      <c r="A101" s="118">
        <f t="shared" si="3"/>
        <v>6</v>
      </c>
      <c r="B101" s="118" cm="1">
        <f t="array" ref="B101">_xlfn.IFS(A101&lt;=10, 12, A101&lt;=30, 9, A101&lt;=50, 8, A101&lt;=70, 7, A101&lt;=90, 6, A101&lt;=110, 5, A101&lt;=124, 2, TRUE, "Ngoài phạm vi")</f>
        <v>12</v>
      </c>
      <c r="C101" s="117" t="s">
        <v>122</v>
      </c>
      <c r="D101" s="121">
        <f t="shared" si="4"/>
        <v>36</v>
      </c>
      <c r="E101" s="121">
        <f>_xlfn.XLOOKUP(C101,cancuoc!B:B, cancuoc!A:A, "")*2</f>
        <v>6</v>
      </c>
      <c r="F101" s="121">
        <f>_xlfn.XLOOKUP(C101,dinhdanh14!B:B, dinhdanh14!A:A, "")*2</f>
        <v>2</v>
      </c>
      <c r="G101" s="121">
        <f>_xlfn.XLOOKUP(C101,dinhdanh6!B:B, dinhdanh6!A:A, "")*2</f>
        <v>2</v>
      </c>
      <c r="H101" s="121">
        <f>_xlfn.XLOOKUP(C101,dinhdanhcq!B:B, dinhdanhcq!A:A, "")*2</f>
        <v>2</v>
      </c>
      <c r="I101" s="122">
        <f>_xlfn.XLOOKUP(C101,suckhoedientu!B:B, suckhoedientu!A:A, "")*2</f>
        <v>2</v>
      </c>
      <c r="J101" s="122">
        <f>_xlfn.XLOOKUP(C101,baohiemxahoi!B:B, baohiemxahoi!A:A, "")*2</f>
        <v>2</v>
      </c>
      <c r="K101" s="121">
        <f>_xlfn.XLOOKUP(C101,ansinhxahoi!B:B, ansinhxahoi!A:A, "")*2</f>
        <v>2</v>
      </c>
      <c r="L101" s="121">
        <f>_xlfn.XLOOKUP(C101,datdai!B:B, datdai!A:A, "")*2</f>
        <v>2</v>
      </c>
      <c r="M101" s="118">
        <f>_xlfn.XLOOKUP(C101,dvccc!B:B, dvccc!A:A, "")*2</f>
        <v>2</v>
      </c>
      <c r="N101" s="118">
        <f>_xlfn.XLOOKUP(C101,dvcct!B:B, dvcct!A:A, "")*2</f>
        <v>2</v>
      </c>
      <c r="O101" s="118">
        <f>_xlfn.XLOOKUP(C101,'ct10'!B:B, 'ct10'!A:A, "")*2</f>
        <v>2</v>
      </c>
      <c r="P101" s="118">
        <f>_xlfn.XLOOKUP(C101,hosocancuoc!B:B, hosocancuoc!A:A, "")*2</f>
        <v>2</v>
      </c>
      <c r="Q101" s="118">
        <f>_xlfn.XLOOKUP(C101,hosocutru!B:B, hosocutru!A:A, "")*2</f>
        <v>2</v>
      </c>
      <c r="R101" s="118">
        <f>_xlfn.XLOOKUP(C101,bdhvs!B:B, bdhvs!A:A, "")</f>
        <v>1</v>
      </c>
      <c r="S101" s="118">
        <f>_xlfn.XLOOKUP(C101,lamsachdc01!B:B, lamsachdc01!A:A, "")</f>
        <v>1</v>
      </c>
      <c r="T101" s="118">
        <f>_xlfn.XLOOKUP(C101,huyso!B:B, huyso!A:A, "")</f>
        <v>1</v>
      </c>
      <c r="U101" s="118">
        <f>_xlfn.XLOOKUP(C101,treem!B:B, treem!A:A, "")</f>
        <v>1</v>
      </c>
      <c r="V101" s="118">
        <f>_xlfn.XLOOKUP(C101,giaypheplaixe!B:B, giaypheplaixe!A:A, "")</f>
        <v>1</v>
      </c>
      <c r="W101" s="118">
        <f>_xlfn.XLOOKUP(C101,dangkyxe!B:B, dangkyxe!A:A, "")</f>
        <v>1</v>
      </c>
      <c r="X101" s="118"/>
    </row>
    <row r="102" spans="1:24" x14ac:dyDescent="0.3">
      <c r="A102" s="118">
        <f t="shared" ref="A102:A129" si="5">_xlfn.RANK.EQ(D102,$D$6:$D$129,1)</f>
        <v>6</v>
      </c>
      <c r="B102" s="118" cm="1">
        <f t="array" ref="B102">_xlfn.IFS(A102&lt;=10, 12, A102&lt;=30, 9, A102&lt;=50, 8, A102&lt;=70, 7, A102&lt;=90, 6, A102&lt;=110, 5, A102&lt;=124, 2, TRUE, "Ngoài phạm vi")</f>
        <v>12</v>
      </c>
      <c r="C102" s="120" t="s">
        <v>103</v>
      </c>
      <c r="D102" s="121">
        <f t="shared" si="4"/>
        <v>36</v>
      </c>
      <c r="E102" s="121">
        <f>_xlfn.XLOOKUP(C102,cancuoc!B:B, cancuoc!A:A, "")*2</f>
        <v>6</v>
      </c>
      <c r="F102" s="121">
        <f>_xlfn.XLOOKUP(C102,dinhdanh14!B:B, dinhdanh14!A:A, "")*2</f>
        <v>2</v>
      </c>
      <c r="G102" s="121">
        <f>_xlfn.XLOOKUP(C102,dinhdanh6!B:B, dinhdanh6!A:A, "")*2</f>
        <v>2</v>
      </c>
      <c r="H102" s="121">
        <f>_xlfn.XLOOKUP(C102,dinhdanhcq!B:B, dinhdanhcq!A:A, "")*2</f>
        <v>2</v>
      </c>
      <c r="I102" s="122">
        <f>_xlfn.XLOOKUP(C102,suckhoedientu!B:B, suckhoedientu!A:A, "")*2</f>
        <v>2</v>
      </c>
      <c r="J102" s="122">
        <f>_xlfn.XLOOKUP(C102,baohiemxahoi!B:B, baohiemxahoi!A:A, "")*2</f>
        <v>2</v>
      </c>
      <c r="K102" s="121">
        <f>_xlfn.XLOOKUP(C102,ansinhxahoi!B:B, ansinhxahoi!A:A, "")*2</f>
        <v>2</v>
      </c>
      <c r="L102" s="121">
        <f>_xlfn.XLOOKUP(C102,datdai!B:B, datdai!A:A, "")*2</f>
        <v>2</v>
      </c>
      <c r="M102" s="118">
        <f>_xlfn.XLOOKUP(C102,dvccc!B:B, dvccc!A:A, "")*2</f>
        <v>2</v>
      </c>
      <c r="N102" s="118">
        <f>_xlfn.XLOOKUP(C102,dvcct!B:B, dvcct!A:A, "")*2</f>
        <v>2</v>
      </c>
      <c r="O102" s="118">
        <f>_xlfn.XLOOKUP(C102,'ct10'!B:B, 'ct10'!A:A, "")*2</f>
        <v>2</v>
      </c>
      <c r="P102" s="118">
        <f>_xlfn.XLOOKUP(C102,hosocancuoc!B:B, hosocancuoc!A:A, "")*2</f>
        <v>2</v>
      </c>
      <c r="Q102" s="118">
        <f>_xlfn.XLOOKUP(C102,hosocutru!B:B, hosocutru!A:A, "")*2</f>
        <v>2</v>
      </c>
      <c r="R102" s="118">
        <f>_xlfn.XLOOKUP(C102,bdhvs!B:B, bdhvs!A:A, "")</f>
        <v>1</v>
      </c>
      <c r="S102" s="118">
        <f>_xlfn.XLOOKUP(C102,lamsachdc01!B:B, lamsachdc01!A:A, "")</f>
        <v>1</v>
      </c>
      <c r="T102" s="118">
        <f>_xlfn.XLOOKUP(C102,huyso!B:B, huyso!A:A, "")</f>
        <v>1</v>
      </c>
      <c r="U102" s="118">
        <f>_xlfn.XLOOKUP(C102,treem!B:B, treem!A:A, "")</f>
        <v>1</v>
      </c>
      <c r="V102" s="118">
        <f>_xlfn.XLOOKUP(C102,giaypheplaixe!B:B, giaypheplaixe!A:A, "")</f>
        <v>1</v>
      </c>
      <c r="W102" s="118">
        <f>_xlfn.XLOOKUP(C102,dangkyxe!B:B, dangkyxe!A:A, "")</f>
        <v>1</v>
      </c>
      <c r="X102" s="118"/>
    </row>
    <row r="103" spans="1:24" x14ac:dyDescent="0.3">
      <c r="A103" s="118">
        <f t="shared" si="5"/>
        <v>6</v>
      </c>
      <c r="B103" s="118" cm="1">
        <f t="array" ref="B103">_xlfn.IFS(A103&lt;=10, 12, A103&lt;=30, 9, A103&lt;=50, 8, A103&lt;=70, 7, A103&lt;=90, 6, A103&lt;=110, 5, A103&lt;=124, 2, TRUE, "Ngoài phạm vi")</f>
        <v>12</v>
      </c>
      <c r="C103" s="117" t="s">
        <v>115</v>
      </c>
      <c r="D103" s="121">
        <f t="shared" si="4"/>
        <v>36</v>
      </c>
      <c r="E103" s="121">
        <f>_xlfn.XLOOKUP(C103,cancuoc!B:B, cancuoc!A:A, "")*2</f>
        <v>6</v>
      </c>
      <c r="F103" s="121">
        <f>_xlfn.XLOOKUP(C103,dinhdanh14!B:B, dinhdanh14!A:A, "")*2</f>
        <v>2</v>
      </c>
      <c r="G103" s="121">
        <f>_xlfn.XLOOKUP(C103,dinhdanh6!B:B, dinhdanh6!A:A, "")*2</f>
        <v>2</v>
      </c>
      <c r="H103" s="121">
        <f>_xlfn.XLOOKUP(C103,dinhdanhcq!B:B, dinhdanhcq!A:A, "")*2</f>
        <v>2</v>
      </c>
      <c r="I103" s="122">
        <f>_xlfn.XLOOKUP(C103,suckhoedientu!B:B, suckhoedientu!A:A, "")*2</f>
        <v>2</v>
      </c>
      <c r="J103" s="122">
        <f>_xlfn.XLOOKUP(C103,baohiemxahoi!B:B, baohiemxahoi!A:A, "")*2</f>
        <v>2</v>
      </c>
      <c r="K103" s="121">
        <f>_xlfn.XLOOKUP(C103,ansinhxahoi!B:B, ansinhxahoi!A:A, "")*2</f>
        <v>2</v>
      </c>
      <c r="L103" s="121">
        <f>_xlfn.XLOOKUP(C103,datdai!B:B, datdai!A:A, "")*2</f>
        <v>2</v>
      </c>
      <c r="M103" s="118">
        <f>_xlfn.XLOOKUP(C103,dvccc!B:B, dvccc!A:A, "")*2</f>
        <v>2</v>
      </c>
      <c r="N103" s="118">
        <f>_xlfn.XLOOKUP(C103,dvcct!B:B, dvcct!A:A, "")*2</f>
        <v>2</v>
      </c>
      <c r="O103" s="118">
        <f>_xlfn.XLOOKUP(C103,'ct10'!B:B, 'ct10'!A:A, "")*2</f>
        <v>2</v>
      </c>
      <c r="P103" s="118">
        <f>_xlfn.XLOOKUP(C103,hosocancuoc!B:B, hosocancuoc!A:A, "")*2</f>
        <v>2</v>
      </c>
      <c r="Q103" s="118">
        <f>_xlfn.XLOOKUP(C103,hosocutru!B:B, hosocutru!A:A, "")*2</f>
        <v>2</v>
      </c>
      <c r="R103" s="118">
        <f>_xlfn.XLOOKUP(C103,bdhvs!B:B, bdhvs!A:A, "")</f>
        <v>1</v>
      </c>
      <c r="S103" s="118">
        <f>_xlfn.XLOOKUP(C103,lamsachdc01!B:B, lamsachdc01!A:A, "")</f>
        <v>1</v>
      </c>
      <c r="T103" s="118">
        <f>_xlfn.XLOOKUP(C103,huyso!B:B, huyso!A:A, "")</f>
        <v>1</v>
      </c>
      <c r="U103" s="118">
        <f>_xlfn.XLOOKUP(C103,treem!B:B, treem!A:A, "")</f>
        <v>1</v>
      </c>
      <c r="V103" s="118">
        <f>_xlfn.XLOOKUP(C103,giaypheplaixe!B:B, giaypheplaixe!A:A, "")</f>
        <v>1</v>
      </c>
      <c r="W103" s="118">
        <f>_xlfn.XLOOKUP(C103,dangkyxe!B:B, dangkyxe!A:A, "")</f>
        <v>1</v>
      </c>
      <c r="X103" s="118"/>
    </row>
    <row r="104" spans="1:24" x14ac:dyDescent="0.3">
      <c r="A104" s="118">
        <f t="shared" si="5"/>
        <v>6</v>
      </c>
      <c r="B104" s="118" cm="1">
        <f t="array" ref="B104">_xlfn.IFS(A104&lt;=10, 12, A104&lt;=30, 9, A104&lt;=50, 8, A104&lt;=70, 7, A104&lt;=90, 6, A104&lt;=110, 5, A104&lt;=124, 2, TRUE, "Ngoài phạm vi")</f>
        <v>12</v>
      </c>
      <c r="C104" s="117" t="s">
        <v>14</v>
      </c>
      <c r="D104" s="121">
        <f t="shared" si="4"/>
        <v>36</v>
      </c>
      <c r="E104" s="121">
        <f>_xlfn.XLOOKUP(C104,cancuoc!B:B, cancuoc!A:A, "")*2</f>
        <v>6</v>
      </c>
      <c r="F104" s="121">
        <f>_xlfn.XLOOKUP(C104,dinhdanh14!B:B, dinhdanh14!A:A, "")*2</f>
        <v>2</v>
      </c>
      <c r="G104" s="121">
        <f>_xlfn.XLOOKUP(C104,dinhdanh6!B:B, dinhdanh6!A:A, "")*2</f>
        <v>2</v>
      </c>
      <c r="H104" s="121">
        <f>_xlfn.XLOOKUP(C104,dinhdanhcq!B:B, dinhdanhcq!A:A, "")*2</f>
        <v>2</v>
      </c>
      <c r="I104" s="122">
        <f>_xlfn.XLOOKUP(C104,suckhoedientu!B:B, suckhoedientu!A:A, "")*2</f>
        <v>2</v>
      </c>
      <c r="J104" s="122">
        <f>_xlfn.XLOOKUP(C104,baohiemxahoi!B:B, baohiemxahoi!A:A, "")*2</f>
        <v>2</v>
      </c>
      <c r="K104" s="121">
        <f>_xlfn.XLOOKUP(C104,ansinhxahoi!B:B, ansinhxahoi!A:A, "")*2</f>
        <v>2</v>
      </c>
      <c r="L104" s="121">
        <f>_xlfn.XLOOKUP(C104,datdai!B:B, datdai!A:A, "")*2</f>
        <v>2</v>
      </c>
      <c r="M104" s="118">
        <f>_xlfn.XLOOKUP(C104,dvccc!B:B, dvccc!A:A, "")*2</f>
        <v>2</v>
      </c>
      <c r="N104" s="118">
        <f>_xlfn.XLOOKUP(C104,dvcct!B:B, dvcct!A:A, "")*2</f>
        <v>2</v>
      </c>
      <c r="O104" s="118">
        <f>_xlfn.XLOOKUP(C104,'ct10'!B:B, 'ct10'!A:A, "")*2</f>
        <v>2</v>
      </c>
      <c r="P104" s="118">
        <f>_xlfn.XLOOKUP(C104,hosocancuoc!B:B, hosocancuoc!A:A, "")*2</f>
        <v>2</v>
      </c>
      <c r="Q104" s="118">
        <f>_xlfn.XLOOKUP(C104,hosocutru!B:B, hosocutru!A:A, "")*2</f>
        <v>2</v>
      </c>
      <c r="R104" s="118">
        <f>_xlfn.XLOOKUP(C104,bdhvs!B:B, bdhvs!A:A, "")</f>
        <v>1</v>
      </c>
      <c r="S104" s="118">
        <f>_xlfn.XLOOKUP(C104,lamsachdc01!B:B, lamsachdc01!A:A, "")</f>
        <v>1</v>
      </c>
      <c r="T104" s="118">
        <f>_xlfn.XLOOKUP(C104,huyso!B:B, huyso!A:A, "")</f>
        <v>1</v>
      </c>
      <c r="U104" s="118">
        <f>_xlfn.XLOOKUP(C104,treem!B:B, treem!A:A, "")</f>
        <v>1</v>
      </c>
      <c r="V104" s="118">
        <f>_xlfn.XLOOKUP(C104,giaypheplaixe!B:B, giaypheplaixe!A:A, "")</f>
        <v>1</v>
      </c>
      <c r="W104" s="118">
        <f>_xlfn.XLOOKUP(C104,dangkyxe!B:B, dangkyxe!A:A, "")</f>
        <v>1</v>
      </c>
      <c r="X104" s="118"/>
    </row>
    <row r="105" spans="1:24" x14ac:dyDescent="0.3">
      <c r="A105" s="118">
        <f t="shared" si="5"/>
        <v>6</v>
      </c>
      <c r="B105" s="118" cm="1">
        <f t="array" ref="B105">_xlfn.IFS(A105&lt;=10, 12, A105&lt;=30, 9, A105&lt;=50, 8, A105&lt;=70, 7, A105&lt;=90, 6, A105&lt;=110, 5, A105&lt;=124, 2, TRUE, "Ngoài phạm vi")</f>
        <v>12</v>
      </c>
      <c r="C105" s="117" t="s">
        <v>90</v>
      </c>
      <c r="D105" s="121">
        <f t="shared" si="4"/>
        <v>36</v>
      </c>
      <c r="E105" s="121">
        <f>_xlfn.XLOOKUP(C105,cancuoc!B:B, cancuoc!A:A, "")*2</f>
        <v>6</v>
      </c>
      <c r="F105" s="121">
        <f>_xlfn.XLOOKUP(C105,dinhdanh14!B:B, dinhdanh14!A:A, "")*2</f>
        <v>2</v>
      </c>
      <c r="G105" s="121">
        <f>_xlfn.XLOOKUP(C105,dinhdanh6!B:B, dinhdanh6!A:A, "")*2</f>
        <v>2</v>
      </c>
      <c r="H105" s="121">
        <f>_xlfn.XLOOKUP(C105,dinhdanhcq!B:B, dinhdanhcq!A:A, "")*2</f>
        <v>2</v>
      </c>
      <c r="I105" s="122">
        <f>_xlfn.XLOOKUP(C105,suckhoedientu!B:B, suckhoedientu!A:A, "")*2</f>
        <v>2</v>
      </c>
      <c r="J105" s="122">
        <f>_xlfn.XLOOKUP(C105,baohiemxahoi!B:B, baohiemxahoi!A:A, "")*2</f>
        <v>2</v>
      </c>
      <c r="K105" s="121">
        <f>_xlfn.XLOOKUP(C105,ansinhxahoi!B:B, ansinhxahoi!A:A, "")*2</f>
        <v>2</v>
      </c>
      <c r="L105" s="121">
        <f>_xlfn.XLOOKUP(C105,datdai!B:B, datdai!A:A, "")*2</f>
        <v>2</v>
      </c>
      <c r="M105" s="118">
        <f>_xlfn.XLOOKUP(C105,dvccc!B:B, dvccc!A:A, "")*2</f>
        <v>2</v>
      </c>
      <c r="N105" s="118">
        <f>_xlfn.XLOOKUP(C105,dvcct!B:B, dvcct!A:A, "")*2</f>
        <v>2</v>
      </c>
      <c r="O105" s="118">
        <f>_xlfn.XLOOKUP(C105,'ct10'!B:B, 'ct10'!A:A, "")*2</f>
        <v>2</v>
      </c>
      <c r="P105" s="118">
        <f>_xlfn.XLOOKUP(C105,hosocancuoc!B:B, hosocancuoc!A:A, "")*2</f>
        <v>2</v>
      </c>
      <c r="Q105" s="118">
        <f>_xlfn.XLOOKUP(C105,hosocutru!B:B, hosocutru!A:A, "")*2</f>
        <v>2</v>
      </c>
      <c r="R105" s="118">
        <f>_xlfn.XLOOKUP(C105,bdhvs!B:B, bdhvs!A:A, "")</f>
        <v>1</v>
      </c>
      <c r="S105" s="118">
        <f>_xlfn.XLOOKUP(C105,lamsachdc01!B:B, lamsachdc01!A:A, "")</f>
        <v>1</v>
      </c>
      <c r="T105" s="118">
        <f>_xlfn.XLOOKUP(C105,huyso!B:B, huyso!A:A, "")</f>
        <v>1</v>
      </c>
      <c r="U105" s="118">
        <f>_xlfn.XLOOKUP(C105,treem!B:B, treem!A:A, "")</f>
        <v>1</v>
      </c>
      <c r="V105" s="118">
        <f>_xlfn.XLOOKUP(C105,giaypheplaixe!B:B, giaypheplaixe!A:A, "")</f>
        <v>1</v>
      </c>
      <c r="W105" s="118">
        <f>_xlfn.XLOOKUP(C105,dangkyxe!B:B, dangkyxe!A:A, "")</f>
        <v>1</v>
      </c>
      <c r="X105" s="118"/>
    </row>
    <row r="106" spans="1:24" x14ac:dyDescent="0.3">
      <c r="A106" s="118">
        <f t="shared" si="5"/>
        <v>6</v>
      </c>
      <c r="B106" s="118" cm="1">
        <f t="array" ref="B106">_xlfn.IFS(A106&lt;=10, 12, A106&lt;=30, 9, A106&lt;=50, 8, A106&lt;=70, 7, A106&lt;=90, 6, A106&lt;=110, 5, A106&lt;=124, 2, TRUE, "Ngoài phạm vi")</f>
        <v>12</v>
      </c>
      <c r="C106" s="117" t="s">
        <v>84</v>
      </c>
      <c r="D106" s="121">
        <f t="shared" si="4"/>
        <v>36</v>
      </c>
      <c r="E106" s="121">
        <f>_xlfn.XLOOKUP(C106,cancuoc!B:B, cancuoc!A:A, "")*2</f>
        <v>6</v>
      </c>
      <c r="F106" s="121">
        <f>_xlfn.XLOOKUP(C106,dinhdanh14!B:B, dinhdanh14!A:A, "")*2</f>
        <v>2</v>
      </c>
      <c r="G106" s="121">
        <f>_xlfn.XLOOKUP(C106,dinhdanh6!B:B, dinhdanh6!A:A, "")*2</f>
        <v>2</v>
      </c>
      <c r="H106" s="121">
        <f>_xlfn.XLOOKUP(C106,dinhdanhcq!B:B, dinhdanhcq!A:A, "")*2</f>
        <v>2</v>
      </c>
      <c r="I106" s="122">
        <f>_xlfn.XLOOKUP(C106,suckhoedientu!B:B, suckhoedientu!A:A, "")*2</f>
        <v>2</v>
      </c>
      <c r="J106" s="122">
        <f>_xlfn.XLOOKUP(C106,baohiemxahoi!B:B, baohiemxahoi!A:A, "")*2</f>
        <v>2</v>
      </c>
      <c r="K106" s="121">
        <f>_xlfn.XLOOKUP(C106,ansinhxahoi!B:B, ansinhxahoi!A:A, "")*2</f>
        <v>2</v>
      </c>
      <c r="L106" s="121">
        <f>_xlfn.XLOOKUP(C106,datdai!B:B, datdai!A:A, "")*2</f>
        <v>2</v>
      </c>
      <c r="M106" s="118">
        <f>_xlfn.XLOOKUP(C106,dvccc!B:B, dvccc!A:A, "")*2</f>
        <v>2</v>
      </c>
      <c r="N106" s="118">
        <f>_xlfn.XLOOKUP(C106,dvcct!B:B, dvcct!A:A, "")*2</f>
        <v>2</v>
      </c>
      <c r="O106" s="118">
        <f>_xlfn.XLOOKUP(C106,'ct10'!B:B, 'ct10'!A:A, "")*2</f>
        <v>2</v>
      </c>
      <c r="P106" s="118">
        <f>_xlfn.XLOOKUP(C106,hosocancuoc!B:B, hosocancuoc!A:A, "")*2</f>
        <v>2</v>
      </c>
      <c r="Q106" s="118">
        <f>_xlfn.XLOOKUP(C106,hosocutru!B:B, hosocutru!A:A, "")*2</f>
        <v>2</v>
      </c>
      <c r="R106" s="118">
        <f>_xlfn.XLOOKUP(C106,bdhvs!B:B, bdhvs!A:A, "")</f>
        <v>1</v>
      </c>
      <c r="S106" s="118">
        <f>_xlfn.XLOOKUP(C106,lamsachdc01!B:B, lamsachdc01!A:A, "")</f>
        <v>1</v>
      </c>
      <c r="T106" s="118">
        <f>_xlfn.XLOOKUP(C106,huyso!B:B, huyso!A:A, "")</f>
        <v>1</v>
      </c>
      <c r="U106" s="118">
        <f>_xlfn.XLOOKUP(C106,treem!B:B, treem!A:A, "")</f>
        <v>1</v>
      </c>
      <c r="V106" s="118">
        <f>_xlfn.XLOOKUP(C106,giaypheplaixe!B:B, giaypheplaixe!A:A, "")</f>
        <v>1</v>
      </c>
      <c r="W106" s="118">
        <f>_xlfn.XLOOKUP(C106,dangkyxe!B:B, dangkyxe!A:A, "")</f>
        <v>1</v>
      </c>
      <c r="X106" s="118"/>
    </row>
    <row r="107" spans="1:24" x14ac:dyDescent="0.3">
      <c r="A107" s="118">
        <f t="shared" si="5"/>
        <v>6</v>
      </c>
      <c r="B107" s="118" cm="1">
        <f t="array" ref="B107">_xlfn.IFS(A107&lt;=10, 12, A107&lt;=30, 9, A107&lt;=50, 8, A107&lt;=70, 7, A107&lt;=90, 6, A107&lt;=110, 5, A107&lt;=124, 2, TRUE, "Ngoài phạm vi")</f>
        <v>12</v>
      </c>
      <c r="C107" s="117" t="s">
        <v>101</v>
      </c>
      <c r="D107" s="121">
        <f t="shared" si="4"/>
        <v>36</v>
      </c>
      <c r="E107" s="121">
        <f>_xlfn.XLOOKUP(C107,cancuoc!B:B, cancuoc!A:A, "")*2</f>
        <v>6</v>
      </c>
      <c r="F107" s="121">
        <f>_xlfn.XLOOKUP(C107,dinhdanh14!B:B, dinhdanh14!A:A, "")*2</f>
        <v>2</v>
      </c>
      <c r="G107" s="121">
        <f>_xlfn.XLOOKUP(C107,dinhdanh6!B:B, dinhdanh6!A:A, "")*2</f>
        <v>2</v>
      </c>
      <c r="H107" s="121">
        <f>_xlfn.XLOOKUP(C107,dinhdanhcq!B:B, dinhdanhcq!A:A, "")*2</f>
        <v>2</v>
      </c>
      <c r="I107" s="122">
        <f>_xlfn.XLOOKUP(C107,suckhoedientu!B:B, suckhoedientu!A:A, "")*2</f>
        <v>2</v>
      </c>
      <c r="J107" s="122">
        <f>_xlfn.XLOOKUP(C107,baohiemxahoi!B:B, baohiemxahoi!A:A, "")*2</f>
        <v>2</v>
      </c>
      <c r="K107" s="121">
        <f>_xlfn.XLOOKUP(C107,ansinhxahoi!B:B, ansinhxahoi!A:A, "")*2</f>
        <v>2</v>
      </c>
      <c r="L107" s="121">
        <f>_xlfn.XLOOKUP(C107,datdai!B:B, datdai!A:A, "")*2</f>
        <v>2</v>
      </c>
      <c r="M107" s="118">
        <f>_xlfn.XLOOKUP(C107,dvccc!B:B, dvccc!A:A, "")*2</f>
        <v>2</v>
      </c>
      <c r="N107" s="118">
        <f>_xlfn.XLOOKUP(C107,dvcct!B:B, dvcct!A:A, "")*2</f>
        <v>2</v>
      </c>
      <c r="O107" s="118">
        <f>_xlfn.XLOOKUP(C107,'ct10'!B:B, 'ct10'!A:A, "")*2</f>
        <v>2</v>
      </c>
      <c r="P107" s="118">
        <f>_xlfn.XLOOKUP(C107,hosocancuoc!B:B, hosocancuoc!A:A, "")*2</f>
        <v>2</v>
      </c>
      <c r="Q107" s="118">
        <f>_xlfn.XLOOKUP(C107,hosocutru!B:B, hosocutru!A:A, "")*2</f>
        <v>2</v>
      </c>
      <c r="R107" s="118">
        <f>_xlfn.XLOOKUP(C107,bdhvs!B:B, bdhvs!A:A, "")</f>
        <v>1</v>
      </c>
      <c r="S107" s="118">
        <f>_xlfn.XLOOKUP(C107,lamsachdc01!B:B, lamsachdc01!A:A, "")</f>
        <v>1</v>
      </c>
      <c r="T107" s="118">
        <f>_xlfn.XLOOKUP(C107,huyso!B:B, huyso!A:A, "")</f>
        <v>1</v>
      </c>
      <c r="U107" s="118">
        <f>_xlfn.XLOOKUP(C107,treem!B:B, treem!A:A, "")</f>
        <v>1</v>
      </c>
      <c r="V107" s="118">
        <f>_xlfn.XLOOKUP(C107,giaypheplaixe!B:B, giaypheplaixe!A:A, "")</f>
        <v>1</v>
      </c>
      <c r="W107" s="118">
        <f>_xlfn.XLOOKUP(C107,dangkyxe!B:B, dangkyxe!A:A, "")</f>
        <v>1</v>
      </c>
      <c r="X107" s="118"/>
    </row>
    <row r="108" spans="1:24" x14ac:dyDescent="0.3">
      <c r="A108" s="118">
        <f t="shared" si="5"/>
        <v>6</v>
      </c>
      <c r="B108" s="118" cm="1">
        <f t="array" ref="B108">_xlfn.IFS(A108&lt;=10, 12, A108&lt;=30, 9, A108&lt;=50, 8, A108&lt;=70, 7, A108&lt;=90, 6, A108&lt;=110, 5, A108&lt;=124, 2, TRUE, "Ngoài phạm vi")</f>
        <v>12</v>
      </c>
      <c r="C108" s="117" t="s">
        <v>55</v>
      </c>
      <c r="D108" s="121">
        <f t="shared" si="4"/>
        <v>36</v>
      </c>
      <c r="E108" s="121">
        <f>_xlfn.XLOOKUP(C108,cancuoc!B:B, cancuoc!A:A, "")*2</f>
        <v>6</v>
      </c>
      <c r="F108" s="121">
        <f>_xlfn.XLOOKUP(C108,dinhdanh14!B:B, dinhdanh14!A:A, "")*2</f>
        <v>2</v>
      </c>
      <c r="G108" s="121">
        <f>_xlfn.XLOOKUP(C108,dinhdanh6!B:B, dinhdanh6!A:A, "")*2</f>
        <v>2</v>
      </c>
      <c r="H108" s="121">
        <f>_xlfn.XLOOKUP(C108,dinhdanhcq!B:B, dinhdanhcq!A:A, "")*2</f>
        <v>2</v>
      </c>
      <c r="I108" s="122">
        <f>_xlfn.XLOOKUP(C108,suckhoedientu!B:B, suckhoedientu!A:A, "")*2</f>
        <v>2</v>
      </c>
      <c r="J108" s="122">
        <f>_xlfn.XLOOKUP(C108,baohiemxahoi!B:B, baohiemxahoi!A:A, "")*2</f>
        <v>2</v>
      </c>
      <c r="K108" s="121">
        <f>_xlfn.XLOOKUP(C108,ansinhxahoi!B:B, ansinhxahoi!A:A, "")*2</f>
        <v>2</v>
      </c>
      <c r="L108" s="121">
        <f>_xlfn.XLOOKUP(C108,datdai!B:B, datdai!A:A, "")*2</f>
        <v>2</v>
      </c>
      <c r="M108" s="118">
        <f>_xlfn.XLOOKUP(C108,dvccc!B:B, dvccc!A:A, "")*2</f>
        <v>2</v>
      </c>
      <c r="N108" s="118">
        <f>_xlfn.XLOOKUP(C108,dvcct!B:B, dvcct!A:A, "")*2</f>
        <v>2</v>
      </c>
      <c r="O108" s="118">
        <f>_xlfn.XLOOKUP(C108,'ct10'!B:B, 'ct10'!A:A, "")*2</f>
        <v>2</v>
      </c>
      <c r="P108" s="118">
        <f>_xlfn.XLOOKUP(C108,hosocancuoc!B:B, hosocancuoc!A:A, "")*2</f>
        <v>2</v>
      </c>
      <c r="Q108" s="118">
        <f>_xlfn.XLOOKUP(C108,hosocutru!B:B, hosocutru!A:A, "")*2</f>
        <v>2</v>
      </c>
      <c r="R108" s="118">
        <f>_xlfn.XLOOKUP(C108,bdhvs!B:B, bdhvs!A:A, "")</f>
        <v>1</v>
      </c>
      <c r="S108" s="118">
        <f>_xlfn.XLOOKUP(C108,lamsachdc01!B:B, lamsachdc01!A:A, "")</f>
        <v>1</v>
      </c>
      <c r="T108" s="118">
        <f>_xlfn.XLOOKUP(C108,huyso!B:B, huyso!A:A, "")</f>
        <v>1</v>
      </c>
      <c r="U108" s="118">
        <f>_xlfn.XLOOKUP(C108,treem!B:B, treem!A:A, "")</f>
        <v>1</v>
      </c>
      <c r="V108" s="118">
        <f>_xlfn.XLOOKUP(C108,giaypheplaixe!B:B, giaypheplaixe!A:A, "")</f>
        <v>1</v>
      </c>
      <c r="W108" s="118">
        <f>_xlfn.XLOOKUP(C108,dangkyxe!B:B, dangkyxe!A:A, "")</f>
        <v>1</v>
      </c>
      <c r="X108" s="118"/>
    </row>
    <row r="109" spans="1:24" x14ac:dyDescent="0.3">
      <c r="A109" s="118">
        <f t="shared" si="5"/>
        <v>6</v>
      </c>
      <c r="B109" s="118" cm="1">
        <f t="array" ref="B109">_xlfn.IFS(A109&lt;=10, 12, A109&lt;=30, 9, A109&lt;=50, 8, A109&lt;=70, 7, A109&lt;=90, 6, A109&lt;=110, 5, A109&lt;=124, 2, TRUE, "Ngoài phạm vi")</f>
        <v>12</v>
      </c>
      <c r="C109" s="117" t="s">
        <v>48</v>
      </c>
      <c r="D109" s="121">
        <f t="shared" si="4"/>
        <v>36</v>
      </c>
      <c r="E109" s="121">
        <f>_xlfn.XLOOKUP(C109,cancuoc!B:B, cancuoc!A:A, "")*2</f>
        <v>6</v>
      </c>
      <c r="F109" s="121">
        <f>_xlfn.XLOOKUP(C109,dinhdanh14!B:B, dinhdanh14!A:A, "")*2</f>
        <v>2</v>
      </c>
      <c r="G109" s="121">
        <f>_xlfn.XLOOKUP(C109,dinhdanh6!B:B, dinhdanh6!A:A, "")*2</f>
        <v>2</v>
      </c>
      <c r="H109" s="121">
        <f>_xlfn.XLOOKUP(C109,dinhdanhcq!B:B, dinhdanhcq!A:A, "")*2</f>
        <v>2</v>
      </c>
      <c r="I109" s="122">
        <f>_xlfn.XLOOKUP(C109,suckhoedientu!B:B, suckhoedientu!A:A, "")*2</f>
        <v>2</v>
      </c>
      <c r="J109" s="122">
        <f>_xlfn.XLOOKUP(C109,baohiemxahoi!B:B, baohiemxahoi!A:A, "")*2</f>
        <v>2</v>
      </c>
      <c r="K109" s="121">
        <f>_xlfn.XLOOKUP(C109,ansinhxahoi!B:B, ansinhxahoi!A:A, "")*2</f>
        <v>2</v>
      </c>
      <c r="L109" s="121">
        <f>_xlfn.XLOOKUP(C109,datdai!B:B, datdai!A:A, "")*2</f>
        <v>2</v>
      </c>
      <c r="M109" s="118">
        <f>_xlfn.XLOOKUP(C109,dvccc!B:B, dvccc!A:A, "")*2</f>
        <v>2</v>
      </c>
      <c r="N109" s="118">
        <f>_xlfn.XLOOKUP(C109,dvcct!B:B, dvcct!A:A, "")*2</f>
        <v>2</v>
      </c>
      <c r="O109" s="118">
        <f>_xlfn.XLOOKUP(C109,'ct10'!B:B, 'ct10'!A:A, "")*2</f>
        <v>2</v>
      </c>
      <c r="P109" s="118">
        <f>_xlfn.XLOOKUP(C109,hosocancuoc!B:B, hosocancuoc!A:A, "")*2</f>
        <v>2</v>
      </c>
      <c r="Q109" s="118">
        <f>_xlfn.XLOOKUP(C109,hosocutru!B:B, hosocutru!A:A, "")*2</f>
        <v>2</v>
      </c>
      <c r="R109" s="118">
        <f>_xlfn.XLOOKUP(C109,bdhvs!B:B, bdhvs!A:A, "")</f>
        <v>1</v>
      </c>
      <c r="S109" s="118">
        <f>_xlfn.XLOOKUP(C109,lamsachdc01!B:B, lamsachdc01!A:A, "")</f>
        <v>1</v>
      </c>
      <c r="T109" s="118">
        <f>_xlfn.XLOOKUP(C109,huyso!B:B, huyso!A:A, "")</f>
        <v>1</v>
      </c>
      <c r="U109" s="118">
        <f>_xlfn.XLOOKUP(C109,treem!B:B, treem!A:A, "")</f>
        <v>1</v>
      </c>
      <c r="V109" s="118">
        <f>_xlfn.XLOOKUP(C109,giaypheplaixe!B:B, giaypheplaixe!A:A, "")</f>
        <v>1</v>
      </c>
      <c r="W109" s="118">
        <f>_xlfn.XLOOKUP(C109,dangkyxe!B:B, dangkyxe!A:A, "")</f>
        <v>1</v>
      </c>
      <c r="X109" s="118"/>
    </row>
    <row r="110" spans="1:24" x14ac:dyDescent="0.3">
      <c r="A110" s="118">
        <f t="shared" si="5"/>
        <v>6</v>
      </c>
      <c r="B110" s="118" cm="1">
        <f t="array" ref="B110">_xlfn.IFS(A110&lt;=10, 12, A110&lt;=30, 9, A110&lt;=50, 8, A110&lt;=70, 7, A110&lt;=90, 6, A110&lt;=110, 5, A110&lt;=124, 2, TRUE, "Ngoài phạm vi")</f>
        <v>12</v>
      </c>
      <c r="C110" s="117" t="s">
        <v>12</v>
      </c>
      <c r="D110" s="121">
        <f t="shared" si="4"/>
        <v>36</v>
      </c>
      <c r="E110" s="121">
        <f>_xlfn.XLOOKUP(C110,cancuoc!B:B, cancuoc!A:A, "")*2</f>
        <v>6</v>
      </c>
      <c r="F110" s="121">
        <f>_xlfn.XLOOKUP(C110,dinhdanh14!B:B, dinhdanh14!A:A, "")*2</f>
        <v>2</v>
      </c>
      <c r="G110" s="121">
        <f>_xlfn.XLOOKUP(C110,dinhdanh6!B:B, dinhdanh6!A:A, "")*2</f>
        <v>2</v>
      </c>
      <c r="H110" s="121">
        <f>_xlfn.XLOOKUP(C110,dinhdanhcq!B:B, dinhdanhcq!A:A, "")*2</f>
        <v>2</v>
      </c>
      <c r="I110" s="122">
        <f>_xlfn.XLOOKUP(C110,suckhoedientu!B:B, suckhoedientu!A:A, "")*2</f>
        <v>2</v>
      </c>
      <c r="J110" s="122">
        <f>_xlfn.XLOOKUP(C110,baohiemxahoi!B:B, baohiemxahoi!A:A, "")*2</f>
        <v>2</v>
      </c>
      <c r="K110" s="121">
        <f>_xlfn.XLOOKUP(C110,ansinhxahoi!B:B, ansinhxahoi!A:A, "")*2</f>
        <v>2</v>
      </c>
      <c r="L110" s="121">
        <f>_xlfn.XLOOKUP(C110,datdai!B:B, datdai!A:A, "")*2</f>
        <v>2</v>
      </c>
      <c r="M110" s="118">
        <f>_xlfn.XLOOKUP(C110,dvccc!B:B, dvccc!A:A, "")*2</f>
        <v>2</v>
      </c>
      <c r="N110" s="118">
        <f>_xlfn.XLOOKUP(C110,dvcct!B:B, dvcct!A:A, "")*2</f>
        <v>2</v>
      </c>
      <c r="O110" s="118">
        <f>_xlfn.XLOOKUP(C110,'ct10'!B:B, 'ct10'!A:A, "")*2</f>
        <v>2</v>
      </c>
      <c r="P110" s="118">
        <f>_xlfn.XLOOKUP(C110,hosocancuoc!B:B, hosocancuoc!A:A, "")*2</f>
        <v>2</v>
      </c>
      <c r="Q110" s="118">
        <f>_xlfn.XLOOKUP(C110,hosocutru!B:B, hosocutru!A:A, "")*2</f>
        <v>2</v>
      </c>
      <c r="R110" s="118">
        <f>_xlfn.XLOOKUP(C110,bdhvs!B:B, bdhvs!A:A, "")</f>
        <v>1</v>
      </c>
      <c r="S110" s="118">
        <f>_xlfn.XLOOKUP(C110,lamsachdc01!B:B, lamsachdc01!A:A, "")</f>
        <v>1</v>
      </c>
      <c r="T110" s="118">
        <f>_xlfn.XLOOKUP(C110,huyso!B:B, huyso!A:A, "")</f>
        <v>1</v>
      </c>
      <c r="U110" s="118">
        <f>_xlfn.XLOOKUP(C110,treem!B:B, treem!A:A, "")</f>
        <v>1</v>
      </c>
      <c r="V110" s="118">
        <f>_xlfn.XLOOKUP(C110,giaypheplaixe!B:B, giaypheplaixe!A:A, "")</f>
        <v>1</v>
      </c>
      <c r="W110" s="118">
        <f>_xlfn.XLOOKUP(C110,dangkyxe!B:B, dangkyxe!A:A, "")</f>
        <v>1</v>
      </c>
      <c r="X110" s="118"/>
    </row>
    <row r="111" spans="1:24" x14ac:dyDescent="0.3">
      <c r="A111" s="118">
        <f t="shared" si="5"/>
        <v>6</v>
      </c>
      <c r="B111" s="118" cm="1">
        <f t="array" ref="B111">_xlfn.IFS(A111&lt;=10, 12, A111&lt;=30, 9, A111&lt;=50, 8, A111&lt;=70, 7, A111&lt;=90, 6, A111&lt;=110, 5, A111&lt;=124, 2, TRUE, "Ngoài phạm vi")</f>
        <v>12</v>
      </c>
      <c r="C111" s="117" t="s">
        <v>34</v>
      </c>
      <c r="D111" s="121">
        <f t="shared" si="4"/>
        <v>36</v>
      </c>
      <c r="E111" s="121">
        <f>_xlfn.XLOOKUP(C111,cancuoc!B:B, cancuoc!A:A, "")*2</f>
        <v>6</v>
      </c>
      <c r="F111" s="121">
        <f>_xlfn.XLOOKUP(C111,dinhdanh14!B:B, dinhdanh14!A:A, "")*2</f>
        <v>2</v>
      </c>
      <c r="G111" s="121">
        <f>_xlfn.XLOOKUP(C111,dinhdanh6!B:B, dinhdanh6!A:A, "")*2</f>
        <v>2</v>
      </c>
      <c r="H111" s="121">
        <f>_xlfn.XLOOKUP(C111,dinhdanhcq!B:B, dinhdanhcq!A:A, "")*2</f>
        <v>2</v>
      </c>
      <c r="I111" s="122">
        <f>_xlfn.XLOOKUP(C111,suckhoedientu!B:B, suckhoedientu!A:A, "")*2</f>
        <v>2</v>
      </c>
      <c r="J111" s="122">
        <f>_xlfn.XLOOKUP(C111,baohiemxahoi!B:B, baohiemxahoi!A:A, "")*2</f>
        <v>2</v>
      </c>
      <c r="K111" s="121">
        <f>_xlfn.XLOOKUP(C111,ansinhxahoi!B:B, ansinhxahoi!A:A, "")*2</f>
        <v>2</v>
      </c>
      <c r="L111" s="121">
        <f>_xlfn.XLOOKUP(C111,datdai!B:B, datdai!A:A, "")*2</f>
        <v>2</v>
      </c>
      <c r="M111" s="118">
        <f>_xlfn.XLOOKUP(C111,dvccc!B:B, dvccc!A:A, "")*2</f>
        <v>2</v>
      </c>
      <c r="N111" s="118">
        <f>_xlfn.XLOOKUP(C111,dvcct!B:B, dvcct!A:A, "")*2</f>
        <v>2</v>
      </c>
      <c r="O111" s="118">
        <f>_xlfn.XLOOKUP(C111,'ct10'!B:B, 'ct10'!A:A, "")*2</f>
        <v>2</v>
      </c>
      <c r="P111" s="118">
        <f>_xlfn.XLOOKUP(C111,hosocancuoc!B:B, hosocancuoc!A:A, "")*2</f>
        <v>2</v>
      </c>
      <c r="Q111" s="118">
        <f>_xlfn.XLOOKUP(C111,hosocutru!B:B, hosocutru!A:A, "")*2</f>
        <v>2</v>
      </c>
      <c r="R111" s="118">
        <f>_xlfn.XLOOKUP(C111,bdhvs!B:B, bdhvs!A:A, "")</f>
        <v>1</v>
      </c>
      <c r="S111" s="118">
        <f>_xlfn.XLOOKUP(C111,lamsachdc01!B:B, lamsachdc01!A:A, "")</f>
        <v>1</v>
      </c>
      <c r="T111" s="118">
        <f>_xlfn.XLOOKUP(C111,huyso!B:B, huyso!A:A, "")</f>
        <v>1</v>
      </c>
      <c r="U111" s="118">
        <f>_xlfn.XLOOKUP(C111,treem!B:B, treem!A:A, "")</f>
        <v>1</v>
      </c>
      <c r="V111" s="118">
        <f>_xlfn.XLOOKUP(C111,giaypheplaixe!B:B, giaypheplaixe!A:A, "")</f>
        <v>1</v>
      </c>
      <c r="W111" s="118">
        <f>_xlfn.XLOOKUP(C111,dangkyxe!B:B, dangkyxe!A:A, "")</f>
        <v>1</v>
      </c>
      <c r="X111" s="118"/>
    </row>
    <row r="112" spans="1:24" x14ac:dyDescent="0.3">
      <c r="A112" s="118">
        <f t="shared" si="5"/>
        <v>6</v>
      </c>
      <c r="B112" s="118" cm="1">
        <f t="array" ref="B112">_xlfn.IFS(A112&lt;=10, 12, A112&lt;=30, 9, A112&lt;=50, 8, A112&lt;=70, 7, A112&lt;=90, 6, A112&lt;=110, 5, A112&lt;=124, 2, TRUE, "Ngoài phạm vi")</f>
        <v>12</v>
      </c>
      <c r="C112" s="117" t="s">
        <v>120</v>
      </c>
      <c r="D112" s="121">
        <f t="shared" si="4"/>
        <v>36</v>
      </c>
      <c r="E112" s="121">
        <f>_xlfn.XLOOKUP(C112,cancuoc!B:B, cancuoc!A:A, "")*2</f>
        <v>6</v>
      </c>
      <c r="F112" s="121">
        <f>_xlfn.XLOOKUP(C112,dinhdanh14!B:B, dinhdanh14!A:A, "")*2</f>
        <v>2</v>
      </c>
      <c r="G112" s="121">
        <f>_xlfn.XLOOKUP(C112,dinhdanh6!B:B, dinhdanh6!A:A, "")*2</f>
        <v>2</v>
      </c>
      <c r="H112" s="121">
        <f>_xlfn.XLOOKUP(C112,dinhdanhcq!B:B, dinhdanhcq!A:A, "")*2</f>
        <v>2</v>
      </c>
      <c r="I112" s="122">
        <f>_xlfn.XLOOKUP(C112,suckhoedientu!B:B, suckhoedientu!A:A, "")*2</f>
        <v>2</v>
      </c>
      <c r="J112" s="122">
        <f>_xlfn.XLOOKUP(C112,baohiemxahoi!B:B, baohiemxahoi!A:A, "")*2</f>
        <v>2</v>
      </c>
      <c r="K112" s="121">
        <f>_xlfn.XLOOKUP(C112,ansinhxahoi!B:B, ansinhxahoi!A:A, "")*2</f>
        <v>2</v>
      </c>
      <c r="L112" s="121">
        <f>_xlfn.XLOOKUP(C112,datdai!B:B, datdai!A:A, "")*2</f>
        <v>2</v>
      </c>
      <c r="M112" s="118">
        <f>_xlfn.XLOOKUP(C112,dvccc!B:B, dvccc!A:A, "")*2</f>
        <v>2</v>
      </c>
      <c r="N112" s="118">
        <f>_xlfn.XLOOKUP(C112,dvcct!B:B, dvcct!A:A, "")*2</f>
        <v>2</v>
      </c>
      <c r="O112" s="118">
        <f>_xlfn.XLOOKUP(C112,'ct10'!B:B, 'ct10'!A:A, "")*2</f>
        <v>2</v>
      </c>
      <c r="P112" s="118">
        <f>_xlfn.XLOOKUP(C112,hosocancuoc!B:B, hosocancuoc!A:A, "")*2</f>
        <v>2</v>
      </c>
      <c r="Q112" s="118">
        <f>_xlfn.XLOOKUP(C112,hosocutru!B:B, hosocutru!A:A, "")*2</f>
        <v>2</v>
      </c>
      <c r="R112" s="118">
        <f>_xlfn.XLOOKUP(C112,bdhvs!B:B, bdhvs!A:A, "")</f>
        <v>1</v>
      </c>
      <c r="S112" s="118">
        <f>_xlfn.XLOOKUP(C112,lamsachdc01!B:B, lamsachdc01!A:A, "")</f>
        <v>1</v>
      </c>
      <c r="T112" s="118">
        <f>_xlfn.XLOOKUP(C112,huyso!B:B, huyso!A:A, "")</f>
        <v>1</v>
      </c>
      <c r="U112" s="118">
        <f>_xlfn.XLOOKUP(C112,treem!B:B, treem!A:A, "")</f>
        <v>1</v>
      </c>
      <c r="V112" s="118">
        <f>_xlfn.XLOOKUP(C112,giaypheplaixe!B:B, giaypheplaixe!A:A, "")</f>
        <v>1</v>
      </c>
      <c r="W112" s="118">
        <f>_xlfn.XLOOKUP(C112,dangkyxe!B:B, dangkyxe!A:A, "")</f>
        <v>1</v>
      </c>
      <c r="X112" s="118"/>
    </row>
    <row r="113" spans="1:24" x14ac:dyDescent="0.3">
      <c r="A113" s="118">
        <f t="shared" si="5"/>
        <v>6</v>
      </c>
      <c r="B113" s="118" cm="1">
        <f t="array" ref="B113">_xlfn.IFS(A113&lt;=10, 12, A113&lt;=30, 9, A113&lt;=50, 8, A113&lt;=70, 7, A113&lt;=90, 6, A113&lt;=110, 5, A113&lt;=124, 2, TRUE, "Ngoài phạm vi")</f>
        <v>12</v>
      </c>
      <c r="C113" s="123" t="s">
        <v>61</v>
      </c>
      <c r="D113" s="121">
        <f t="shared" si="4"/>
        <v>36</v>
      </c>
      <c r="E113" s="121">
        <f>_xlfn.XLOOKUP(C113,cancuoc!B:B, cancuoc!A:A, "")*2</f>
        <v>6</v>
      </c>
      <c r="F113" s="121">
        <f>_xlfn.XLOOKUP(C113,dinhdanh14!B:B, dinhdanh14!A:A, "")*2</f>
        <v>2</v>
      </c>
      <c r="G113" s="121">
        <f>_xlfn.XLOOKUP(C113,dinhdanh6!B:B, dinhdanh6!A:A, "")*2</f>
        <v>2</v>
      </c>
      <c r="H113" s="121">
        <f>_xlfn.XLOOKUP(C113,dinhdanhcq!B:B, dinhdanhcq!A:A, "")*2</f>
        <v>2</v>
      </c>
      <c r="I113" s="122">
        <f>_xlfn.XLOOKUP(C113,suckhoedientu!B:B, suckhoedientu!A:A, "")*2</f>
        <v>2</v>
      </c>
      <c r="J113" s="122">
        <f>_xlfn.XLOOKUP(C113,baohiemxahoi!B:B, baohiemxahoi!A:A, "")*2</f>
        <v>2</v>
      </c>
      <c r="K113" s="121">
        <f>_xlfn.XLOOKUP(C113,ansinhxahoi!B:B, ansinhxahoi!A:A, "")*2</f>
        <v>2</v>
      </c>
      <c r="L113" s="121">
        <f>_xlfn.XLOOKUP(C113,datdai!B:B, datdai!A:A, "")*2</f>
        <v>2</v>
      </c>
      <c r="M113" s="118">
        <f>_xlfn.XLOOKUP(C113,dvccc!B:B, dvccc!A:A, "")*2</f>
        <v>2</v>
      </c>
      <c r="N113" s="118">
        <f>_xlfn.XLOOKUP(C113,dvcct!B:B, dvcct!A:A, "")*2</f>
        <v>2</v>
      </c>
      <c r="O113" s="118">
        <f>_xlfn.XLOOKUP(C113,'ct10'!B:B, 'ct10'!A:A, "")*2</f>
        <v>2</v>
      </c>
      <c r="P113" s="118">
        <f>_xlfn.XLOOKUP(C113,hosocancuoc!B:B, hosocancuoc!A:A, "")*2</f>
        <v>2</v>
      </c>
      <c r="Q113" s="118">
        <f>_xlfn.XLOOKUP(C113,hosocutru!B:B, hosocutru!A:A, "")*2</f>
        <v>2</v>
      </c>
      <c r="R113" s="118">
        <f>_xlfn.XLOOKUP(C113,bdhvs!B:B, bdhvs!A:A, "")</f>
        <v>1</v>
      </c>
      <c r="S113" s="118">
        <f>_xlfn.XLOOKUP(C113,lamsachdc01!B:B, lamsachdc01!A:A, "")</f>
        <v>1</v>
      </c>
      <c r="T113" s="118">
        <f>_xlfn.XLOOKUP(C113,huyso!B:B, huyso!A:A, "")</f>
        <v>1</v>
      </c>
      <c r="U113" s="118">
        <f>_xlfn.XLOOKUP(C113,treem!B:B, treem!A:A, "")</f>
        <v>1</v>
      </c>
      <c r="V113" s="118">
        <f>_xlfn.XLOOKUP(C113,giaypheplaixe!B:B, giaypheplaixe!A:A, "")</f>
        <v>1</v>
      </c>
      <c r="W113" s="118">
        <f>_xlfn.XLOOKUP(C113,dangkyxe!B:B, dangkyxe!A:A, "")</f>
        <v>1</v>
      </c>
      <c r="X113" s="118"/>
    </row>
    <row r="114" spans="1:24" x14ac:dyDescent="0.3">
      <c r="A114" s="118">
        <f t="shared" si="5"/>
        <v>6</v>
      </c>
      <c r="B114" s="118" cm="1">
        <f t="array" ref="B114">_xlfn.IFS(A114&lt;=10, 12, A114&lt;=30, 9, A114&lt;=50, 8, A114&lt;=70, 7, A114&lt;=90, 6, A114&lt;=110, 5, A114&lt;=124, 2, TRUE, "Ngoài phạm vi")</f>
        <v>12</v>
      </c>
      <c r="C114" s="117" t="s">
        <v>20</v>
      </c>
      <c r="D114" s="121">
        <f t="shared" si="4"/>
        <v>36</v>
      </c>
      <c r="E114" s="121">
        <f>_xlfn.XLOOKUP(C114,cancuoc!B:B, cancuoc!A:A, "")*2</f>
        <v>6</v>
      </c>
      <c r="F114" s="121">
        <f>_xlfn.XLOOKUP(C114,dinhdanh14!B:B, dinhdanh14!A:A, "")*2</f>
        <v>2</v>
      </c>
      <c r="G114" s="121">
        <f>_xlfn.XLOOKUP(C114,dinhdanh6!B:B, dinhdanh6!A:A, "")*2</f>
        <v>2</v>
      </c>
      <c r="H114" s="121">
        <f>_xlfn.XLOOKUP(C114,dinhdanhcq!B:B, dinhdanhcq!A:A, "")*2</f>
        <v>2</v>
      </c>
      <c r="I114" s="122">
        <f>_xlfn.XLOOKUP(C114,suckhoedientu!B:B, suckhoedientu!A:A, "")*2</f>
        <v>2</v>
      </c>
      <c r="J114" s="122">
        <f>_xlfn.XLOOKUP(C114,baohiemxahoi!B:B, baohiemxahoi!A:A, "")*2</f>
        <v>2</v>
      </c>
      <c r="K114" s="121">
        <f>_xlfn.XLOOKUP(C114,ansinhxahoi!B:B, ansinhxahoi!A:A, "")*2</f>
        <v>2</v>
      </c>
      <c r="L114" s="121">
        <f>_xlfn.XLOOKUP(C114,datdai!B:B, datdai!A:A, "")*2</f>
        <v>2</v>
      </c>
      <c r="M114" s="118">
        <f>_xlfn.XLOOKUP(C114,dvccc!B:B, dvccc!A:A, "")*2</f>
        <v>2</v>
      </c>
      <c r="N114" s="118">
        <f>_xlfn.XLOOKUP(C114,dvcct!B:B, dvcct!A:A, "")*2</f>
        <v>2</v>
      </c>
      <c r="O114" s="118">
        <f>_xlfn.XLOOKUP(C114,'ct10'!B:B, 'ct10'!A:A, "")*2</f>
        <v>2</v>
      </c>
      <c r="P114" s="118">
        <f>_xlfn.XLOOKUP(C114,hosocancuoc!B:B, hosocancuoc!A:A, "")*2</f>
        <v>2</v>
      </c>
      <c r="Q114" s="118">
        <f>_xlfn.XLOOKUP(C114,hosocutru!B:B, hosocutru!A:A, "")*2</f>
        <v>2</v>
      </c>
      <c r="R114" s="118">
        <f>_xlfn.XLOOKUP(C114,bdhvs!B:B, bdhvs!A:A, "")</f>
        <v>1</v>
      </c>
      <c r="S114" s="118">
        <f>_xlfn.XLOOKUP(C114,lamsachdc01!B:B, lamsachdc01!A:A, "")</f>
        <v>1</v>
      </c>
      <c r="T114" s="118">
        <f>_xlfn.XLOOKUP(C114,huyso!B:B, huyso!A:A, "")</f>
        <v>1</v>
      </c>
      <c r="U114" s="118">
        <f>_xlfn.XLOOKUP(C114,treem!B:B, treem!A:A, "")</f>
        <v>1</v>
      </c>
      <c r="V114" s="118">
        <f>_xlfn.XLOOKUP(C114,giaypheplaixe!B:B, giaypheplaixe!A:A, "")</f>
        <v>1</v>
      </c>
      <c r="W114" s="118">
        <f>_xlfn.XLOOKUP(C114,dangkyxe!B:B, dangkyxe!A:A, "")</f>
        <v>1</v>
      </c>
      <c r="X114" s="118"/>
    </row>
    <row r="115" spans="1:24" x14ac:dyDescent="0.3">
      <c r="A115" s="118">
        <f t="shared" si="5"/>
        <v>6</v>
      </c>
      <c r="B115" s="118" cm="1">
        <f t="array" ref="B115">_xlfn.IFS(A115&lt;=10, 12, A115&lt;=30, 9, A115&lt;=50, 8, A115&lt;=70, 7, A115&lt;=90, 6, A115&lt;=110, 5, A115&lt;=124, 2, TRUE, "Ngoài phạm vi")</f>
        <v>12</v>
      </c>
      <c r="C115" s="117" t="s">
        <v>113</v>
      </c>
      <c r="D115" s="121">
        <f t="shared" si="4"/>
        <v>36</v>
      </c>
      <c r="E115" s="121">
        <f>_xlfn.XLOOKUP(C115,cancuoc!B:B, cancuoc!A:A, "")*2</f>
        <v>6</v>
      </c>
      <c r="F115" s="121">
        <f>_xlfn.XLOOKUP(C115,dinhdanh14!B:B, dinhdanh14!A:A, "")*2</f>
        <v>2</v>
      </c>
      <c r="G115" s="121">
        <f>_xlfn.XLOOKUP(C115,dinhdanh6!B:B, dinhdanh6!A:A, "")*2</f>
        <v>2</v>
      </c>
      <c r="H115" s="121">
        <f>_xlfn.XLOOKUP(C115,dinhdanhcq!B:B, dinhdanhcq!A:A, "")*2</f>
        <v>2</v>
      </c>
      <c r="I115" s="122">
        <f>_xlfn.XLOOKUP(C115,suckhoedientu!B:B, suckhoedientu!A:A, "")*2</f>
        <v>2</v>
      </c>
      <c r="J115" s="122">
        <f>_xlfn.XLOOKUP(C115,baohiemxahoi!B:B, baohiemxahoi!A:A, "")*2</f>
        <v>2</v>
      </c>
      <c r="K115" s="121">
        <f>_xlfn.XLOOKUP(C115,ansinhxahoi!B:B, ansinhxahoi!A:A, "")*2</f>
        <v>2</v>
      </c>
      <c r="L115" s="121">
        <f>_xlfn.XLOOKUP(C115,datdai!B:B, datdai!A:A, "")*2</f>
        <v>2</v>
      </c>
      <c r="M115" s="118">
        <f>_xlfn.XLOOKUP(C115,dvccc!B:B, dvccc!A:A, "")*2</f>
        <v>2</v>
      </c>
      <c r="N115" s="118">
        <f>_xlfn.XLOOKUP(C115,dvcct!B:B, dvcct!A:A, "")*2</f>
        <v>2</v>
      </c>
      <c r="O115" s="118">
        <f>_xlfn.XLOOKUP(C115,'ct10'!B:B, 'ct10'!A:A, "")*2</f>
        <v>2</v>
      </c>
      <c r="P115" s="118">
        <f>_xlfn.XLOOKUP(C115,hosocancuoc!B:B, hosocancuoc!A:A, "")*2</f>
        <v>2</v>
      </c>
      <c r="Q115" s="118">
        <f>_xlfn.XLOOKUP(C115,hosocutru!B:B, hosocutru!A:A, "")*2</f>
        <v>2</v>
      </c>
      <c r="R115" s="118">
        <f>_xlfn.XLOOKUP(C115,bdhvs!B:B, bdhvs!A:A, "")</f>
        <v>1</v>
      </c>
      <c r="S115" s="118">
        <f>_xlfn.XLOOKUP(C115,lamsachdc01!B:B, lamsachdc01!A:A, "")</f>
        <v>1</v>
      </c>
      <c r="T115" s="118">
        <f>_xlfn.XLOOKUP(C115,huyso!B:B, huyso!A:A, "")</f>
        <v>1</v>
      </c>
      <c r="U115" s="118">
        <f>_xlfn.XLOOKUP(C115,treem!B:B, treem!A:A, "")</f>
        <v>1</v>
      </c>
      <c r="V115" s="118">
        <f>_xlfn.XLOOKUP(C115,giaypheplaixe!B:B, giaypheplaixe!A:A, "")</f>
        <v>1</v>
      </c>
      <c r="W115" s="118">
        <f>_xlfn.XLOOKUP(C115,dangkyxe!B:B, dangkyxe!A:A, "")</f>
        <v>1</v>
      </c>
      <c r="X115" s="118"/>
    </row>
    <row r="116" spans="1:24" x14ac:dyDescent="0.3">
      <c r="A116" s="118">
        <f t="shared" si="5"/>
        <v>6</v>
      </c>
      <c r="B116" s="118" cm="1">
        <f t="array" ref="B116">_xlfn.IFS(A116&lt;=10, 12, A116&lt;=30, 9, A116&lt;=50, 8, A116&lt;=70, 7, A116&lt;=90, 6, A116&lt;=110, 5, A116&lt;=124, 2, TRUE, "Ngoài phạm vi")</f>
        <v>12</v>
      </c>
      <c r="C116" s="117" t="s">
        <v>13</v>
      </c>
      <c r="D116" s="121">
        <f t="shared" si="4"/>
        <v>36</v>
      </c>
      <c r="E116" s="121">
        <f>_xlfn.XLOOKUP(C116,cancuoc!B:B, cancuoc!A:A, "")*2</f>
        <v>6</v>
      </c>
      <c r="F116" s="121">
        <f>_xlfn.XLOOKUP(C116,dinhdanh14!B:B, dinhdanh14!A:A, "")*2</f>
        <v>2</v>
      </c>
      <c r="G116" s="121">
        <f>_xlfn.XLOOKUP(C116,dinhdanh6!B:B, dinhdanh6!A:A, "")*2</f>
        <v>2</v>
      </c>
      <c r="H116" s="121">
        <f>_xlfn.XLOOKUP(C116,dinhdanhcq!B:B, dinhdanhcq!A:A, "")*2</f>
        <v>2</v>
      </c>
      <c r="I116" s="122">
        <f>_xlfn.XLOOKUP(C116,suckhoedientu!B:B, suckhoedientu!A:A, "")*2</f>
        <v>2</v>
      </c>
      <c r="J116" s="122">
        <f>_xlfn.XLOOKUP(C116,baohiemxahoi!B:B, baohiemxahoi!A:A, "")*2</f>
        <v>2</v>
      </c>
      <c r="K116" s="121">
        <f>_xlfn.XLOOKUP(C116,ansinhxahoi!B:B, ansinhxahoi!A:A, "")*2</f>
        <v>2</v>
      </c>
      <c r="L116" s="121">
        <f>_xlfn.XLOOKUP(C116,datdai!B:B, datdai!A:A, "")*2</f>
        <v>2</v>
      </c>
      <c r="M116" s="118">
        <f>_xlfn.XLOOKUP(C116,dvccc!B:B, dvccc!A:A, "")*2</f>
        <v>2</v>
      </c>
      <c r="N116" s="118">
        <f>_xlfn.XLOOKUP(C116,dvcct!B:B, dvcct!A:A, "")*2</f>
        <v>2</v>
      </c>
      <c r="O116" s="118">
        <f>_xlfn.XLOOKUP(C116,'ct10'!B:B, 'ct10'!A:A, "")*2</f>
        <v>2</v>
      </c>
      <c r="P116" s="118">
        <f>_xlfn.XLOOKUP(C116,hosocancuoc!B:B, hosocancuoc!A:A, "")*2</f>
        <v>2</v>
      </c>
      <c r="Q116" s="118">
        <f>_xlfn.XLOOKUP(C116,hosocutru!B:B, hosocutru!A:A, "")*2</f>
        <v>2</v>
      </c>
      <c r="R116" s="118">
        <f>_xlfn.XLOOKUP(C116,bdhvs!B:B, bdhvs!A:A, "")</f>
        <v>1</v>
      </c>
      <c r="S116" s="118">
        <f>_xlfn.XLOOKUP(C116,lamsachdc01!B:B, lamsachdc01!A:A, "")</f>
        <v>1</v>
      </c>
      <c r="T116" s="118">
        <f>_xlfn.XLOOKUP(C116,huyso!B:B, huyso!A:A, "")</f>
        <v>1</v>
      </c>
      <c r="U116" s="118">
        <f>_xlfn.XLOOKUP(C116,treem!B:B, treem!A:A, "")</f>
        <v>1</v>
      </c>
      <c r="V116" s="118">
        <f>_xlfn.XLOOKUP(C116,giaypheplaixe!B:B, giaypheplaixe!A:A, "")</f>
        <v>1</v>
      </c>
      <c r="W116" s="118">
        <f>_xlfn.XLOOKUP(C116,dangkyxe!B:B, dangkyxe!A:A, "")</f>
        <v>1</v>
      </c>
      <c r="X116" s="118"/>
    </row>
    <row r="117" spans="1:24" x14ac:dyDescent="0.3">
      <c r="A117" s="118">
        <f t="shared" si="5"/>
        <v>6</v>
      </c>
      <c r="B117" s="118" cm="1">
        <f t="array" ref="B117">_xlfn.IFS(A117&lt;=10, 12, A117&lt;=30, 9, A117&lt;=50, 8, A117&lt;=70, 7, A117&lt;=90, 6, A117&lt;=110, 5, A117&lt;=124, 2, TRUE, "Ngoài phạm vi")</f>
        <v>12</v>
      </c>
      <c r="C117" s="117" t="s">
        <v>18</v>
      </c>
      <c r="D117" s="121">
        <f t="shared" si="4"/>
        <v>36</v>
      </c>
      <c r="E117" s="121">
        <f>_xlfn.XLOOKUP(C117,cancuoc!B:B, cancuoc!A:A, "")*2</f>
        <v>6</v>
      </c>
      <c r="F117" s="121">
        <f>_xlfn.XLOOKUP(C117,dinhdanh14!B:B, dinhdanh14!A:A, "")*2</f>
        <v>2</v>
      </c>
      <c r="G117" s="121">
        <f>_xlfn.XLOOKUP(C117,dinhdanh6!B:B, dinhdanh6!A:A, "")*2</f>
        <v>2</v>
      </c>
      <c r="H117" s="121">
        <f>_xlfn.XLOOKUP(C117,dinhdanhcq!B:B, dinhdanhcq!A:A, "")*2</f>
        <v>2</v>
      </c>
      <c r="I117" s="122">
        <f>_xlfn.XLOOKUP(C117,suckhoedientu!B:B, suckhoedientu!A:A, "")*2</f>
        <v>2</v>
      </c>
      <c r="J117" s="122">
        <f>_xlfn.XLOOKUP(C117,baohiemxahoi!B:B, baohiemxahoi!A:A, "")*2</f>
        <v>2</v>
      </c>
      <c r="K117" s="121">
        <f>_xlfn.XLOOKUP(C117,ansinhxahoi!B:B, ansinhxahoi!A:A, "")*2</f>
        <v>2</v>
      </c>
      <c r="L117" s="121">
        <f>_xlfn.XLOOKUP(C117,datdai!B:B, datdai!A:A, "")*2</f>
        <v>2</v>
      </c>
      <c r="M117" s="118">
        <f>_xlfn.XLOOKUP(C117,dvccc!B:B, dvccc!A:A, "")*2</f>
        <v>2</v>
      </c>
      <c r="N117" s="118">
        <f>_xlfn.XLOOKUP(C117,dvcct!B:B, dvcct!A:A, "")*2</f>
        <v>2</v>
      </c>
      <c r="O117" s="118">
        <f>_xlfn.XLOOKUP(C117,'ct10'!B:B, 'ct10'!A:A, "")*2</f>
        <v>2</v>
      </c>
      <c r="P117" s="118">
        <f>_xlfn.XLOOKUP(C117,hosocancuoc!B:B, hosocancuoc!A:A, "")*2</f>
        <v>2</v>
      </c>
      <c r="Q117" s="118">
        <f>_xlfn.XLOOKUP(C117,hosocutru!B:B, hosocutru!A:A, "")*2</f>
        <v>2</v>
      </c>
      <c r="R117" s="118">
        <f>_xlfn.XLOOKUP(C117,bdhvs!B:B, bdhvs!A:A, "")</f>
        <v>1</v>
      </c>
      <c r="S117" s="118">
        <f>_xlfn.XLOOKUP(C117,lamsachdc01!B:B, lamsachdc01!A:A, "")</f>
        <v>1</v>
      </c>
      <c r="T117" s="118">
        <f>_xlfn.XLOOKUP(C117,huyso!B:B, huyso!A:A, "")</f>
        <v>1</v>
      </c>
      <c r="U117" s="118">
        <f>_xlfn.XLOOKUP(C117,treem!B:B, treem!A:A, "")</f>
        <v>1</v>
      </c>
      <c r="V117" s="118">
        <f>_xlfn.XLOOKUP(C117,giaypheplaixe!B:B, giaypheplaixe!A:A, "")</f>
        <v>1</v>
      </c>
      <c r="W117" s="118">
        <f>_xlfn.XLOOKUP(C117,dangkyxe!B:B, dangkyxe!A:A, "")</f>
        <v>1</v>
      </c>
      <c r="X117" s="118"/>
    </row>
    <row r="118" spans="1:24" x14ac:dyDescent="0.3">
      <c r="A118" s="118">
        <f t="shared" si="5"/>
        <v>6</v>
      </c>
      <c r="B118" s="118" cm="1">
        <f t="array" ref="B118">_xlfn.IFS(A118&lt;=10, 12, A118&lt;=30, 9, A118&lt;=50, 8, A118&lt;=70, 7, A118&lt;=90, 6, A118&lt;=110, 5, A118&lt;=124, 2, TRUE, "Ngoài phạm vi")</f>
        <v>12</v>
      </c>
      <c r="C118" s="117" t="s">
        <v>66</v>
      </c>
      <c r="D118" s="121">
        <f t="shared" si="4"/>
        <v>36</v>
      </c>
      <c r="E118" s="121">
        <f>_xlfn.XLOOKUP(C118,cancuoc!B:B, cancuoc!A:A, "")*2</f>
        <v>6</v>
      </c>
      <c r="F118" s="121">
        <f>_xlfn.XLOOKUP(C118,dinhdanh14!B:B, dinhdanh14!A:A, "")*2</f>
        <v>2</v>
      </c>
      <c r="G118" s="121">
        <f>_xlfn.XLOOKUP(C118,dinhdanh6!B:B, dinhdanh6!A:A, "")*2</f>
        <v>2</v>
      </c>
      <c r="H118" s="121">
        <f>_xlfn.XLOOKUP(C118,dinhdanhcq!B:B, dinhdanhcq!A:A, "")*2</f>
        <v>2</v>
      </c>
      <c r="I118" s="122">
        <f>_xlfn.XLOOKUP(C118,suckhoedientu!B:B, suckhoedientu!A:A, "")*2</f>
        <v>2</v>
      </c>
      <c r="J118" s="122">
        <f>_xlfn.XLOOKUP(C118,baohiemxahoi!B:B, baohiemxahoi!A:A, "")*2</f>
        <v>2</v>
      </c>
      <c r="K118" s="121">
        <f>_xlfn.XLOOKUP(C118,ansinhxahoi!B:B, ansinhxahoi!A:A, "")*2</f>
        <v>2</v>
      </c>
      <c r="L118" s="121">
        <f>_xlfn.XLOOKUP(C118,datdai!B:B, datdai!A:A, "")*2</f>
        <v>2</v>
      </c>
      <c r="M118" s="118">
        <f>_xlfn.XLOOKUP(C118,dvccc!B:B, dvccc!A:A, "")*2</f>
        <v>2</v>
      </c>
      <c r="N118" s="118">
        <f>_xlfn.XLOOKUP(C118,dvcct!B:B, dvcct!A:A, "")*2</f>
        <v>2</v>
      </c>
      <c r="O118" s="118">
        <f>_xlfn.XLOOKUP(C118,'ct10'!B:B, 'ct10'!A:A, "")*2</f>
        <v>2</v>
      </c>
      <c r="P118" s="118">
        <f>_xlfn.XLOOKUP(C118,hosocancuoc!B:B, hosocancuoc!A:A, "")*2</f>
        <v>2</v>
      </c>
      <c r="Q118" s="118">
        <f>_xlfn.XLOOKUP(C118,hosocutru!B:B, hosocutru!A:A, "")*2</f>
        <v>2</v>
      </c>
      <c r="R118" s="118">
        <f>_xlfn.XLOOKUP(C118,bdhvs!B:B, bdhvs!A:A, "")</f>
        <v>1</v>
      </c>
      <c r="S118" s="118">
        <f>_xlfn.XLOOKUP(C118,lamsachdc01!B:B, lamsachdc01!A:A, "")</f>
        <v>1</v>
      </c>
      <c r="T118" s="118">
        <f>_xlfn.XLOOKUP(C118,huyso!B:B, huyso!A:A, "")</f>
        <v>1</v>
      </c>
      <c r="U118" s="118">
        <f>_xlfn.XLOOKUP(C118,treem!B:B, treem!A:A, "")</f>
        <v>1</v>
      </c>
      <c r="V118" s="118">
        <f>_xlfn.XLOOKUP(C118,giaypheplaixe!B:B, giaypheplaixe!A:A, "")</f>
        <v>1</v>
      </c>
      <c r="W118" s="118">
        <f>_xlfn.XLOOKUP(C118,dangkyxe!B:B, dangkyxe!A:A, "")</f>
        <v>1</v>
      </c>
      <c r="X118" s="118"/>
    </row>
    <row r="119" spans="1:24" x14ac:dyDescent="0.3">
      <c r="A119" s="118">
        <f t="shared" si="5"/>
        <v>6</v>
      </c>
      <c r="B119" s="118" cm="1">
        <f t="array" ref="B119">_xlfn.IFS(A119&lt;=10, 12, A119&lt;=30, 9, A119&lt;=50, 8, A119&lt;=70, 7, A119&lt;=90, 6, A119&lt;=110, 5, A119&lt;=124, 2, TRUE, "Ngoài phạm vi")</f>
        <v>12</v>
      </c>
      <c r="C119" s="117" t="s">
        <v>98</v>
      </c>
      <c r="D119" s="121">
        <f t="shared" si="4"/>
        <v>36</v>
      </c>
      <c r="E119" s="121">
        <f>_xlfn.XLOOKUP(C119,cancuoc!B:B, cancuoc!A:A, "")*2</f>
        <v>6</v>
      </c>
      <c r="F119" s="121">
        <f>_xlfn.XLOOKUP(C119,dinhdanh14!B:B, dinhdanh14!A:A, "")*2</f>
        <v>2</v>
      </c>
      <c r="G119" s="121">
        <f>_xlfn.XLOOKUP(C119,dinhdanh6!B:B, dinhdanh6!A:A, "")*2</f>
        <v>2</v>
      </c>
      <c r="H119" s="121">
        <f>_xlfn.XLOOKUP(C119,dinhdanhcq!B:B, dinhdanhcq!A:A, "")*2</f>
        <v>2</v>
      </c>
      <c r="I119" s="122">
        <f>_xlfn.XLOOKUP(C119,suckhoedientu!B:B, suckhoedientu!A:A, "")*2</f>
        <v>2</v>
      </c>
      <c r="J119" s="122">
        <f>_xlfn.XLOOKUP(C119,baohiemxahoi!B:B, baohiemxahoi!A:A, "")*2</f>
        <v>2</v>
      </c>
      <c r="K119" s="121">
        <f>_xlfn.XLOOKUP(C119,ansinhxahoi!B:B, ansinhxahoi!A:A, "")*2</f>
        <v>2</v>
      </c>
      <c r="L119" s="121">
        <f>_xlfn.XLOOKUP(C119,datdai!B:B, datdai!A:A, "")*2</f>
        <v>2</v>
      </c>
      <c r="M119" s="118">
        <f>_xlfn.XLOOKUP(C119,dvccc!B:B, dvccc!A:A, "")*2</f>
        <v>2</v>
      </c>
      <c r="N119" s="118">
        <f>_xlfn.XLOOKUP(C119,dvcct!B:B, dvcct!A:A, "")*2</f>
        <v>2</v>
      </c>
      <c r="O119" s="118">
        <f>_xlfn.XLOOKUP(C119,'ct10'!B:B, 'ct10'!A:A, "")*2</f>
        <v>2</v>
      </c>
      <c r="P119" s="118">
        <f>_xlfn.XLOOKUP(C119,hosocancuoc!B:B, hosocancuoc!A:A, "")*2</f>
        <v>2</v>
      </c>
      <c r="Q119" s="118">
        <f>_xlfn.XLOOKUP(C119,hosocutru!B:B, hosocutru!A:A, "")*2</f>
        <v>2</v>
      </c>
      <c r="R119" s="118">
        <f>_xlfn.XLOOKUP(C119,bdhvs!B:B, bdhvs!A:A, "")</f>
        <v>1</v>
      </c>
      <c r="S119" s="118">
        <f>_xlfn.XLOOKUP(C119,lamsachdc01!B:B, lamsachdc01!A:A, "")</f>
        <v>1</v>
      </c>
      <c r="T119" s="118">
        <f>_xlfn.XLOOKUP(C119,huyso!B:B, huyso!A:A, "")</f>
        <v>1</v>
      </c>
      <c r="U119" s="118">
        <f>_xlfn.XLOOKUP(C119,treem!B:B, treem!A:A, "")</f>
        <v>1</v>
      </c>
      <c r="V119" s="118">
        <f>_xlfn.XLOOKUP(C119,giaypheplaixe!B:B, giaypheplaixe!A:A, "")</f>
        <v>1</v>
      </c>
      <c r="W119" s="118">
        <f>_xlfn.XLOOKUP(C119,dangkyxe!B:B, dangkyxe!A:A, "")</f>
        <v>1</v>
      </c>
      <c r="X119" s="118"/>
    </row>
    <row r="120" spans="1:24" s="7" customFormat="1" x14ac:dyDescent="0.3">
      <c r="A120" s="118">
        <f t="shared" si="5"/>
        <v>6</v>
      </c>
      <c r="B120" s="118" cm="1">
        <f t="array" ref="B120">_xlfn.IFS(A120&lt;=10, 12, A120&lt;=30, 9, A120&lt;=50, 8, A120&lt;=70, 7, A120&lt;=90, 6, A120&lt;=110, 5, A120&lt;=124, 2, TRUE, "Ngoài phạm vi")</f>
        <v>12</v>
      </c>
      <c r="C120" s="120" t="s">
        <v>75</v>
      </c>
      <c r="D120" s="121">
        <f t="shared" si="4"/>
        <v>36</v>
      </c>
      <c r="E120" s="121">
        <f>_xlfn.XLOOKUP(C120,cancuoc!B:B, cancuoc!A:A, "")*2</f>
        <v>6</v>
      </c>
      <c r="F120" s="121">
        <f>_xlfn.XLOOKUP(C120,dinhdanh14!B:B, dinhdanh14!A:A, "")*2</f>
        <v>2</v>
      </c>
      <c r="G120" s="121">
        <f>_xlfn.XLOOKUP(C120,dinhdanh6!B:B, dinhdanh6!A:A, "")*2</f>
        <v>2</v>
      </c>
      <c r="H120" s="121">
        <f>_xlfn.XLOOKUP(C120,dinhdanhcq!B:B, dinhdanhcq!A:A, "")*2</f>
        <v>2</v>
      </c>
      <c r="I120" s="122">
        <f>_xlfn.XLOOKUP(C120,suckhoedientu!B:B, suckhoedientu!A:A, "")*2</f>
        <v>2</v>
      </c>
      <c r="J120" s="122">
        <f>_xlfn.XLOOKUP(C120,baohiemxahoi!B:B, baohiemxahoi!A:A, "")*2</f>
        <v>2</v>
      </c>
      <c r="K120" s="121">
        <f>_xlfn.XLOOKUP(C120,ansinhxahoi!B:B, ansinhxahoi!A:A, "")*2</f>
        <v>2</v>
      </c>
      <c r="L120" s="121">
        <f>_xlfn.XLOOKUP(C120,datdai!B:B, datdai!A:A, "")*2</f>
        <v>2</v>
      </c>
      <c r="M120" s="118">
        <f>_xlfn.XLOOKUP(C120,dvccc!B:B, dvccc!A:A, "")*2</f>
        <v>2</v>
      </c>
      <c r="N120" s="118">
        <f>_xlfn.XLOOKUP(C120,dvcct!B:B, dvcct!A:A, "")*2</f>
        <v>2</v>
      </c>
      <c r="O120" s="118">
        <f>_xlfn.XLOOKUP(C120,'ct10'!B:B, 'ct10'!A:A, "")*2</f>
        <v>2</v>
      </c>
      <c r="P120" s="118">
        <f>_xlfn.XLOOKUP(C120,hosocancuoc!B:B, hosocancuoc!A:A, "")*2</f>
        <v>2</v>
      </c>
      <c r="Q120" s="118">
        <f>_xlfn.XLOOKUP(C120,hosocutru!B:B, hosocutru!A:A, "")*2</f>
        <v>2</v>
      </c>
      <c r="R120" s="118">
        <f>_xlfn.XLOOKUP(C120,bdhvs!B:B, bdhvs!A:A, "")</f>
        <v>1</v>
      </c>
      <c r="S120" s="118">
        <f>_xlfn.XLOOKUP(C120,lamsachdc01!B:B, lamsachdc01!A:A, "")</f>
        <v>1</v>
      </c>
      <c r="T120" s="118">
        <f>_xlfn.XLOOKUP(C120,huyso!B:B, huyso!A:A, "")</f>
        <v>1</v>
      </c>
      <c r="U120" s="118">
        <f>_xlfn.XLOOKUP(C120,treem!B:B, treem!A:A, "")</f>
        <v>1</v>
      </c>
      <c r="V120" s="118">
        <f>_xlfn.XLOOKUP(C120,giaypheplaixe!B:B, giaypheplaixe!A:A, "")</f>
        <v>1</v>
      </c>
      <c r="W120" s="118">
        <f>_xlfn.XLOOKUP(C120,dangkyxe!B:B, dangkyxe!A:A, "")</f>
        <v>1</v>
      </c>
      <c r="X120" s="6"/>
    </row>
    <row r="121" spans="1:24" x14ac:dyDescent="0.3">
      <c r="A121" s="118">
        <f t="shared" si="5"/>
        <v>6</v>
      </c>
      <c r="B121" s="118" cm="1">
        <f t="array" ref="B121">_xlfn.IFS(A121&lt;=10, 12, A121&lt;=30, 9, A121&lt;=50, 8, A121&lt;=70, 7, A121&lt;=90, 6, A121&lt;=110, 5, A121&lt;=124, 2, TRUE, "Ngoài phạm vi")</f>
        <v>12</v>
      </c>
      <c r="C121" s="117" t="s">
        <v>19</v>
      </c>
      <c r="D121" s="121">
        <f t="shared" si="4"/>
        <v>36</v>
      </c>
      <c r="E121" s="121">
        <f>_xlfn.XLOOKUP(C121,cancuoc!B:B, cancuoc!A:A, "")*2</f>
        <v>6</v>
      </c>
      <c r="F121" s="121">
        <f>_xlfn.XLOOKUP(C121,dinhdanh14!B:B, dinhdanh14!A:A, "")*2</f>
        <v>2</v>
      </c>
      <c r="G121" s="121">
        <f>_xlfn.XLOOKUP(C121,dinhdanh6!B:B, dinhdanh6!A:A, "")*2</f>
        <v>2</v>
      </c>
      <c r="H121" s="121">
        <f>_xlfn.XLOOKUP(C121,dinhdanhcq!B:B, dinhdanhcq!A:A, "")*2</f>
        <v>2</v>
      </c>
      <c r="I121" s="122">
        <f>_xlfn.XLOOKUP(C121,suckhoedientu!B:B, suckhoedientu!A:A, "")*2</f>
        <v>2</v>
      </c>
      <c r="J121" s="122">
        <f>_xlfn.XLOOKUP(C121,baohiemxahoi!B:B, baohiemxahoi!A:A, "")*2</f>
        <v>2</v>
      </c>
      <c r="K121" s="121">
        <f>_xlfn.XLOOKUP(C121,ansinhxahoi!B:B, ansinhxahoi!A:A, "")*2</f>
        <v>2</v>
      </c>
      <c r="L121" s="121">
        <f>_xlfn.XLOOKUP(C121,datdai!B:B, datdai!A:A, "")*2</f>
        <v>2</v>
      </c>
      <c r="M121" s="118">
        <f>_xlfn.XLOOKUP(C121,dvccc!B:B, dvccc!A:A, "")*2</f>
        <v>2</v>
      </c>
      <c r="N121" s="118">
        <f>_xlfn.XLOOKUP(C121,dvcct!B:B, dvcct!A:A, "")*2</f>
        <v>2</v>
      </c>
      <c r="O121" s="118">
        <f>_xlfn.XLOOKUP(C121,'ct10'!B:B, 'ct10'!A:A, "")*2</f>
        <v>2</v>
      </c>
      <c r="P121" s="118">
        <f>_xlfn.XLOOKUP(C121,hosocancuoc!B:B, hosocancuoc!A:A, "")*2</f>
        <v>2</v>
      </c>
      <c r="Q121" s="118">
        <f>_xlfn.XLOOKUP(C121,hosocutru!B:B, hosocutru!A:A, "")*2</f>
        <v>2</v>
      </c>
      <c r="R121" s="118">
        <f>_xlfn.XLOOKUP(C121,bdhvs!B:B, bdhvs!A:A, "")</f>
        <v>1</v>
      </c>
      <c r="S121" s="118">
        <f>_xlfn.XLOOKUP(C121,lamsachdc01!B:B, lamsachdc01!A:A, "")</f>
        <v>1</v>
      </c>
      <c r="T121" s="118">
        <f>_xlfn.XLOOKUP(C121,huyso!B:B, huyso!A:A, "")</f>
        <v>1</v>
      </c>
      <c r="U121" s="118">
        <f>_xlfn.XLOOKUP(C121,treem!B:B, treem!A:A, "")</f>
        <v>1</v>
      </c>
      <c r="V121" s="118">
        <f>_xlfn.XLOOKUP(C121,giaypheplaixe!B:B, giaypheplaixe!A:A, "")</f>
        <v>1</v>
      </c>
      <c r="W121" s="118">
        <f>_xlfn.XLOOKUP(C121,dangkyxe!B:B, dangkyxe!A:A, "")</f>
        <v>1</v>
      </c>
      <c r="X121" s="118"/>
    </row>
    <row r="122" spans="1:24" x14ac:dyDescent="0.3">
      <c r="A122" s="118">
        <f t="shared" si="5"/>
        <v>6</v>
      </c>
      <c r="B122" s="118" cm="1">
        <f t="array" ref="B122">_xlfn.IFS(A122&lt;=10, 12, A122&lt;=30, 9, A122&lt;=50, 8, A122&lt;=70, 7, A122&lt;=90, 6, A122&lt;=110, 5, A122&lt;=124, 2, TRUE, "Ngoài phạm vi")</f>
        <v>12</v>
      </c>
      <c r="C122" s="117" t="s">
        <v>81</v>
      </c>
      <c r="D122" s="121">
        <f t="shared" si="4"/>
        <v>36</v>
      </c>
      <c r="E122" s="121">
        <f>_xlfn.XLOOKUP(C122,cancuoc!B:B, cancuoc!A:A, "")*2</f>
        <v>6</v>
      </c>
      <c r="F122" s="121">
        <f>_xlfn.XLOOKUP(C122,dinhdanh14!B:B, dinhdanh14!A:A, "")*2</f>
        <v>2</v>
      </c>
      <c r="G122" s="121">
        <f>_xlfn.XLOOKUP(C122,dinhdanh6!B:B, dinhdanh6!A:A, "")*2</f>
        <v>2</v>
      </c>
      <c r="H122" s="121">
        <f>_xlfn.XLOOKUP(C122,dinhdanhcq!B:B, dinhdanhcq!A:A, "")*2</f>
        <v>2</v>
      </c>
      <c r="I122" s="122">
        <f>_xlfn.XLOOKUP(C122,suckhoedientu!B:B, suckhoedientu!A:A, "")*2</f>
        <v>2</v>
      </c>
      <c r="J122" s="122">
        <f>_xlfn.XLOOKUP(C122,baohiemxahoi!B:B, baohiemxahoi!A:A, "")*2</f>
        <v>2</v>
      </c>
      <c r="K122" s="121">
        <f>_xlfn.XLOOKUP(C122,ansinhxahoi!B:B, ansinhxahoi!A:A, "")*2</f>
        <v>2</v>
      </c>
      <c r="L122" s="121">
        <f>_xlfn.XLOOKUP(C122,datdai!B:B, datdai!A:A, "")*2</f>
        <v>2</v>
      </c>
      <c r="M122" s="118">
        <f>_xlfn.XLOOKUP(C122,dvccc!B:B, dvccc!A:A, "")*2</f>
        <v>2</v>
      </c>
      <c r="N122" s="118">
        <f>_xlfn.XLOOKUP(C122,dvcct!B:B, dvcct!A:A, "")*2</f>
        <v>2</v>
      </c>
      <c r="O122" s="118">
        <f>_xlfn.XLOOKUP(C122,'ct10'!B:B, 'ct10'!A:A, "")*2</f>
        <v>2</v>
      </c>
      <c r="P122" s="118">
        <f>_xlfn.XLOOKUP(C122,hosocancuoc!B:B, hosocancuoc!A:A, "")*2</f>
        <v>2</v>
      </c>
      <c r="Q122" s="118">
        <f>_xlfn.XLOOKUP(C122,hosocutru!B:B, hosocutru!A:A, "")*2</f>
        <v>2</v>
      </c>
      <c r="R122" s="118">
        <f>_xlfn.XLOOKUP(C122,bdhvs!B:B, bdhvs!A:A, "")</f>
        <v>1</v>
      </c>
      <c r="S122" s="118">
        <f>_xlfn.XLOOKUP(C122,lamsachdc01!B:B, lamsachdc01!A:A, "")</f>
        <v>1</v>
      </c>
      <c r="T122" s="118">
        <f>_xlfn.XLOOKUP(C122,huyso!B:B, huyso!A:A, "")</f>
        <v>1</v>
      </c>
      <c r="U122" s="118">
        <f>_xlfn.XLOOKUP(C122,treem!B:B, treem!A:A, "")</f>
        <v>1</v>
      </c>
      <c r="V122" s="118">
        <f>_xlfn.XLOOKUP(C122,giaypheplaixe!B:B, giaypheplaixe!A:A, "")</f>
        <v>1</v>
      </c>
      <c r="W122" s="118">
        <f>_xlfn.XLOOKUP(C122,dangkyxe!B:B, dangkyxe!A:A, "")</f>
        <v>1</v>
      </c>
      <c r="X122" s="118"/>
    </row>
    <row r="123" spans="1:24" x14ac:dyDescent="0.3">
      <c r="A123" s="118">
        <f t="shared" si="5"/>
        <v>6</v>
      </c>
      <c r="B123" s="118" cm="1">
        <f t="array" ref="B123">_xlfn.IFS(A123&lt;=10, 12, A123&lt;=30, 9, A123&lt;=50, 8, A123&lt;=70, 7, A123&lt;=90, 6, A123&lt;=110, 5, A123&lt;=124, 2, TRUE, "Ngoài phạm vi")</f>
        <v>12</v>
      </c>
      <c r="C123" s="117" t="s">
        <v>88</v>
      </c>
      <c r="D123" s="121">
        <f t="shared" si="4"/>
        <v>36</v>
      </c>
      <c r="E123" s="121">
        <f>_xlfn.XLOOKUP(C123,cancuoc!B:B, cancuoc!A:A, "")*2</f>
        <v>6</v>
      </c>
      <c r="F123" s="121">
        <f>_xlfn.XLOOKUP(C123,dinhdanh14!B:B, dinhdanh14!A:A, "")*2</f>
        <v>2</v>
      </c>
      <c r="G123" s="121">
        <f>_xlfn.XLOOKUP(C123,dinhdanh6!B:B, dinhdanh6!A:A, "")*2</f>
        <v>2</v>
      </c>
      <c r="H123" s="121">
        <f>_xlfn.XLOOKUP(C123,dinhdanhcq!B:B, dinhdanhcq!A:A, "")*2</f>
        <v>2</v>
      </c>
      <c r="I123" s="122">
        <f>_xlfn.XLOOKUP(C123,suckhoedientu!B:B, suckhoedientu!A:A, "")*2</f>
        <v>2</v>
      </c>
      <c r="J123" s="122">
        <f>_xlfn.XLOOKUP(C123,baohiemxahoi!B:B, baohiemxahoi!A:A, "")*2</f>
        <v>2</v>
      </c>
      <c r="K123" s="121">
        <f>_xlfn.XLOOKUP(C123,ansinhxahoi!B:B, ansinhxahoi!A:A, "")*2</f>
        <v>2</v>
      </c>
      <c r="L123" s="121">
        <f>_xlfn.XLOOKUP(C123,datdai!B:B, datdai!A:A, "")*2</f>
        <v>2</v>
      </c>
      <c r="M123" s="118">
        <f>_xlfn.XLOOKUP(C123,dvccc!B:B, dvccc!A:A, "")*2</f>
        <v>2</v>
      </c>
      <c r="N123" s="118">
        <f>_xlfn.XLOOKUP(C123,dvcct!B:B, dvcct!A:A, "")*2</f>
        <v>2</v>
      </c>
      <c r="O123" s="118">
        <f>_xlfn.XLOOKUP(C123,'ct10'!B:B, 'ct10'!A:A, "")*2</f>
        <v>2</v>
      </c>
      <c r="P123" s="118">
        <f>_xlfn.XLOOKUP(C123,hosocancuoc!B:B, hosocancuoc!A:A, "")*2</f>
        <v>2</v>
      </c>
      <c r="Q123" s="118">
        <f>_xlfn.XLOOKUP(C123,hosocutru!B:B, hosocutru!A:A, "")*2</f>
        <v>2</v>
      </c>
      <c r="R123" s="118">
        <f>_xlfn.XLOOKUP(C123,bdhvs!B:B, bdhvs!A:A, "")</f>
        <v>1</v>
      </c>
      <c r="S123" s="118">
        <f>_xlfn.XLOOKUP(C123,lamsachdc01!B:B, lamsachdc01!A:A, "")</f>
        <v>1</v>
      </c>
      <c r="T123" s="118">
        <f>_xlfn.XLOOKUP(C123,huyso!B:B, huyso!A:A, "")</f>
        <v>1</v>
      </c>
      <c r="U123" s="118">
        <f>_xlfn.XLOOKUP(C123,treem!B:B, treem!A:A, "")</f>
        <v>1</v>
      </c>
      <c r="V123" s="118">
        <f>_xlfn.XLOOKUP(C123,giaypheplaixe!B:B, giaypheplaixe!A:A, "")</f>
        <v>1</v>
      </c>
      <c r="W123" s="118">
        <f>_xlfn.XLOOKUP(C123,dangkyxe!B:B, dangkyxe!A:A, "")</f>
        <v>1</v>
      </c>
      <c r="X123" s="118"/>
    </row>
    <row r="124" spans="1:24" x14ac:dyDescent="0.3">
      <c r="A124" s="118">
        <f t="shared" si="5"/>
        <v>6</v>
      </c>
      <c r="B124" s="118" cm="1">
        <f t="array" ref="B124">_xlfn.IFS(A124&lt;=10, 12, A124&lt;=30, 9, A124&lt;=50, 8, A124&lt;=70, 7, A124&lt;=90, 6, A124&lt;=110, 5, A124&lt;=124, 2, TRUE, "Ngoài phạm vi")</f>
        <v>12</v>
      </c>
      <c r="C124" s="117" t="s">
        <v>41</v>
      </c>
      <c r="D124" s="121">
        <f t="shared" si="4"/>
        <v>36</v>
      </c>
      <c r="E124" s="121">
        <f>_xlfn.XLOOKUP(C124,cancuoc!B:B, cancuoc!A:A, "")*2</f>
        <v>6</v>
      </c>
      <c r="F124" s="121">
        <f>_xlfn.XLOOKUP(C124,dinhdanh14!B:B, dinhdanh14!A:A, "")*2</f>
        <v>2</v>
      </c>
      <c r="G124" s="121">
        <f>_xlfn.XLOOKUP(C124,dinhdanh6!B:B, dinhdanh6!A:A, "")*2</f>
        <v>2</v>
      </c>
      <c r="H124" s="121">
        <f>_xlfn.XLOOKUP(C124,dinhdanhcq!B:B, dinhdanhcq!A:A, "")*2</f>
        <v>2</v>
      </c>
      <c r="I124" s="122">
        <f>_xlfn.XLOOKUP(C124,suckhoedientu!B:B, suckhoedientu!A:A, "")*2</f>
        <v>2</v>
      </c>
      <c r="J124" s="122">
        <f>_xlfn.XLOOKUP(C124,baohiemxahoi!B:B, baohiemxahoi!A:A, "")*2</f>
        <v>2</v>
      </c>
      <c r="K124" s="121">
        <f>_xlfn.XLOOKUP(C124,ansinhxahoi!B:B, ansinhxahoi!A:A, "")*2</f>
        <v>2</v>
      </c>
      <c r="L124" s="121">
        <f>_xlfn.XLOOKUP(C124,datdai!B:B, datdai!A:A, "")*2</f>
        <v>2</v>
      </c>
      <c r="M124" s="118">
        <f>_xlfn.XLOOKUP(C124,dvccc!B:B, dvccc!A:A, "")*2</f>
        <v>2</v>
      </c>
      <c r="N124" s="118">
        <f>_xlfn.XLOOKUP(C124,dvcct!B:B, dvcct!A:A, "")*2</f>
        <v>2</v>
      </c>
      <c r="O124" s="118">
        <f>_xlfn.XLOOKUP(C124,'ct10'!B:B, 'ct10'!A:A, "")*2</f>
        <v>2</v>
      </c>
      <c r="P124" s="118">
        <f>_xlfn.XLOOKUP(C124,hosocancuoc!B:B, hosocancuoc!A:A, "")*2</f>
        <v>2</v>
      </c>
      <c r="Q124" s="118">
        <f>_xlfn.XLOOKUP(C124,hosocutru!B:B, hosocutru!A:A, "")*2</f>
        <v>2</v>
      </c>
      <c r="R124" s="118">
        <f>_xlfn.XLOOKUP(C124,bdhvs!B:B, bdhvs!A:A, "")</f>
        <v>1</v>
      </c>
      <c r="S124" s="118">
        <f>_xlfn.XLOOKUP(C124,lamsachdc01!B:B, lamsachdc01!A:A, "")</f>
        <v>1</v>
      </c>
      <c r="T124" s="118">
        <f>_xlfn.XLOOKUP(C124,huyso!B:B, huyso!A:A, "")</f>
        <v>1</v>
      </c>
      <c r="U124" s="118">
        <f>_xlfn.XLOOKUP(C124,treem!B:B, treem!A:A, "")</f>
        <v>1</v>
      </c>
      <c r="V124" s="118">
        <f>_xlfn.XLOOKUP(C124,giaypheplaixe!B:B, giaypheplaixe!A:A, "")</f>
        <v>1</v>
      </c>
      <c r="W124" s="118">
        <f>_xlfn.XLOOKUP(C124,dangkyxe!B:B, dangkyxe!A:A, "")</f>
        <v>1</v>
      </c>
      <c r="X124" s="118"/>
    </row>
    <row r="125" spans="1:24" x14ac:dyDescent="0.3">
      <c r="A125" s="118">
        <f t="shared" si="5"/>
        <v>6</v>
      </c>
      <c r="B125" s="118" cm="1">
        <f t="array" ref="B125">_xlfn.IFS(A125&lt;=10, 12, A125&lt;=30, 9, A125&lt;=50, 8, A125&lt;=70, 7, A125&lt;=90, 6, A125&lt;=110, 5, A125&lt;=124, 2, TRUE, "Ngoài phạm vi")</f>
        <v>12</v>
      </c>
      <c r="C125" s="117" t="s">
        <v>53</v>
      </c>
      <c r="D125" s="121">
        <f t="shared" si="4"/>
        <v>36</v>
      </c>
      <c r="E125" s="121">
        <f>_xlfn.XLOOKUP(C125,cancuoc!B:B, cancuoc!A:A, "")*2</f>
        <v>6</v>
      </c>
      <c r="F125" s="121">
        <f>_xlfn.XLOOKUP(C125,dinhdanh14!B:B, dinhdanh14!A:A, "")*2</f>
        <v>2</v>
      </c>
      <c r="G125" s="121">
        <f>_xlfn.XLOOKUP(C125,dinhdanh6!B:B, dinhdanh6!A:A, "")*2</f>
        <v>2</v>
      </c>
      <c r="H125" s="121">
        <f>_xlfn.XLOOKUP(C125,dinhdanhcq!B:B, dinhdanhcq!A:A, "")*2</f>
        <v>2</v>
      </c>
      <c r="I125" s="122">
        <f>_xlfn.XLOOKUP(C125,suckhoedientu!B:B, suckhoedientu!A:A, "")*2</f>
        <v>2</v>
      </c>
      <c r="J125" s="122">
        <f>_xlfn.XLOOKUP(C125,baohiemxahoi!B:B, baohiemxahoi!A:A, "")*2</f>
        <v>2</v>
      </c>
      <c r="K125" s="121">
        <f>_xlfn.XLOOKUP(C125,ansinhxahoi!B:B, ansinhxahoi!A:A, "")*2</f>
        <v>2</v>
      </c>
      <c r="L125" s="121">
        <f>_xlfn.XLOOKUP(C125,datdai!B:B, datdai!A:A, "")*2</f>
        <v>2</v>
      </c>
      <c r="M125" s="118">
        <f>_xlfn.XLOOKUP(C125,dvccc!B:B, dvccc!A:A, "")*2</f>
        <v>2</v>
      </c>
      <c r="N125" s="118">
        <f>_xlfn.XLOOKUP(C125,dvcct!B:B, dvcct!A:A, "")*2</f>
        <v>2</v>
      </c>
      <c r="O125" s="118">
        <f>_xlfn.XLOOKUP(C125,'ct10'!B:B, 'ct10'!A:A, "")*2</f>
        <v>2</v>
      </c>
      <c r="P125" s="118">
        <f>_xlfn.XLOOKUP(C125,hosocancuoc!B:B, hosocancuoc!A:A, "")*2</f>
        <v>2</v>
      </c>
      <c r="Q125" s="118">
        <f>_xlfn.XLOOKUP(C125,hosocutru!B:B, hosocutru!A:A, "")*2</f>
        <v>2</v>
      </c>
      <c r="R125" s="118">
        <f>_xlfn.XLOOKUP(C125,bdhvs!B:B, bdhvs!A:A, "")</f>
        <v>1</v>
      </c>
      <c r="S125" s="118">
        <f>_xlfn.XLOOKUP(C125,lamsachdc01!B:B, lamsachdc01!A:A, "")</f>
        <v>1</v>
      </c>
      <c r="T125" s="118">
        <f>_xlfn.XLOOKUP(C125,huyso!B:B, huyso!A:A, "")</f>
        <v>1</v>
      </c>
      <c r="U125" s="118">
        <f>_xlfn.XLOOKUP(C125,treem!B:B, treem!A:A, "")</f>
        <v>1</v>
      </c>
      <c r="V125" s="118">
        <f>_xlfn.XLOOKUP(C125,giaypheplaixe!B:B, giaypheplaixe!A:A, "")</f>
        <v>1</v>
      </c>
      <c r="W125" s="118">
        <f>_xlfn.XLOOKUP(C125,dangkyxe!B:B, dangkyxe!A:A, "")</f>
        <v>1</v>
      </c>
      <c r="X125" s="118"/>
    </row>
    <row r="126" spans="1:24" x14ac:dyDescent="0.3">
      <c r="A126" s="118">
        <f t="shared" si="5"/>
        <v>6</v>
      </c>
      <c r="B126" s="118" cm="1">
        <f t="array" ref="B126">_xlfn.IFS(A126&lt;=10, 12, A126&lt;=30, 9, A126&lt;=50, 8, A126&lt;=70, 7, A126&lt;=90, 6, A126&lt;=110, 5, A126&lt;=124, 2, TRUE, "Ngoài phạm vi")</f>
        <v>12</v>
      </c>
      <c r="C126" s="117" t="s">
        <v>1</v>
      </c>
      <c r="D126" s="121">
        <f t="shared" si="4"/>
        <v>36</v>
      </c>
      <c r="E126" s="121">
        <f>_xlfn.XLOOKUP(C126,cancuoc!B:B, cancuoc!A:A, "")*2</f>
        <v>6</v>
      </c>
      <c r="F126" s="121">
        <f>_xlfn.XLOOKUP(C126,dinhdanh14!B:B, dinhdanh14!A:A, "")*2</f>
        <v>2</v>
      </c>
      <c r="G126" s="121">
        <f>_xlfn.XLOOKUP(C126,dinhdanh6!B:B, dinhdanh6!A:A, "")*2</f>
        <v>2</v>
      </c>
      <c r="H126" s="121">
        <f>_xlfn.XLOOKUP(C126,dinhdanhcq!B:B, dinhdanhcq!A:A, "")*2</f>
        <v>2</v>
      </c>
      <c r="I126" s="122">
        <f>_xlfn.XLOOKUP(C126,suckhoedientu!B:B, suckhoedientu!A:A, "")*2</f>
        <v>2</v>
      </c>
      <c r="J126" s="122">
        <f>_xlfn.XLOOKUP(C126,baohiemxahoi!B:B, baohiemxahoi!A:A, "")*2</f>
        <v>2</v>
      </c>
      <c r="K126" s="121">
        <f>_xlfn.XLOOKUP(C126,ansinhxahoi!B:B, ansinhxahoi!A:A, "")*2</f>
        <v>2</v>
      </c>
      <c r="L126" s="121">
        <f>_xlfn.XLOOKUP(C126,datdai!B:B, datdai!A:A, "")*2</f>
        <v>2</v>
      </c>
      <c r="M126" s="118">
        <f>_xlfn.XLOOKUP(C126,dvccc!B:B, dvccc!A:A, "")*2</f>
        <v>2</v>
      </c>
      <c r="N126" s="118">
        <f>_xlfn.XLOOKUP(C126,dvcct!B:B, dvcct!A:A, "")*2</f>
        <v>2</v>
      </c>
      <c r="O126" s="118">
        <f>_xlfn.XLOOKUP(C126,'ct10'!B:B, 'ct10'!A:A, "")*2</f>
        <v>2</v>
      </c>
      <c r="P126" s="118">
        <f>_xlfn.XLOOKUP(C126,hosocancuoc!B:B, hosocancuoc!A:A, "")*2</f>
        <v>2</v>
      </c>
      <c r="Q126" s="118">
        <f>_xlfn.XLOOKUP(C126,hosocutru!B:B, hosocutru!A:A, "")*2</f>
        <v>2</v>
      </c>
      <c r="R126" s="118">
        <f>_xlfn.XLOOKUP(C126,bdhvs!B:B, bdhvs!A:A, "")</f>
        <v>1</v>
      </c>
      <c r="S126" s="118">
        <f>_xlfn.XLOOKUP(C126,lamsachdc01!B:B, lamsachdc01!A:A, "")</f>
        <v>1</v>
      </c>
      <c r="T126" s="118">
        <f>_xlfn.XLOOKUP(C126,huyso!B:B, huyso!A:A, "")</f>
        <v>1</v>
      </c>
      <c r="U126" s="118">
        <f>_xlfn.XLOOKUP(C126,treem!B:B, treem!A:A, "")</f>
        <v>1</v>
      </c>
      <c r="V126" s="118">
        <f>_xlfn.XLOOKUP(C126,giaypheplaixe!B:B, giaypheplaixe!A:A, "")</f>
        <v>1</v>
      </c>
      <c r="W126" s="118">
        <f>_xlfn.XLOOKUP(C126,dangkyxe!B:B, dangkyxe!A:A, "")</f>
        <v>1</v>
      </c>
      <c r="X126" s="118"/>
    </row>
    <row r="127" spans="1:24" x14ac:dyDescent="0.3">
      <c r="A127" s="118">
        <f t="shared" si="5"/>
        <v>6</v>
      </c>
      <c r="B127" s="118" cm="1">
        <f t="array" ref="B127">_xlfn.IFS(A127&lt;=10, 12, A127&lt;=30, 9, A127&lt;=50, 8, A127&lt;=70, 7, A127&lt;=90, 6, A127&lt;=110, 5, A127&lt;=124, 2, TRUE, "Ngoài phạm vi")</f>
        <v>12</v>
      </c>
      <c r="C127" s="123" t="s">
        <v>99</v>
      </c>
      <c r="D127" s="121">
        <f t="shared" si="4"/>
        <v>36</v>
      </c>
      <c r="E127" s="121">
        <f>_xlfn.XLOOKUP(C127,cancuoc!B:B, cancuoc!A:A, "")*2</f>
        <v>6</v>
      </c>
      <c r="F127" s="121">
        <f>_xlfn.XLOOKUP(C127,dinhdanh14!B:B, dinhdanh14!A:A, "")*2</f>
        <v>2</v>
      </c>
      <c r="G127" s="121">
        <f>_xlfn.XLOOKUP(C127,dinhdanh6!B:B, dinhdanh6!A:A, "")*2</f>
        <v>2</v>
      </c>
      <c r="H127" s="121">
        <f>_xlfn.XLOOKUP(C127,dinhdanhcq!B:B, dinhdanhcq!A:A, "")*2</f>
        <v>2</v>
      </c>
      <c r="I127" s="122">
        <f>_xlfn.XLOOKUP(C127,suckhoedientu!B:B, suckhoedientu!A:A, "")*2</f>
        <v>2</v>
      </c>
      <c r="J127" s="122">
        <f>_xlfn.XLOOKUP(C127,baohiemxahoi!B:B, baohiemxahoi!A:A, "")*2</f>
        <v>2</v>
      </c>
      <c r="K127" s="121">
        <f>_xlfn.XLOOKUP(C127,ansinhxahoi!B:B, ansinhxahoi!A:A, "")*2</f>
        <v>2</v>
      </c>
      <c r="L127" s="121">
        <f>_xlfn.XLOOKUP(C127,datdai!B:B, datdai!A:A, "")*2</f>
        <v>2</v>
      </c>
      <c r="M127" s="118">
        <f>_xlfn.XLOOKUP(C127,dvccc!B:B, dvccc!A:A, "")*2</f>
        <v>2</v>
      </c>
      <c r="N127" s="118">
        <f>_xlfn.XLOOKUP(C127,dvcct!B:B, dvcct!A:A, "")*2</f>
        <v>2</v>
      </c>
      <c r="O127" s="118">
        <f>_xlfn.XLOOKUP(C127,'ct10'!B:B, 'ct10'!A:A, "")*2</f>
        <v>2</v>
      </c>
      <c r="P127" s="118">
        <f>_xlfn.XLOOKUP(C127,hosocancuoc!B:B, hosocancuoc!A:A, "")*2</f>
        <v>2</v>
      </c>
      <c r="Q127" s="118">
        <f>_xlfn.XLOOKUP(C127,hosocutru!B:B, hosocutru!A:A, "")*2</f>
        <v>2</v>
      </c>
      <c r="R127" s="118">
        <f>_xlfn.XLOOKUP(C127,bdhvs!B:B, bdhvs!A:A, "")</f>
        <v>1</v>
      </c>
      <c r="S127" s="118">
        <f>_xlfn.XLOOKUP(C127,lamsachdc01!B:B, lamsachdc01!A:A, "")</f>
        <v>1</v>
      </c>
      <c r="T127" s="118">
        <f>_xlfn.XLOOKUP(C127,huyso!B:B, huyso!A:A, "")</f>
        <v>1</v>
      </c>
      <c r="U127" s="118">
        <f>_xlfn.XLOOKUP(C127,treem!B:B, treem!A:A, "")</f>
        <v>1</v>
      </c>
      <c r="V127" s="118">
        <f>_xlfn.XLOOKUP(C127,giaypheplaixe!B:B, giaypheplaixe!A:A, "")</f>
        <v>1</v>
      </c>
      <c r="W127" s="118">
        <f>_xlfn.XLOOKUP(C127,dangkyxe!B:B, dangkyxe!A:A, "")</f>
        <v>1</v>
      </c>
      <c r="X127" s="118"/>
    </row>
    <row r="128" spans="1:24" x14ac:dyDescent="0.3">
      <c r="A128" s="118">
        <f t="shared" si="5"/>
        <v>6</v>
      </c>
      <c r="B128" s="118" cm="1">
        <f t="array" ref="B128">_xlfn.IFS(A128&lt;=10, 12, A128&lt;=30, 9, A128&lt;=50, 8, A128&lt;=70, 7, A128&lt;=90, 6, A128&lt;=110, 5, A128&lt;=124, 2, TRUE, "Ngoài phạm vi")</f>
        <v>12</v>
      </c>
      <c r="C128" s="117" t="s">
        <v>25</v>
      </c>
      <c r="D128" s="121">
        <f t="shared" si="4"/>
        <v>36</v>
      </c>
      <c r="E128" s="121">
        <f>_xlfn.XLOOKUP(C128,cancuoc!B:B, cancuoc!A:A, "")*2</f>
        <v>6</v>
      </c>
      <c r="F128" s="121">
        <f>_xlfn.XLOOKUP(C128,dinhdanh14!B:B, dinhdanh14!A:A, "")*2</f>
        <v>2</v>
      </c>
      <c r="G128" s="121">
        <f>_xlfn.XLOOKUP(C128,dinhdanh6!B:B, dinhdanh6!A:A, "")*2</f>
        <v>2</v>
      </c>
      <c r="H128" s="121">
        <f>_xlfn.XLOOKUP(C128,dinhdanhcq!B:B, dinhdanhcq!A:A, "")*2</f>
        <v>2</v>
      </c>
      <c r="I128" s="122">
        <f>_xlfn.XLOOKUP(C128,suckhoedientu!B:B, suckhoedientu!A:A, "")*2</f>
        <v>2</v>
      </c>
      <c r="J128" s="122">
        <f>_xlfn.XLOOKUP(C128,baohiemxahoi!B:B, baohiemxahoi!A:A, "")*2</f>
        <v>2</v>
      </c>
      <c r="K128" s="121">
        <f>_xlfn.XLOOKUP(C128,ansinhxahoi!B:B, ansinhxahoi!A:A, "")*2</f>
        <v>2</v>
      </c>
      <c r="L128" s="121">
        <f>_xlfn.XLOOKUP(C128,datdai!B:B, datdai!A:A, "")*2</f>
        <v>2</v>
      </c>
      <c r="M128" s="118">
        <f>_xlfn.XLOOKUP(C128,dvccc!B:B, dvccc!A:A, "")*2</f>
        <v>2</v>
      </c>
      <c r="N128" s="118">
        <f>_xlfn.XLOOKUP(C128,dvcct!B:B, dvcct!A:A, "")*2</f>
        <v>2</v>
      </c>
      <c r="O128" s="118">
        <f>_xlfn.XLOOKUP(C128,'ct10'!B:B, 'ct10'!A:A, "")*2</f>
        <v>2</v>
      </c>
      <c r="P128" s="118">
        <f>_xlfn.XLOOKUP(C128,hosocancuoc!B:B, hosocancuoc!A:A, "")*2</f>
        <v>2</v>
      </c>
      <c r="Q128" s="118">
        <f>_xlfn.XLOOKUP(C128,hosocutru!B:B, hosocutru!A:A, "")*2</f>
        <v>2</v>
      </c>
      <c r="R128" s="118">
        <f>_xlfn.XLOOKUP(C128,bdhvs!B:B, bdhvs!A:A, "")</f>
        <v>1</v>
      </c>
      <c r="S128" s="118">
        <f>_xlfn.XLOOKUP(C128,lamsachdc01!B:B, lamsachdc01!A:A, "")</f>
        <v>1</v>
      </c>
      <c r="T128" s="118">
        <f>_xlfn.XLOOKUP(C128,huyso!B:B, huyso!A:A, "")</f>
        <v>1</v>
      </c>
      <c r="U128" s="118">
        <f>_xlfn.XLOOKUP(C128,treem!B:B, treem!A:A, "")</f>
        <v>1</v>
      </c>
      <c r="V128" s="118">
        <f>_xlfn.XLOOKUP(C128,giaypheplaixe!B:B, giaypheplaixe!A:A, "")</f>
        <v>1</v>
      </c>
      <c r="W128" s="118">
        <f>_xlfn.XLOOKUP(C128,dangkyxe!B:B, dangkyxe!A:A, "")</f>
        <v>1</v>
      </c>
      <c r="X128" s="118"/>
    </row>
    <row r="129" spans="1:24" x14ac:dyDescent="0.3">
      <c r="A129" s="118">
        <f t="shared" si="5"/>
        <v>6</v>
      </c>
      <c r="B129" s="118" cm="1">
        <f t="array" ref="B129">_xlfn.IFS(A129&lt;=10, 12, A129&lt;=30, 9, A129&lt;=50, 8, A129&lt;=70, 7, A129&lt;=90, 6, A129&lt;=110, 5, A129&lt;=124, 2, TRUE, "Ngoài phạm vi")</f>
        <v>12</v>
      </c>
      <c r="C129" s="117" t="s">
        <v>121</v>
      </c>
      <c r="D129" s="121">
        <f t="shared" si="4"/>
        <v>36</v>
      </c>
      <c r="E129" s="121">
        <f>_xlfn.XLOOKUP(C129,cancuoc!B:B, cancuoc!A:A, "")*2</f>
        <v>6</v>
      </c>
      <c r="F129" s="121">
        <f>_xlfn.XLOOKUP(C129,dinhdanh14!B:B, dinhdanh14!A:A, "")*2</f>
        <v>2</v>
      </c>
      <c r="G129" s="121">
        <f>_xlfn.XLOOKUP(C129,dinhdanh6!B:B, dinhdanh6!A:A, "")*2</f>
        <v>2</v>
      </c>
      <c r="H129" s="121">
        <f>_xlfn.XLOOKUP(C129,dinhdanhcq!B:B, dinhdanhcq!A:A, "")*2</f>
        <v>2</v>
      </c>
      <c r="I129" s="122">
        <f>_xlfn.XLOOKUP(C129,suckhoedientu!B:B, suckhoedientu!A:A, "")*2</f>
        <v>2</v>
      </c>
      <c r="J129" s="122">
        <f>_xlfn.XLOOKUP(C129,baohiemxahoi!B:B, baohiemxahoi!A:A, "")*2</f>
        <v>2</v>
      </c>
      <c r="K129" s="121">
        <f>_xlfn.XLOOKUP(C129,ansinhxahoi!B:B, ansinhxahoi!A:A, "")*2</f>
        <v>2</v>
      </c>
      <c r="L129" s="121">
        <f>_xlfn.XLOOKUP(C129,datdai!B:B, datdai!A:A, "")*2</f>
        <v>2</v>
      </c>
      <c r="M129" s="118">
        <f>_xlfn.XLOOKUP(C129,dvccc!B:B, dvccc!A:A, "")*2</f>
        <v>2</v>
      </c>
      <c r="N129" s="118">
        <f>_xlfn.XLOOKUP(C129,dvcct!B:B, dvcct!A:A, "")*2</f>
        <v>2</v>
      </c>
      <c r="O129" s="118">
        <f>_xlfn.XLOOKUP(C129,'ct10'!B:B, 'ct10'!A:A, "")*2</f>
        <v>2</v>
      </c>
      <c r="P129" s="118">
        <f>_xlfn.XLOOKUP(C129,hosocancuoc!B:B, hosocancuoc!A:A, "")*2</f>
        <v>2</v>
      </c>
      <c r="Q129" s="118">
        <f>_xlfn.XLOOKUP(C129,hosocutru!B:B, hosocutru!A:A, "")*2</f>
        <v>2</v>
      </c>
      <c r="R129" s="118">
        <f>_xlfn.XLOOKUP(C129,bdhvs!B:B, bdhvs!A:A, "")</f>
        <v>1</v>
      </c>
      <c r="S129" s="118">
        <f>_xlfn.XLOOKUP(C129,lamsachdc01!B:B, lamsachdc01!A:A, "")</f>
        <v>1</v>
      </c>
      <c r="T129" s="118">
        <f>_xlfn.XLOOKUP(C129,huyso!B:B, huyso!A:A, "")</f>
        <v>1</v>
      </c>
      <c r="U129" s="118">
        <f>_xlfn.XLOOKUP(C129,treem!B:B, treem!A:A, "")</f>
        <v>1</v>
      </c>
      <c r="V129" s="118">
        <f>_xlfn.XLOOKUP(C129,giaypheplaixe!B:B, giaypheplaixe!A:A, "")</f>
        <v>1</v>
      </c>
      <c r="W129" s="118">
        <f>_xlfn.XLOOKUP(C129,dangkyxe!B:B, dangkyxe!A:A, "")</f>
        <v>1</v>
      </c>
      <c r="X129" s="118"/>
    </row>
  </sheetData>
  <mergeCells count="5">
    <mergeCell ref="A4:D4"/>
    <mergeCell ref="A3:D3"/>
    <mergeCell ref="A1:I1"/>
    <mergeCell ref="E2:Q2"/>
    <mergeCell ref="R2:W2"/>
  </mergeCells>
  <phoneticPr fontId="8" type="noConversion"/>
  <conditionalFormatting sqref="E6:G129">
    <cfRule type="cellIs" dxfId="0" priority="1" operator="lessThan">
      <formula>1</formula>
    </cfRule>
  </conditionalFormatting>
  <pageMargins left="0.7" right="0.7" top="0.75" bottom="0.75" header="0.3" footer="0.3"/>
  <pageSetup paperSize="9" scale="60" fitToHeight="3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ECA1-6BCB-F24A-80DD-92AAF79DD5AF}">
  <dimension ref="A1:H127"/>
  <sheetViews>
    <sheetView tabSelected="1" workbookViewId="0">
      <selection activeCell="F13" sqref="F13"/>
    </sheetView>
  </sheetViews>
  <sheetFormatPr defaultColWidth="8.85546875" defaultRowHeight="14.25" x14ac:dyDescent="0.2"/>
  <cols>
    <col min="1" max="1" width="10.7109375" customWidth="1"/>
    <col min="2" max="2" width="24.140625" customWidth="1"/>
    <col min="3" max="4" width="14.85546875" customWidth="1"/>
    <col min="5" max="5" width="19.42578125" style="61" customWidth="1"/>
    <col min="6" max="7" width="13.85546875" customWidth="1"/>
    <col min="8" max="8" width="12.140625" customWidth="1"/>
  </cols>
  <sheetData>
    <row r="1" spans="1:8" s="10" customFormat="1" ht="33" customHeight="1" x14ac:dyDescent="0.2">
      <c r="A1" s="128" t="s">
        <v>245</v>
      </c>
      <c r="B1" s="128"/>
      <c r="C1" s="128"/>
      <c r="D1" s="128"/>
      <c r="E1" s="128"/>
      <c r="F1" s="128"/>
      <c r="G1" s="128"/>
      <c r="H1" s="128"/>
    </row>
    <row r="2" spans="1:8" ht="66" customHeight="1" x14ac:dyDescent="0.2">
      <c r="A2" s="23" t="s">
        <v>129</v>
      </c>
      <c r="B2" s="25" t="s">
        <v>221</v>
      </c>
      <c r="C2" s="25" t="s">
        <v>222</v>
      </c>
      <c r="D2" s="62" t="s">
        <v>223</v>
      </c>
      <c r="E2" s="63" t="s">
        <v>246</v>
      </c>
      <c r="F2" s="24" t="s">
        <v>247</v>
      </c>
      <c r="G2" s="26" t="s">
        <v>126</v>
      </c>
      <c r="H2" s="51" t="s">
        <v>219</v>
      </c>
    </row>
    <row r="3" spans="1:8" ht="18" customHeight="1" x14ac:dyDescent="0.2">
      <c r="A3" s="57"/>
      <c r="B3" s="25" t="s">
        <v>124</v>
      </c>
      <c r="C3" s="58"/>
      <c r="D3" s="66"/>
      <c r="E3" s="67">
        <f>SUM(E4:E127)</f>
        <v>0</v>
      </c>
      <c r="F3" s="24"/>
      <c r="G3" s="112">
        <v>1</v>
      </c>
      <c r="H3" s="51"/>
    </row>
    <row r="4" spans="1:8" ht="15.75" x14ac:dyDescent="0.2">
      <c r="A4" s="27" cm="1">
        <f t="array" ref="A4">1+COUNT(_xlfn.UNIQUE(_xlfn._xlws.FILTER($F$5:$F$127, $F$5:$F$127 &gt; F4)))</f>
        <v>3</v>
      </c>
      <c r="B4" s="52" t="s">
        <v>24</v>
      </c>
      <c r="C4" s="27"/>
      <c r="D4" s="64"/>
      <c r="E4" s="65"/>
      <c r="F4" s="54">
        <v>0.01</v>
      </c>
      <c r="G4" s="28">
        <v>1</v>
      </c>
      <c r="H4" s="55"/>
    </row>
    <row r="5" spans="1:8" ht="15.75" x14ac:dyDescent="0.2">
      <c r="A5" s="27">
        <f t="array" ref="A5">1+COUNT(_xlfn.UNIQUE(_xlfn._xlws.FILTER($F$5:$F$127, $F$5:$F$127 &gt; F5)))</f>
        <v>2</v>
      </c>
      <c r="B5" s="52" t="s">
        <v>17</v>
      </c>
      <c r="C5" s="27"/>
      <c r="D5" s="53"/>
      <c r="E5" s="59"/>
      <c r="F5" s="54">
        <v>0.02</v>
      </c>
      <c r="G5" s="28">
        <v>1</v>
      </c>
      <c r="H5" s="55"/>
    </row>
    <row r="6" spans="1:8" ht="15.75" x14ac:dyDescent="0.2">
      <c r="A6" s="27">
        <f t="array" ref="A6">1+COUNT(_xlfn.UNIQUE(_xlfn._xlws.FILTER($F$5:$F$127, $F$5:$F$127 &gt; F6)))</f>
        <v>1</v>
      </c>
      <c r="B6" s="52" t="s">
        <v>5</v>
      </c>
      <c r="C6" s="27"/>
      <c r="D6" s="53"/>
      <c r="E6" s="60"/>
      <c r="F6" s="54">
        <v>0.03</v>
      </c>
      <c r="G6" s="28">
        <v>1</v>
      </c>
      <c r="H6" s="55"/>
    </row>
    <row r="7" spans="1:8" ht="15.75" x14ac:dyDescent="0.2">
      <c r="A7" s="27">
        <f t="array" ref="A7">1+COUNT(_xlfn.UNIQUE(_xlfn._xlws.FILTER($F$5:$F$127, $F$5:$F$127 &gt; F7)))</f>
        <v>3</v>
      </c>
      <c r="B7" s="52" t="s">
        <v>2</v>
      </c>
      <c r="C7" s="27"/>
      <c r="D7" s="53"/>
      <c r="E7" s="59"/>
      <c r="F7" s="54"/>
      <c r="G7" s="28">
        <v>1</v>
      </c>
      <c r="H7" s="55"/>
    </row>
    <row r="8" spans="1:8" ht="15.75" x14ac:dyDescent="0.2">
      <c r="A8" s="27">
        <f t="array" ref="A8">1+COUNT(_xlfn.UNIQUE(_xlfn._xlws.FILTER($F$5:$F$127, $F$5:$F$127 &gt; F8)))</f>
        <v>3</v>
      </c>
      <c r="B8" s="52" t="s">
        <v>11</v>
      </c>
      <c r="C8" s="27"/>
      <c r="D8" s="53"/>
      <c r="E8" s="59"/>
      <c r="F8" s="54"/>
      <c r="G8" s="28">
        <v>1</v>
      </c>
      <c r="H8" s="55"/>
    </row>
    <row r="9" spans="1:8" ht="15.75" x14ac:dyDescent="0.2">
      <c r="A9" s="27">
        <f t="array" ref="A9">1+COUNT(_xlfn.UNIQUE(_xlfn._xlws.FILTER($F$5:$F$127, $F$5:$F$127 &gt; F9)))</f>
        <v>3</v>
      </c>
      <c r="B9" s="52" t="s">
        <v>59</v>
      </c>
      <c r="C9" s="27"/>
      <c r="D9" s="53"/>
      <c r="E9" s="59"/>
      <c r="F9" s="54"/>
      <c r="G9" s="28">
        <v>1</v>
      </c>
      <c r="H9" s="55"/>
    </row>
    <row r="10" spans="1:8" ht="15.75" x14ac:dyDescent="0.2">
      <c r="A10" s="27">
        <f t="array" ref="A10">1+COUNT(_xlfn.UNIQUE(_xlfn._xlws.FILTER($F$5:$F$127, $F$5:$F$127 &gt; F10)))</f>
        <v>3</v>
      </c>
      <c r="B10" s="52" t="s">
        <v>37</v>
      </c>
      <c r="C10" s="27"/>
      <c r="D10" s="53"/>
      <c r="E10" s="59"/>
      <c r="F10" s="54"/>
      <c r="G10" s="28">
        <v>1</v>
      </c>
      <c r="H10" s="55"/>
    </row>
    <row r="11" spans="1:8" ht="15.75" x14ac:dyDescent="0.2">
      <c r="A11" s="27">
        <f t="array" ref="A11">1+COUNT(_xlfn.UNIQUE(_xlfn._xlws.FILTER($F$5:$F$127, $F$5:$F$127 &gt; F11)))</f>
        <v>3</v>
      </c>
      <c r="B11" s="56" t="s">
        <v>15</v>
      </c>
      <c r="C11" s="27"/>
      <c r="D11" s="53"/>
      <c r="E11" s="59"/>
      <c r="F11" s="54"/>
      <c r="G11" s="28">
        <v>1</v>
      </c>
      <c r="H11" s="55"/>
    </row>
    <row r="12" spans="1:8" ht="15.75" x14ac:dyDescent="0.2">
      <c r="A12" s="27">
        <f t="array" ref="A12">1+COUNT(_xlfn.UNIQUE(_xlfn._xlws.FILTER($F$5:$F$127, $F$5:$F$127 &gt; F12)))</f>
        <v>3</v>
      </c>
      <c r="B12" s="56" t="s">
        <v>50</v>
      </c>
      <c r="C12" s="27"/>
      <c r="D12" s="53"/>
      <c r="E12" s="59"/>
      <c r="F12" s="54"/>
      <c r="G12" s="28">
        <v>1</v>
      </c>
      <c r="H12" s="55"/>
    </row>
    <row r="13" spans="1:8" ht="15.75" x14ac:dyDescent="0.2">
      <c r="A13" s="27">
        <f t="array" ref="A13">1+COUNT(_xlfn.UNIQUE(_xlfn._xlws.FILTER($F$5:$F$127, $F$5:$F$127 &gt; F13)))</f>
        <v>3</v>
      </c>
      <c r="B13" s="56" t="s">
        <v>57</v>
      </c>
      <c r="C13" s="27"/>
      <c r="D13" s="53"/>
      <c r="E13" s="59"/>
      <c r="F13" s="54"/>
      <c r="G13" s="28">
        <v>1</v>
      </c>
      <c r="H13" s="55"/>
    </row>
    <row r="14" spans="1:8" ht="15.75" x14ac:dyDescent="0.2">
      <c r="A14" s="27">
        <f t="array" ref="A14">1+COUNT(_xlfn.UNIQUE(_xlfn._xlws.FILTER($F$5:$F$127, $F$5:$F$127 &gt; F14)))</f>
        <v>3</v>
      </c>
      <c r="B14" s="56" t="s">
        <v>94</v>
      </c>
      <c r="C14" s="27"/>
      <c r="D14" s="53"/>
      <c r="E14" s="59"/>
      <c r="F14" s="54"/>
      <c r="G14" s="28">
        <v>1</v>
      </c>
      <c r="H14" s="55"/>
    </row>
    <row r="15" spans="1:8" ht="15.75" x14ac:dyDescent="0.2">
      <c r="A15" s="27">
        <f t="array" ref="A15">1+COUNT(_xlfn.UNIQUE(_xlfn._xlws.FILTER($F$5:$F$127, $F$5:$F$127 &gt; F15)))</f>
        <v>3</v>
      </c>
      <c r="B15" s="56" t="s">
        <v>40</v>
      </c>
      <c r="C15" s="27"/>
      <c r="D15" s="53"/>
      <c r="E15" s="59"/>
      <c r="F15" s="54"/>
      <c r="G15" s="28">
        <v>1</v>
      </c>
      <c r="H15" s="55"/>
    </row>
    <row r="16" spans="1:8" ht="15.75" x14ac:dyDescent="0.2">
      <c r="A16" s="27">
        <f t="array" ref="A16">1+COUNT(_xlfn.UNIQUE(_xlfn._xlws.FILTER($F$5:$F$127, $F$5:$F$127 &gt; F16)))</f>
        <v>3</v>
      </c>
      <c r="B16" s="56" t="s">
        <v>111</v>
      </c>
      <c r="C16" s="27"/>
      <c r="D16" s="53"/>
      <c r="E16" s="59"/>
      <c r="F16" s="54"/>
      <c r="G16" s="28">
        <v>1</v>
      </c>
      <c r="H16" s="55"/>
    </row>
    <row r="17" spans="1:8" ht="15.75" x14ac:dyDescent="0.2">
      <c r="A17" s="27">
        <f t="array" ref="A17">1+COUNT(_xlfn.UNIQUE(_xlfn._xlws.FILTER($F$5:$F$127, $F$5:$F$127 &gt; F17)))</f>
        <v>3</v>
      </c>
      <c r="B17" s="56" t="s">
        <v>87</v>
      </c>
      <c r="C17" s="27"/>
      <c r="D17" s="53"/>
      <c r="E17" s="59"/>
      <c r="F17" s="54"/>
      <c r="G17" s="28">
        <v>1</v>
      </c>
      <c r="H17" s="55"/>
    </row>
    <row r="18" spans="1:8" ht="15.75" x14ac:dyDescent="0.2">
      <c r="A18" s="27">
        <f t="array" ref="A18">1+COUNT(_xlfn.UNIQUE(_xlfn._xlws.FILTER($F$5:$F$127, $F$5:$F$127 &gt; F18)))</f>
        <v>3</v>
      </c>
      <c r="B18" s="56" t="s">
        <v>77</v>
      </c>
      <c r="C18" s="27"/>
      <c r="D18" s="53"/>
      <c r="E18" s="59"/>
      <c r="F18" s="54"/>
      <c r="G18" s="28">
        <v>1</v>
      </c>
      <c r="H18" s="55"/>
    </row>
    <row r="19" spans="1:8" ht="15.75" x14ac:dyDescent="0.2">
      <c r="A19" s="27">
        <f t="array" ref="A19">1+COUNT(_xlfn.UNIQUE(_xlfn._xlws.FILTER($F$5:$F$127, $F$5:$F$127 &gt; F19)))</f>
        <v>3</v>
      </c>
      <c r="B19" s="56" t="s">
        <v>46</v>
      </c>
      <c r="C19" s="27"/>
      <c r="D19" s="53"/>
      <c r="E19" s="59"/>
      <c r="F19" s="54"/>
      <c r="G19" s="28">
        <v>1</v>
      </c>
      <c r="H19" s="55"/>
    </row>
    <row r="20" spans="1:8" ht="15.75" x14ac:dyDescent="0.2">
      <c r="A20" s="27">
        <f t="array" ref="A20">1+COUNT(_xlfn.UNIQUE(_xlfn._xlws.FILTER($F$5:$F$127, $F$5:$F$127 &gt; F20)))</f>
        <v>3</v>
      </c>
      <c r="B20" s="56" t="s">
        <v>64</v>
      </c>
      <c r="C20" s="27"/>
      <c r="D20" s="53"/>
      <c r="E20" s="59"/>
      <c r="F20" s="54"/>
      <c r="G20" s="28">
        <v>1</v>
      </c>
      <c r="H20" s="55"/>
    </row>
    <row r="21" spans="1:8" ht="15.75" x14ac:dyDescent="0.2">
      <c r="A21" s="27">
        <f t="array" ref="A21">1+COUNT(_xlfn.UNIQUE(_xlfn._xlws.FILTER($F$5:$F$127, $F$5:$F$127 &gt; F21)))</f>
        <v>3</v>
      </c>
      <c r="B21" s="56" t="s">
        <v>27</v>
      </c>
      <c r="C21" s="27"/>
      <c r="D21" s="53"/>
      <c r="E21" s="59"/>
      <c r="F21" s="54"/>
      <c r="G21" s="28">
        <v>1</v>
      </c>
      <c r="H21" s="55"/>
    </row>
    <row r="22" spans="1:8" ht="15.75" x14ac:dyDescent="0.2">
      <c r="A22" s="27">
        <f t="array" ref="A22">1+COUNT(_xlfn.UNIQUE(_xlfn._xlws.FILTER($F$5:$F$127, $F$5:$F$127 &gt; F22)))</f>
        <v>3</v>
      </c>
      <c r="B22" s="56" t="s">
        <v>110</v>
      </c>
      <c r="C22" s="27"/>
      <c r="D22" s="53"/>
      <c r="E22" s="59"/>
      <c r="F22" s="54"/>
      <c r="G22" s="28">
        <v>1</v>
      </c>
      <c r="H22" s="55"/>
    </row>
    <row r="23" spans="1:8" ht="15.75" x14ac:dyDescent="0.2">
      <c r="A23" s="27">
        <f t="array" ref="A23">1+COUNT(_xlfn.UNIQUE(_xlfn._xlws.FILTER($F$5:$F$127, $F$5:$F$127 &gt; F23)))</f>
        <v>3</v>
      </c>
      <c r="B23" s="56" t="s">
        <v>92</v>
      </c>
      <c r="C23" s="27"/>
      <c r="D23" s="53"/>
      <c r="E23" s="59"/>
      <c r="F23" s="54"/>
      <c r="G23" s="28">
        <v>1</v>
      </c>
      <c r="H23" s="55"/>
    </row>
    <row r="24" spans="1:8" ht="15.75" x14ac:dyDescent="0.2">
      <c r="A24" s="27">
        <f t="array" ref="A24">1+COUNT(_xlfn.UNIQUE(_xlfn._xlws.FILTER($F$5:$F$127, $F$5:$F$127 &gt; F24)))</f>
        <v>3</v>
      </c>
      <c r="B24" s="56" t="s">
        <v>22</v>
      </c>
      <c r="C24" s="27"/>
      <c r="D24" s="53"/>
      <c r="E24" s="59"/>
      <c r="F24" s="54"/>
      <c r="G24" s="28">
        <v>1</v>
      </c>
      <c r="H24" s="55"/>
    </row>
    <row r="25" spans="1:8" ht="15.75" x14ac:dyDescent="0.2">
      <c r="A25" s="27">
        <f t="array" ref="A25">1+COUNT(_xlfn.UNIQUE(_xlfn._xlws.FILTER($F$5:$F$127, $F$5:$F$127 &gt; F25)))</f>
        <v>3</v>
      </c>
      <c r="B25" s="56" t="s">
        <v>70</v>
      </c>
      <c r="C25" s="27"/>
      <c r="D25" s="53"/>
      <c r="E25" s="59"/>
      <c r="F25" s="54"/>
      <c r="G25" s="28">
        <v>1</v>
      </c>
      <c r="H25" s="55"/>
    </row>
    <row r="26" spans="1:8" ht="15.75" x14ac:dyDescent="0.2">
      <c r="A26" s="27">
        <f t="array" ref="A26">1+COUNT(_xlfn.UNIQUE(_xlfn._xlws.FILTER($F$5:$F$127, $F$5:$F$127 &gt; F26)))</f>
        <v>3</v>
      </c>
      <c r="B26" s="56" t="s">
        <v>116</v>
      </c>
      <c r="C26" s="27"/>
      <c r="D26" s="53"/>
      <c r="E26" s="59"/>
      <c r="F26" s="54"/>
      <c r="G26" s="28">
        <v>1</v>
      </c>
      <c r="H26" s="55"/>
    </row>
    <row r="27" spans="1:8" ht="15.75" x14ac:dyDescent="0.2">
      <c r="A27" s="27">
        <f t="array" ref="A27">1+COUNT(_xlfn.UNIQUE(_xlfn._xlws.FILTER($F$5:$F$127, $F$5:$F$127 &gt; F27)))</f>
        <v>3</v>
      </c>
      <c r="B27" s="56" t="s">
        <v>4</v>
      </c>
      <c r="C27" s="27"/>
      <c r="D27" s="53"/>
      <c r="E27" s="59"/>
      <c r="F27" s="54"/>
      <c r="G27" s="28">
        <v>1</v>
      </c>
      <c r="H27" s="55"/>
    </row>
    <row r="28" spans="1:8" ht="15.75" x14ac:dyDescent="0.2">
      <c r="A28" s="27">
        <f t="array" ref="A28">1+COUNT(_xlfn.UNIQUE(_xlfn._xlws.FILTER($F$5:$F$127, $F$5:$F$127 &gt; F28)))</f>
        <v>3</v>
      </c>
      <c r="B28" s="56" t="s">
        <v>58</v>
      </c>
      <c r="C28" s="27"/>
      <c r="D28" s="53"/>
      <c r="E28" s="59"/>
      <c r="F28" s="54"/>
      <c r="G28" s="28">
        <v>1</v>
      </c>
      <c r="H28" s="55"/>
    </row>
    <row r="29" spans="1:8" ht="15.75" x14ac:dyDescent="0.2">
      <c r="A29" s="27">
        <f t="array" ref="A29">1+COUNT(_xlfn.UNIQUE(_xlfn._xlws.FILTER($F$5:$F$127, $F$5:$F$127 &gt; F29)))</f>
        <v>3</v>
      </c>
      <c r="B29" s="56" t="s">
        <v>36</v>
      </c>
      <c r="C29" s="27"/>
      <c r="D29" s="53"/>
      <c r="E29" s="59"/>
      <c r="F29" s="54"/>
      <c r="G29" s="28">
        <v>1</v>
      </c>
      <c r="H29" s="55"/>
    </row>
    <row r="30" spans="1:8" ht="15.75" x14ac:dyDescent="0.2">
      <c r="A30" s="27">
        <f t="array" ref="A30">1+COUNT(_xlfn.UNIQUE(_xlfn._xlws.FILTER($F$5:$F$127, $F$5:$F$127 &gt; F30)))</f>
        <v>3</v>
      </c>
      <c r="B30" s="56" t="s">
        <v>78</v>
      </c>
      <c r="C30" s="27"/>
      <c r="D30" s="53"/>
      <c r="E30" s="59"/>
      <c r="F30" s="54"/>
      <c r="G30" s="28">
        <v>1</v>
      </c>
      <c r="H30" s="55"/>
    </row>
    <row r="31" spans="1:8" ht="15.75" x14ac:dyDescent="0.2">
      <c r="A31" s="27">
        <f t="array" ref="A31">1+COUNT(_xlfn.UNIQUE(_xlfn._xlws.FILTER($F$5:$F$127, $F$5:$F$127 &gt; F31)))</f>
        <v>3</v>
      </c>
      <c r="B31" s="56" t="s">
        <v>119</v>
      </c>
      <c r="C31" s="27"/>
      <c r="D31" s="53"/>
      <c r="E31" s="59"/>
      <c r="F31" s="54"/>
      <c r="G31" s="28">
        <v>1</v>
      </c>
      <c r="H31" s="55"/>
    </row>
    <row r="32" spans="1:8" ht="15.75" x14ac:dyDescent="0.2">
      <c r="A32" s="27">
        <f t="array" ref="A32">1+COUNT(_xlfn.UNIQUE(_xlfn._xlws.FILTER($F$5:$F$127, $F$5:$F$127 &gt; F32)))</f>
        <v>3</v>
      </c>
      <c r="B32" s="56" t="s">
        <v>68</v>
      </c>
      <c r="C32" s="27"/>
      <c r="D32" s="53"/>
      <c r="E32" s="59"/>
      <c r="F32" s="54"/>
      <c r="G32" s="28">
        <v>1</v>
      </c>
      <c r="H32" s="55"/>
    </row>
    <row r="33" spans="1:8" ht="15.75" x14ac:dyDescent="0.2">
      <c r="A33" s="27">
        <f t="array" ref="A33">1+COUNT(_xlfn.UNIQUE(_xlfn._xlws.FILTER($F$5:$F$127, $F$5:$F$127 &gt; F33)))</f>
        <v>3</v>
      </c>
      <c r="B33" s="56" t="s">
        <v>0</v>
      </c>
      <c r="C33" s="27"/>
      <c r="D33" s="53"/>
      <c r="E33" s="59"/>
      <c r="F33" s="54"/>
      <c r="G33" s="28">
        <v>1</v>
      </c>
      <c r="H33" s="55"/>
    </row>
    <row r="34" spans="1:8" ht="15.75" x14ac:dyDescent="0.2">
      <c r="A34" s="27">
        <f t="array" ref="A34">1+COUNT(_xlfn.UNIQUE(_xlfn._xlws.FILTER($F$5:$F$127, $F$5:$F$127 &gt; F34)))</f>
        <v>3</v>
      </c>
      <c r="B34" s="56" t="s">
        <v>21</v>
      </c>
      <c r="C34" s="27"/>
      <c r="D34" s="53"/>
      <c r="E34" s="59"/>
      <c r="F34" s="54"/>
      <c r="G34" s="28">
        <v>1</v>
      </c>
      <c r="H34" s="55"/>
    </row>
    <row r="35" spans="1:8" ht="15.75" x14ac:dyDescent="0.2">
      <c r="A35" s="27">
        <f t="array" ref="A35">1+COUNT(_xlfn.UNIQUE(_xlfn._xlws.FILTER($F$5:$F$127, $F$5:$F$127 &gt; F35)))</f>
        <v>3</v>
      </c>
      <c r="B35" s="56" t="s">
        <v>102</v>
      </c>
      <c r="C35" s="27"/>
      <c r="D35" s="53"/>
      <c r="E35" s="59"/>
      <c r="F35" s="54"/>
      <c r="G35" s="28">
        <v>1</v>
      </c>
      <c r="H35" s="55"/>
    </row>
    <row r="36" spans="1:8" ht="15.75" x14ac:dyDescent="0.2">
      <c r="A36" s="27">
        <f t="array" ref="A36">1+COUNT(_xlfn.UNIQUE(_xlfn._xlws.FILTER($F$5:$F$127, $F$5:$F$127 &gt; F36)))</f>
        <v>3</v>
      </c>
      <c r="B36" s="56" t="s">
        <v>29</v>
      </c>
      <c r="C36" s="27"/>
      <c r="D36" s="53"/>
      <c r="E36" s="59"/>
      <c r="F36" s="54"/>
      <c r="G36" s="28">
        <v>1</v>
      </c>
      <c r="H36" s="55"/>
    </row>
    <row r="37" spans="1:8" ht="15.75" x14ac:dyDescent="0.2">
      <c r="A37" s="27">
        <f t="array" ref="A37">1+COUNT(_xlfn.UNIQUE(_xlfn._xlws.FILTER($F$5:$F$127, $F$5:$F$127 &gt; F37)))</f>
        <v>3</v>
      </c>
      <c r="B37" s="56" t="s">
        <v>38</v>
      </c>
      <c r="C37" s="27"/>
      <c r="D37" s="53"/>
      <c r="E37" s="59"/>
      <c r="F37" s="54"/>
      <c r="G37" s="28">
        <v>1</v>
      </c>
      <c r="H37" s="55"/>
    </row>
    <row r="38" spans="1:8" ht="15.75" x14ac:dyDescent="0.2">
      <c r="A38" s="27">
        <f t="array" ref="A38">1+COUNT(_xlfn.UNIQUE(_xlfn._xlws.FILTER($F$5:$F$127, $F$5:$F$127 &gt; F38)))</f>
        <v>3</v>
      </c>
      <c r="B38" s="56" t="s">
        <v>69</v>
      </c>
      <c r="C38" s="27"/>
      <c r="D38" s="53"/>
      <c r="E38" s="59"/>
      <c r="F38" s="54"/>
      <c r="G38" s="28">
        <v>1</v>
      </c>
      <c r="H38" s="55"/>
    </row>
    <row r="39" spans="1:8" ht="15.75" x14ac:dyDescent="0.2">
      <c r="A39" s="27">
        <f t="array" ref="A39">1+COUNT(_xlfn.UNIQUE(_xlfn._xlws.FILTER($F$5:$F$127, $F$5:$F$127 &gt; F39)))</f>
        <v>3</v>
      </c>
      <c r="B39" s="56" t="s">
        <v>93</v>
      </c>
      <c r="C39" s="27"/>
      <c r="D39" s="53"/>
      <c r="E39" s="59"/>
      <c r="F39" s="54"/>
      <c r="G39" s="28">
        <v>1</v>
      </c>
      <c r="H39" s="55"/>
    </row>
    <row r="40" spans="1:8" ht="15.75" x14ac:dyDescent="0.2">
      <c r="A40" s="27">
        <f t="array" ref="A40">1+COUNT(_xlfn.UNIQUE(_xlfn._xlws.FILTER($F$5:$F$127, $F$5:$F$127 &gt; F40)))</f>
        <v>3</v>
      </c>
      <c r="B40" s="56" t="s">
        <v>65</v>
      </c>
      <c r="C40" s="27"/>
      <c r="D40" s="53"/>
      <c r="E40" s="59"/>
      <c r="F40" s="54"/>
      <c r="G40" s="28">
        <v>1</v>
      </c>
      <c r="H40" s="55"/>
    </row>
    <row r="41" spans="1:8" ht="15.75" x14ac:dyDescent="0.2">
      <c r="A41" s="27">
        <f t="array" ref="A41">1+COUNT(_xlfn.UNIQUE(_xlfn._xlws.FILTER($F$5:$F$127, $F$5:$F$127 &gt; F41)))</f>
        <v>3</v>
      </c>
      <c r="B41" s="56" t="s">
        <v>35</v>
      </c>
      <c r="C41" s="27"/>
      <c r="D41" s="53"/>
      <c r="E41" s="59"/>
      <c r="F41" s="54"/>
      <c r="G41" s="28">
        <v>1</v>
      </c>
      <c r="H41" s="55"/>
    </row>
    <row r="42" spans="1:8" ht="15.75" x14ac:dyDescent="0.2">
      <c r="A42" s="27">
        <f t="array" ref="A42">1+COUNT(_xlfn.UNIQUE(_xlfn._xlws.FILTER($F$5:$F$127, $F$5:$F$127 &gt; F42)))</f>
        <v>3</v>
      </c>
      <c r="B42" s="56" t="s">
        <v>39</v>
      </c>
      <c r="C42" s="27"/>
      <c r="D42" s="53"/>
      <c r="E42" s="59"/>
      <c r="F42" s="54"/>
      <c r="G42" s="28">
        <v>1</v>
      </c>
      <c r="H42" s="55"/>
    </row>
    <row r="43" spans="1:8" ht="15.75" x14ac:dyDescent="0.2">
      <c r="A43" s="27">
        <f t="array" ref="A43">1+COUNT(_xlfn.UNIQUE(_xlfn._xlws.FILTER($F$5:$F$127, $F$5:$F$127 &gt; F43)))</f>
        <v>3</v>
      </c>
      <c r="B43" s="56" t="s">
        <v>49</v>
      </c>
      <c r="C43" s="27"/>
      <c r="D43" s="53"/>
      <c r="E43" s="59"/>
      <c r="F43" s="54"/>
      <c r="G43" s="28">
        <v>1</v>
      </c>
      <c r="H43" s="55"/>
    </row>
    <row r="44" spans="1:8" ht="15.75" x14ac:dyDescent="0.2">
      <c r="A44" s="27">
        <f t="array" ref="A44">1+COUNT(_xlfn.UNIQUE(_xlfn._xlws.FILTER($F$5:$F$127, $F$5:$F$127 &gt; F44)))</f>
        <v>3</v>
      </c>
      <c r="B44" s="56" t="s">
        <v>71</v>
      </c>
      <c r="C44" s="27"/>
      <c r="D44" s="53"/>
      <c r="E44" s="59"/>
      <c r="F44" s="54"/>
      <c r="G44" s="28">
        <v>1</v>
      </c>
      <c r="H44" s="55"/>
    </row>
    <row r="45" spans="1:8" ht="15.75" x14ac:dyDescent="0.2">
      <c r="A45" s="27">
        <f t="array" ref="A45">1+COUNT(_xlfn.UNIQUE(_xlfn._xlws.FILTER($F$5:$F$127, $F$5:$F$127 &gt; F45)))</f>
        <v>3</v>
      </c>
      <c r="B45" s="56" t="s">
        <v>3</v>
      </c>
      <c r="C45" s="27"/>
      <c r="D45" s="53"/>
      <c r="E45" s="59"/>
      <c r="F45" s="54"/>
      <c r="G45" s="28">
        <v>1</v>
      </c>
      <c r="H45" s="55"/>
    </row>
    <row r="46" spans="1:8" ht="15.75" x14ac:dyDescent="0.2">
      <c r="A46" s="27">
        <f t="array" ref="A46">1+COUNT(_xlfn.UNIQUE(_xlfn._xlws.FILTER($F$5:$F$127, $F$5:$F$127 &gt; F46)))</f>
        <v>3</v>
      </c>
      <c r="B46" s="56" t="s">
        <v>56</v>
      </c>
      <c r="C46" s="27"/>
      <c r="D46" s="53"/>
      <c r="E46" s="59"/>
      <c r="F46" s="54"/>
      <c r="G46" s="28">
        <v>1</v>
      </c>
      <c r="H46" s="55"/>
    </row>
    <row r="47" spans="1:8" ht="15.75" x14ac:dyDescent="0.2">
      <c r="A47" s="27">
        <f t="array" ref="A47">1+COUNT(_xlfn.UNIQUE(_xlfn._xlws.FILTER($F$5:$F$127, $F$5:$F$127 &gt; F47)))</f>
        <v>3</v>
      </c>
      <c r="B47" s="56" t="s">
        <v>26</v>
      </c>
      <c r="C47" s="27"/>
      <c r="D47" s="53"/>
      <c r="E47" s="59"/>
      <c r="F47" s="54"/>
      <c r="G47" s="28">
        <v>1</v>
      </c>
      <c r="H47" s="55"/>
    </row>
    <row r="48" spans="1:8" ht="15.75" x14ac:dyDescent="0.2">
      <c r="A48" s="27">
        <f t="array" ref="A48">1+COUNT(_xlfn.UNIQUE(_xlfn._xlws.FILTER($F$5:$F$127, $F$5:$F$127 &gt; F48)))</f>
        <v>3</v>
      </c>
      <c r="B48" s="56" t="s">
        <v>33</v>
      </c>
      <c r="C48" s="27"/>
      <c r="D48" s="53"/>
      <c r="E48" s="59"/>
      <c r="F48" s="54"/>
      <c r="G48" s="28">
        <v>1</v>
      </c>
      <c r="H48" s="55"/>
    </row>
    <row r="49" spans="1:8" ht="15.75" x14ac:dyDescent="0.2">
      <c r="A49" s="27">
        <f t="array" ref="A49">1+COUNT(_xlfn.UNIQUE(_xlfn._xlws.FILTER($F$5:$F$127, $F$5:$F$127 &gt; F49)))</f>
        <v>3</v>
      </c>
      <c r="B49" s="56" t="s">
        <v>89</v>
      </c>
      <c r="C49" s="27"/>
      <c r="D49" s="53"/>
      <c r="E49" s="59"/>
      <c r="F49" s="54"/>
      <c r="G49" s="28">
        <v>1</v>
      </c>
      <c r="H49" s="55"/>
    </row>
    <row r="50" spans="1:8" ht="15.75" x14ac:dyDescent="0.2">
      <c r="A50" s="27">
        <f t="array" ref="A50">1+COUNT(_xlfn.UNIQUE(_xlfn._xlws.FILTER($F$5:$F$127, $F$5:$F$127 &gt; F50)))</f>
        <v>3</v>
      </c>
      <c r="B50" s="56" t="s">
        <v>112</v>
      </c>
      <c r="C50" s="27"/>
      <c r="D50" s="53"/>
      <c r="E50" s="59"/>
      <c r="F50" s="54"/>
      <c r="G50" s="28">
        <v>1</v>
      </c>
      <c r="H50" s="55"/>
    </row>
    <row r="51" spans="1:8" ht="15.75" x14ac:dyDescent="0.2">
      <c r="A51" s="27">
        <f t="array" ref="A51">1+COUNT(_xlfn.UNIQUE(_xlfn._xlws.FILTER($F$5:$F$127, $F$5:$F$127 &gt; F51)))</f>
        <v>3</v>
      </c>
      <c r="B51" s="56" t="s">
        <v>123</v>
      </c>
      <c r="C51" s="27"/>
      <c r="D51" s="53"/>
      <c r="E51" s="59"/>
      <c r="F51" s="54"/>
      <c r="G51" s="28">
        <v>1</v>
      </c>
      <c r="H51" s="55"/>
    </row>
    <row r="52" spans="1:8" ht="15.75" x14ac:dyDescent="0.2">
      <c r="A52" s="27">
        <f t="array" ref="A52">1+COUNT(_xlfn.UNIQUE(_xlfn._xlws.FILTER($F$5:$F$127, $F$5:$F$127 &gt; F52)))</f>
        <v>3</v>
      </c>
      <c r="B52" s="56" t="s">
        <v>79</v>
      </c>
      <c r="C52" s="27"/>
      <c r="D52" s="53"/>
      <c r="E52" s="59"/>
      <c r="F52" s="54"/>
      <c r="G52" s="28">
        <v>1</v>
      </c>
      <c r="H52" s="55"/>
    </row>
    <row r="53" spans="1:8" ht="15.75" x14ac:dyDescent="0.2">
      <c r="A53" s="27">
        <f t="array" ref="A53">1+COUNT(_xlfn.UNIQUE(_xlfn._xlws.FILTER($F$5:$F$127, $F$5:$F$127 &gt; F53)))</f>
        <v>3</v>
      </c>
      <c r="B53" s="56" t="s">
        <v>96</v>
      </c>
      <c r="C53" s="27"/>
      <c r="D53" s="53"/>
      <c r="E53" s="59"/>
      <c r="F53" s="54"/>
      <c r="G53" s="28">
        <v>1</v>
      </c>
      <c r="H53" s="55"/>
    </row>
    <row r="54" spans="1:8" ht="15.75" x14ac:dyDescent="0.2">
      <c r="A54" s="27">
        <f t="array" ref="A54">1+COUNT(_xlfn.UNIQUE(_xlfn._xlws.FILTER($F$5:$F$127, $F$5:$F$127 &gt; F54)))</f>
        <v>3</v>
      </c>
      <c r="B54" s="56" t="s">
        <v>108</v>
      </c>
      <c r="C54" s="27"/>
      <c r="D54" s="53"/>
      <c r="E54" s="59"/>
      <c r="F54" s="54"/>
      <c r="G54" s="28">
        <v>1</v>
      </c>
      <c r="H54" s="55"/>
    </row>
    <row r="55" spans="1:8" ht="15.75" x14ac:dyDescent="0.2">
      <c r="A55" s="27">
        <f t="array" ref="A55">1+COUNT(_xlfn.UNIQUE(_xlfn._xlws.FILTER($F$5:$F$127, $F$5:$F$127 &gt; F55)))</f>
        <v>3</v>
      </c>
      <c r="B55" s="56" t="s">
        <v>104</v>
      </c>
      <c r="C55" s="27"/>
      <c r="D55" s="53"/>
      <c r="E55" s="59"/>
      <c r="F55" s="54"/>
      <c r="G55" s="28">
        <v>1</v>
      </c>
      <c r="H55" s="55"/>
    </row>
    <row r="56" spans="1:8" ht="15.75" x14ac:dyDescent="0.2">
      <c r="A56" s="27">
        <f t="array" ref="A56">1+COUNT(_xlfn.UNIQUE(_xlfn._xlws.FILTER($F$5:$F$127, $F$5:$F$127 &gt; F56)))</f>
        <v>3</v>
      </c>
      <c r="B56" s="56" t="s">
        <v>106</v>
      </c>
      <c r="C56" s="27"/>
      <c r="D56" s="53"/>
      <c r="E56" s="59"/>
      <c r="F56" s="54"/>
      <c r="G56" s="28">
        <v>1</v>
      </c>
      <c r="H56" s="55"/>
    </row>
    <row r="57" spans="1:8" ht="15.75" x14ac:dyDescent="0.2">
      <c r="A57" s="27">
        <f t="array" ref="A57">1+COUNT(_xlfn.UNIQUE(_xlfn._xlws.FILTER($F$5:$F$127, $F$5:$F$127 &gt; F57)))</f>
        <v>3</v>
      </c>
      <c r="B57" s="56" t="s">
        <v>7</v>
      </c>
      <c r="C57" s="27"/>
      <c r="D57" s="53"/>
      <c r="E57" s="59"/>
      <c r="F57" s="54"/>
      <c r="G57" s="28">
        <v>1</v>
      </c>
      <c r="H57" s="55"/>
    </row>
    <row r="58" spans="1:8" ht="15.75" x14ac:dyDescent="0.2">
      <c r="A58" s="27">
        <f t="array" ref="A58">1+COUNT(_xlfn.UNIQUE(_xlfn._xlws.FILTER($F$5:$F$127, $F$5:$F$127 &gt; F58)))</f>
        <v>3</v>
      </c>
      <c r="B58" s="56" t="s">
        <v>95</v>
      </c>
      <c r="C58" s="27"/>
      <c r="D58" s="53"/>
      <c r="E58" s="59"/>
      <c r="F58" s="54"/>
      <c r="G58" s="28">
        <v>1</v>
      </c>
      <c r="H58" s="55"/>
    </row>
    <row r="59" spans="1:8" ht="15.75" x14ac:dyDescent="0.2">
      <c r="A59" s="27">
        <f t="array" ref="A59">1+COUNT(_xlfn.UNIQUE(_xlfn._xlws.FILTER($F$5:$F$127, $F$5:$F$127 &gt; F59)))</f>
        <v>3</v>
      </c>
      <c r="B59" s="56" t="s">
        <v>30</v>
      </c>
      <c r="C59" s="27"/>
      <c r="D59" s="53"/>
      <c r="E59" s="59"/>
      <c r="F59" s="54"/>
      <c r="G59" s="28">
        <v>1</v>
      </c>
      <c r="H59" s="55"/>
    </row>
    <row r="60" spans="1:8" ht="15.75" x14ac:dyDescent="0.2">
      <c r="A60" s="27">
        <f t="array" ref="A60">1+COUNT(_xlfn.UNIQUE(_xlfn._xlws.FILTER($F$5:$F$127, $F$5:$F$127 &gt; F60)))</f>
        <v>3</v>
      </c>
      <c r="B60" s="56" t="s">
        <v>80</v>
      </c>
      <c r="C60" s="27"/>
      <c r="D60" s="53"/>
      <c r="E60" s="59"/>
      <c r="F60" s="54"/>
      <c r="G60" s="28">
        <v>1</v>
      </c>
      <c r="H60" s="55"/>
    </row>
    <row r="61" spans="1:8" ht="15.75" x14ac:dyDescent="0.2">
      <c r="A61" s="27">
        <f t="array" ref="A61">1+COUNT(_xlfn.UNIQUE(_xlfn._xlws.FILTER($F$5:$F$127, $F$5:$F$127 &gt; F61)))</f>
        <v>3</v>
      </c>
      <c r="B61" s="56" t="s">
        <v>82</v>
      </c>
      <c r="C61" s="27"/>
      <c r="D61" s="53"/>
      <c r="E61" s="59"/>
      <c r="F61" s="54"/>
      <c r="G61" s="28">
        <v>1</v>
      </c>
      <c r="H61" s="55"/>
    </row>
    <row r="62" spans="1:8" ht="15.75" x14ac:dyDescent="0.2">
      <c r="A62" s="27">
        <f t="array" ref="A62">1+COUNT(_xlfn.UNIQUE(_xlfn._xlws.FILTER($F$5:$F$127, $F$5:$F$127 &gt; F62)))</f>
        <v>3</v>
      </c>
      <c r="B62" s="56" t="s">
        <v>47</v>
      </c>
      <c r="C62" s="27"/>
      <c r="D62" s="53"/>
      <c r="E62" s="59"/>
      <c r="F62" s="54"/>
      <c r="G62" s="28">
        <v>1</v>
      </c>
      <c r="H62" s="55"/>
    </row>
    <row r="63" spans="1:8" ht="15.75" x14ac:dyDescent="0.2">
      <c r="A63" s="27">
        <f t="array" ref="A63">1+COUNT(_xlfn.UNIQUE(_xlfn._xlws.FILTER($F$5:$F$127, $F$5:$F$127 &gt; F63)))</f>
        <v>3</v>
      </c>
      <c r="B63" s="56" t="s">
        <v>28</v>
      </c>
      <c r="C63" s="27"/>
      <c r="D63" s="53"/>
      <c r="E63" s="59"/>
      <c r="F63" s="54"/>
      <c r="G63" s="28">
        <v>1</v>
      </c>
      <c r="H63" s="55"/>
    </row>
    <row r="64" spans="1:8" ht="15.75" x14ac:dyDescent="0.2">
      <c r="A64" s="27">
        <f t="array" ref="A64">1+COUNT(_xlfn.UNIQUE(_xlfn._xlws.FILTER($F$5:$F$127, $F$5:$F$127 &gt; F64)))</f>
        <v>3</v>
      </c>
      <c r="B64" s="56" t="s">
        <v>107</v>
      </c>
      <c r="C64" s="27"/>
      <c r="D64" s="53"/>
      <c r="E64" s="59"/>
      <c r="F64" s="54"/>
      <c r="G64" s="28">
        <v>1</v>
      </c>
      <c r="H64" s="55"/>
    </row>
    <row r="65" spans="1:8" ht="15.75" x14ac:dyDescent="0.2">
      <c r="A65" s="27">
        <f t="array" ref="A65">1+COUNT(_xlfn.UNIQUE(_xlfn._xlws.FILTER($F$5:$F$127, $F$5:$F$127 &gt; F65)))</f>
        <v>3</v>
      </c>
      <c r="B65" s="56" t="s">
        <v>105</v>
      </c>
      <c r="C65" s="27"/>
      <c r="D65" s="53"/>
      <c r="E65" s="59"/>
      <c r="F65" s="54"/>
      <c r="G65" s="28">
        <v>1</v>
      </c>
      <c r="H65" s="55"/>
    </row>
    <row r="66" spans="1:8" ht="15.75" x14ac:dyDescent="0.2">
      <c r="A66" s="27">
        <f t="array" ref="A66">1+COUNT(_xlfn.UNIQUE(_xlfn._xlws.FILTER($F$5:$F$127, $F$5:$F$127 &gt; F66)))</f>
        <v>3</v>
      </c>
      <c r="B66" s="56" t="s">
        <v>97</v>
      </c>
      <c r="C66" s="27"/>
      <c r="D66" s="53"/>
      <c r="E66" s="59"/>
      <c r="F66" s="54"/>
      <c r="G66" s="28">
        <v>1</v>
      </c>
      <c r="H66" s="55"/>
    </row>
    <row r="67" spans="1:8" ht="15.75" x14ac:dyDescent="0.2">
      <c r="A67" s="27">
        <f t="array" ref="A67">1+COUNT(_xlfn.UNIQUE(_xlfn._xlws.FILTER($F$5:$F$127, $F$5:$F$127 &gt; F67)))</f>
        <v>3</v>
      </c>
      <c r="B67" s="56" t="s">
        <v>76</v>
      </c>
      <c r="C67" s="27"/>
      <c r="D67" s="53"/>
      <c r="E67" s="59"/>
      <c r="F67" s="54"/>
      <c r="G67" s="28">
        <v>1</v>
      </c>
      <c r="H67" s="55"/>
    </row>
    <row r="68" spans="1:8" ht="15.75" x14ac:dyDescent="0.2">
      <c r="A68" s="27">
        <f t="array" ref="A68">1+COUNT(_xlfn.UNIQUE(_xlfn._xlws.FILTER($F$5:$F$127, $F$5:$F$127 &gt; F68)))</f>
        <v>3</v>
      </c>
      <c r="B68" s="56" t="s">
        <v>118</v>
      </c>
      <c r="C68" s="27"/>
      <c r="D68" s="53"/>
      <c r="E68" s="59"/>
      <c r="F68" s="54"/>
      <c r="G68" s="28">
        <v>1</v>
      </c>
      <c r="H68" s="55"/>
    </row>
    <row r="69" spans="1:8" ht="15.75" x14ac:dyDescent="0.2">
      <c r="A69" s="27">
        <f t="array" ref="A69">1+COUNT(_xlfn.UNIQUE(_xlfn._xlws.FILTER($F$5:$F$127, $F$5:$F$127 &gt; F69)))</f>
        <v>3</v>
      </c>
      <c r="B69" s="56" t="s">
        <v>43</v>
      </c>
      <c r="C69" s="27"/>
      <c r="D69" s="53"/>
      <c r="E69" s="59"/>
      <c r="F69" s="54"/>
      <c r="G69" s="28">
        <v>1</v>
      </c>
      <c r="H69" s="55"/>
    </row>
    <row r="70" spans="1:8" ht="15.75" x14ac:dyDescent="0.2">
      <c r="A70" s="27">
        <f t="array" ref="A70">1+COUNT(_xlfn.UNIQUE(_xlfn._xlws.FILTER($F$5:$F$127, $F$5:$F$127 &gt; F70)))</f>
        <v>3</v>
      </c>
      <c r="B70" s="56" t="s">
        <v>73</v>
      </c>
      <c r="C70" s="27"/>
      <c r="D70" s="53"/>
      <c r="E70" s="59"/>
      <c r="F70" s="54"/>
      <c r="G70" s="28">
        <v>1</v>
      </c>
      <c r="H70" s="55"/>
    </row>
    <row r="71" spans="1:8" ht="15.75" x14ac:dyDescent="0.2">
      <c r="A71" s="27">
        <f t="array" ref="A71">1+COUNT(_xlfn.UNIQUE(_xlfn._xlws.FILTER($F$5:$F$127, $F$5:$F$127 &gt; F71)))</f>
        <v>3</v>
      </c>
      <c r="B71" s="56" t="s">
        <v>23</v>
      </c>
      <c r="C71" s="27"/>
      <c r="D71" s="53"/>
      <c r="E71" s="59"/>
      <c r="F71" s="54"/>
      <c r="G71" s="28">
        <v>1</v>
      </c>
      <c r="H71" s="55"/>
    </row>
    <row r="72" spans="1:8" ht="15.75" x14ac:dyDescent="0.2">
      <c r="A72" s="27">
        <f t="array" ref="A72">1+COUNT(_xlfn.UNIQUE(_xlfn._xlws.FILTER($F$5:$F$127, $F$5:$F$127 &gt; F72)))</f>
        <v>3</v>
      </c>
      <c r="B72" s="56" t="s">
        <v>114</v>
      </c>
      <c r="C72" s="27"/>
      <c r="D72" s="53"/>
      <c r="E72" s="59"/>
      <c r="F72" s="54"/>
      <c r="G72" s="28">
        <v>1</v>
      </c>
      <c r="H72" s="55"/>
    </row>
    <row r="73" spans="1:8" ht="15.75" x14ac:dyDescent="0.2">
      <c r="A73" s="27">
        <f t="array" ref="A73">1+COUNT(_xlfn.UNIQUE(_xlfn._xlws.FILTER($F$5:$F$127, $F$5:$F$127 &gt; F73)))</f>
        <v>3</v>
      </c>
      <c r="B73" s="56" t="s">
        <v>85</v>
      </c>
      <c r="C73" s="27"/>
      <c r="D73" s="53"/>
      <c r="E73" s="59"/>
      <c r="F73" s="54"/>
      <c r="G73" s="28">
        <v>1</v>
      </c>
      <c r="H73" s="55"/>
    </row>
    <row r="74" spans="1:8" ht="15.75" x14ac:dyDescent="0.2">
      <c r="A74" s="27">
        <f t="array" ref="A74">1+COUNT(_xlfn.UNIQUE(_xlfn._xlws.FILTER($F$5:$F$127, $F$5:$F$127 &gt; F74)))</f>
        <v>3</v>
      </c>
      <c r="B74" s="56" t="s">
        <v>60</v>
      </c>
      <c r="C74" s="27"/>
      <c r="D74" s="53"/>
      <c r="E74" s="59"/>
      <c r="F74" s="54"/>
      <c r="G74" s="28">
        <v>1</v>
      </c>
      <c r="H74" s="55"/>
    </row>
    <row r="75" spans="1:8" ht="15.75" x14ac:dyDescent="0.2">
      <c r="A75" s="27">
        <f t="array" ref="A75">1+COUNT(_xlfn.UNIQUE(_xlfn._xlws.FILTER($F$5:$F$127, $F$5:$F$127 &gt; F75)))</f>
        <v>3</v>
      </c>
      <c r="B75" s="56" t="s">
        <v>44</v>
      </c>
      <c r="C75" s="27"/>
      <c r="D75" s="53"/>
      <c r="E75" s="59"/>
      <c r="F75" s="54"/>
      <c r="G75" s="28">
        <v>1</v>
      </c>
      <c r="H75" s="55"/>
    </row>
    <row r="76" spans="1:8" ht="15.75" x14ac:dyDescent="0.2">
      <c r="A76" s="27">
        <f t="array" ref="A76">1+COUNT(_xlfn.UNIQUE(_xlfn._xlws.FILTER($F$5:$F$127, $F$5:$F$127 &gt; F76)))</f>
        <v>3</v>
      </c>
      <c r="B76" s="56" t="s">
        <v>91</v>
      </c>
      <c r="C76" s="27"/>
      <c r="D76" s="53"/>
      <c r="E76" s="59"/>
      <c r="F76" s="54"/>
      <c r="G76" s="28">
        <v>1</v>
      </c>
      <c r="H76" s="55"/>
    </row>
    <row r="77" spans="1:8" ht="15.75" x14ac:dyDescent="0.2">
      <c r="A77" s="27">
        <f t="array" ref="A77">1+COUNT(_xlfn.UNIQUE(_xlfn._xlws.FILTER($F$5:$F$127, $F$5:$F$127 &gt; F77)))</f>
        <v>3</v>
      </c>
      <c r="B77" s="56" t="s">
        <v>10</v>
      </c>
      <c r="C77" s="27"/>
      <c r="D77" s="53"/>
      <c r="E77" s="59"/>
      <c r="F77" s="54"/>
      <c r="G77" s="28">
        <v>1</v>
      </c>
      <c r="H77" s="55"/>
    </row>
    <row r="78" spans="1:8" ht="15.75" x14ac:dyDescent="0.2">
      <c r="A78" s="27">
        <f t="array" ref="A78">1+COUNT(_xlfn.UNIQUE(_xlfn._xlws.FILTER($F$5:$F$127, $F$5:$F$127 &gt; F78)))</f>
        <v>3</v>
      </c>
      <c r="B78" s="56" t="s">
        <v>6</v>
      </c>
      <c r="C78" s="27"/>
      <c r="D78" s="53"/>
      <c r="E78" s="59"/>
      <c r="F78" s="54"/>
      <c r="G78" s="28">
        <v>1</v>
      </c>
      <c r="H78" s="55"/>
    </row>
    <row r="79" spans="1:8" ht="15.75" x14ac:dyDescent="0.2">
      <c r="A79" s="27">
        <f t="array" ref="A79">1+COUNT(_xlfn.UNIQUE(_xlfn._xlws.FILTER($F$5:$F$127, $F$5:$F$127 &gt; F79)))</f>
        <v>3</v>
      </c>
      <c r="B79" s="56" t="s">
        <v>67</v>
      </c>
      <c r="C79" s="27"/>
      <c r="D79" s="53"/>
      <c r="E79" s="59"/>
      <c r="F79" s="54"/>
      <c r="G79" s="28">
        <v>1</v>
      </c>
      <c r="H79" s="55"/>
    </row>
    <row r="80" spans="1:8" ht="15.75" x14ac:dyDescent="0.2">
      <c r="A80" s="27">
        <f t="array" ref="A80">1+COUNT(_xlfn.UNIQUE(_xlfn._xlws.FILTER($F$5:$F$127, $F$5:$F$127 &gt; F80)))</f>
        <v>3</v>
      </c>
      <c r="B80" s="56" t="s">
        <v>109</v>
      </c>
      <c r="C80" s="27"/>
      <c r="D80" s="53"/>
      <c r="E80" s="59"/>
      <c r="F80" s="54"/>
      <c r="G80" s="28">
        <v>1</v>
      </c>
      <c r="H80" s="55"/>
    </row>
    <row r="81" spans="1:8" ht="15.75" x14ac:dyDescent="0.2">
      <c r="A81" s="27">
        <f t="array" ref="A81">1+COUNT(_xlfn.UNIQUE(_xlfn._xlws.FILTER($F$5:$F$127, $F$5:$F$127 &gt; F81)))</f>
        <v>3</v>
      </c>
      <c r="B81" s="56" t="s">
        <v>32</v>
      </c>
      <c r="C81" s="27"/>
      <c r="D81" s="53"/>
      <c r="E81" s="59"/>
      <c r="F81" s="54"/>
      <c r="G81" s="28">
        <v>1</v>
      </c>
      <c r="H81" s="55"/>
    </row>
    <row r="82" spans="1:8" ht="15.75" x14ac:dyDescent="0.2">
      <c r="A82" s="27">
        <f t="array" ref="A82">1+COUNT(_xlfn.UNIQUE(_xlfn._xlws.FILTER($F$5:$F$127, $F$5:$F$127 &gt; F82)))</f>
        <v>3</v>
      </c>
      <c r="B82" s="56" t="s">
        <v>54</v>
      </c>
      <c r="C82" s="27"/>
      <c r="D82" s="53"/>
      <c r="E82" s="59"/>
      <c r="F82" s="54"/>
      <c r="G82" s="28">
        <v>1</v>
      </c>
      <c r="H82" s="55"/>
    </row>
    <row r="83" spans="1:8" ht="15.75" x14ac:dyDescent="0.2">
      <c r="A83" s="27">
        <f t="array" ref="A83">1+COUNT(_xlfn.UNIQUE(_xlfn._xlws.FILTER($F$5:$F$127, $F$5:$F$127 &gt; F83)))</f>
        <v>3</v>
      </c>
      <c r="B83" s="56" t="s">
        <v>62</v>
      </c>
      <c r="C83" s="27"/>
      <c r="D83" s="53"/>
      <c r="E83" s="59"/>
      <c r="F83" s="54"/>
      <c r="G83" s="28">
        <v>1</v>
      </c>
      <c r="H83" s="55"/>
    </row>
    <row r="84" spans="1:8" ht="15.75" x14ac:dyDescent="0.2">
      <c r="A84" s="27">
        <f t="array" ref="A84">1+COUNT(_xlfn.UNIQUE(_xlfn._xlws.FILTER($F$5:$F$127, $F$5:$F$127 &gt; F84)))</f>
        <v>3</v>
      </c>
      <c r="B84" s="56" t="s">
        <v>74</v>
      </c>
      <c r="C84" s="27"/>
      <c r="D84" s="53"/>
      <c r="E84" s="59"/>
      <c r="F84" s="54"/>
      <c r="G84" s="28">
        <v>1</v>
      </c>
      <c r="H84" s="55"/>
    </row>
    <row r="85" spans="1:8" ht="15.75" x14ac:dyDescent="0.2">
      <c r="A85" s="27">
        <f t="array" ref="A85">1+COUNT(_xlfn.UNIQUE(_xlfn._xlws.FILTER($F$5:$F$127, $F$5:$F$127 &gt; F85)))</f>
        <v>3</v>
      </c>
      <c r="B85" s="56" t="s">
        <v>42</v>
      </c>
      <c r="C85" s="27"/>
      <c r="D85" s="53"/>
      <c r="E85" s="59"/>
      <c r="F85" s="54"/>
      <c r="G85" s="28">
        <v>1</v>
      </c>
      <c r="H85" s="55"/>
    </row>
    <row r="86" spans="1:8" ht="15.75" x14ac:dyDescent="0.2">
      <c r="A86" s="27">
        <f t="array" ref="A86">1+COUNT(_xlfn.UNIQUE(_xlfn._xlws.FILTER($F$5:$F$127, $F$5:$F$127 &gt; F86)))</f>
        <v>3</v>
      </c>
      <c r="B86" s="56" t="s">
        <v>31</v>
      </c>
      <c r="C86" s="27"/>
      <c r="D86" s="53"/>
      <c r="E86" s="59"/>
      <c r="F86" s="54"/>
      <c r="G86" s="28">
        <v>1</v>
      </c>
      <c r="H86" s="55"/>
    </row>
    <row r="87" spans="1:8" ht="15.75" x14ac:dyDescent="0.2">
      <c r="A87" s="27">
        <f t="array" ref="A87">1+COUNT(_xlfn.UNIQUE(_xlfn._xlws.FILTER($F$5:$F$127, $F$5:$F$127 &gt; F87)))</f>
        <v>3</v>
      </c>
      <c r="B87" s="56" t="s">
        <v>16</v>
      </c>
      <c r="C87" s="27"/>
      <c r="D87" s="53"/>
      <c r="E87" s="59"/>
      <c r="F87" s="54"/>
      <c r="G87" s="28">
        <v>1</v>
      </c>
      <c r="H87" s="55"/>
    </row>
    <row r="88" spans="1:8" ht="15.75" x14ac:dyDescent="0.2">
      <c r="A88" s="27">
        <f t="array" ref="A88">1+COUNT(_xlfn.UNIQUE(_xlfn._xlws.FILTER($F$5:$F$127, $F$5:$F$127 &gt; F88)))</f>
        <v>3</v>
      </c>
      <c r="B88" s="56" t="s">
        <v>72</v>
      </c>
      <c r="C88" s="27"/>
      <c r="D88" s="53"/>
      <c r="E88" s="59"/>
      <c r="F88" s="54"/>
      <c r="G88" s="28">
        <v>1</v>
      </c>
      <c r="H88" s="55"/>
    </row>
    <row r="89" spans="1:8" ht="15.75" x14ac:dyDescent="0.2">
      <c r="A89" s="27">
        <f t="array" ref="A89">1+COUNT(_xlfn.UNIQUE(_xlfn._xlws.FILTER($F$5:$F$127, $F$5:$F$127 &gt; F89)))</f>
        <v>3</v>
      </c>
      <c r="B89" s="56" t="s">
        <v>63</v>
      </c>
      <c r="C89" s="27"/>
      <c r="D89" s="53"/>
      <c r="E89" s="59"/>
      <c r="F89" s="54"/>
      <c r="G89" s="28">
        <v>1</v>
      </c>
      <c r="H89" s="55"/>
    </row>
    <row r="90" spans="1:8" ht="15.75" x14ac:dyDescent="0.2">
      <c r="A90" s="27">
        <f t="array" ref="A90">1+COUNT(_xlfn.UNIQUE(_xlfn._xlws.FILTER($F$5:$F$127, $F$5:$F$127 &gt; F90)))</f>
        <v>3</v>
      </c>
      <c r="B90" s="56" t="s">
        <v>52</v>
      </c>
      <c r="C90" s="27"/>
      <c r="D90" s="53"/>
      <c r="E90" s="59"/>
      <c r="F90" s="54"/>
      <c r="G90" s="28">
        <v>1</v>
      </c>
      <c r="H90" s="55"/>
    </row>
    <row r="91" spans="1:8" ht="15.75" x14ac:dyDescent="0.2">
      <c r="A91" s="27">
        <f t="array" ref="A91">1+COUNT(_xlfn.UNIQUE(_xlfn._xlws.FILTER($F$5:$F$127, $F$5:$F$127 &gt; F91)))</f>
        <v>3</v>
      </c>
      <c r="B91" s="56" t="s">
        <v>9</v>
      </c>
      <c r="C91" s="27"/>
      <c r="D91" s="53"/>
      <c r="E91" s="59"/>
      <c r="F91" s="54"/>
      <c r="G91" s="28">
        <v>1</v>
      </c>
      <c r="H91" s="55"/>
    </row>
    <row r="92" spans="1:8" ht="15.75" x14ac:dyDescent="0.2">
      <c r="A92" s="27">
        <f t="array" ref="A92">1+COUNT(_xlfn.UNIQUE(_xlfn._xlws.FILTER($F$5:$F$127, $F$5:$F$127 &gt; F92)))</f>
        <v>3</v>
      </c>
      <c r="B92" s="56" t="s">
        <v>83</v>
      </c>
      <c r="C92" s="27"/>
      <c r="D92" s="53"/>
      <c r="E92" s="59"/>
      <c r="F92" s="54"/>
      <c r="G92" s="28">
        <v>1</v>
      </c>
      <c r="H92" s="55"/>
    </row>
    <row r="93" spans="1:8" ht="15.75" x14ac:dyDescent="0.2">
      <c r="A93" s="27">
        <f t="array" ref="A93">1+COUNT(_xlfn.UNIQUE(_xlfn._xlws.FILTER($F$5:$F$127, $F$5:$F$127 &gt; F93)))</f>
        <v>3</v>
      </c>
      <c r="B93" s="56" t="s">
        <v>117</v>
      </c>
      <c r="C93" s="27"/>
      <c r="D93" s="53"/>
      <c r="E93" s="59"/>
      <c r="F93" s="54"/>
      <c r="G93" s="28">
        <v>1</v>
      </c>
      <c r="H93" s="55"/>
    </row>
    <row r="94" spans="1:8" ht="15.75" x14ac:dyDescent="0.2">
      <c r="A94" s="27">
        <f t="array" ref="A94">1+COUNT(_xlfn.UNIQUE(_xlfn._xlws.FILTER($F$5:$F$127, $F$5:$F$127 &gt; F94)))</f>
        <v>3</v>
      </c>
      <c r="B94" s="56" t="s">
        <v>45</v>
      </c>
      <c r="C94" s="27"/>
      <c r="D94" s="53"/>
      <c r="E94" s="59"/>
      <c r="F94" s="54"/>
      <c r="G94" s="28">
        <v>1</v>
      </c>
      <c r="H94" s="55"/>
    </row>
    <row r="95" spans="1:8" ht="15.75" x14ac:dyDescent="0.2">
      <c r="A95" s="27">
        <f t="array" ref="A95">1+COUNT(_xlfn.UNIQUE(_xlfn._xlws.FILTER($F$5:$F$127, $F$5:$F$127 &gt; F95)))</f>
        <v>3</v>
      </c>
      <c r="B95" s="56" t="s">
        <v>51</v>
      </c>
      <c r="C95" s="27"/>
      <c r="D95" s="53"/>
      <c r="E95" s="59"/>
      <c r="F95" s="54"/>
      <c r="G95" s="28">
        <v>1</v>
      </c>
      <c r="H95" s="55"/>
    </row>
    <row r="96" spans="1:8" ht="15.75" x14ac:dyDescent="0.2">
      <c r="A96" s="27">
        <f t="array" ref="A96">1+COUNT(_xlfn.UNIQUE(_xlfn._xlws.FILTER($F$5:$F$127, $F$5:$F$127 &gt; F96)))</f>
        <v>3</v>
      </c>
      <c r="B96" s="56" t="s">
        <v>8</v>
      </c>
      <c r="C96" s="27"/>
      <c r="D96" s="53"/>
      <c r="E96" s="59"/>
      <c r="F96" s="54"/>
      <c r="G96" s="28">
        <v>1</v>
      </c>
      <c r="H96" s="55"/>
    </row>
    <row r="97" spans="1:8" ht="15.75" x14ac:dyDescent="0.2">
      <c r="A97" s="27">
        <f t="array" ref="A97">1+COUNT(_xlfn.UNIQUE(_xlfn._xlws.FILTER($F$5:$F$127, $F$5:$F$127 &gt; F97)))</f>
        <v>3</v>
      </c>
      <c r="B97" s="56" t="s">
        <v>86</v>
      </c>
      <c r="C97" s="27"/>
      <c r="D97" s="53"/>
      <c r="E97" s="59"/>
      <c r="F97" s="54"/>
      <c r="G97" s="28">
        <v>1</v>
      </c>
      <c r="H97" s="55"/>
    </row>
    <row r="98" spans="1:8" ht="15.75" x14ac:dyDescent="0.2">
      <c r="A98" s="27">
        <f t="array" ref="A98">1+COUNT(_xlfn.UNIQUE(_xlfn._xlws.FILTER($F$5:$F$127, $F$5:$F$127 &gt; F98)))</f>
        <v>3</v>
      </c>
      <c r="B98" s="56" t="s">
        <v>100</v>
      </c>
      <c r="C98" s="27"/>
      <c r="D98" s="53"/>
      <c r="E98" s="59"/>
      <c r="F98" s="54"/>
      <c r="G98" s="28">
        <v>1</v>
      </c>
      <c r="H98" s="55"/>
    </row>
    <row r="99" spans="1:8" ht="15.75" x14ac:dyDescent="0.2">
      <c r="A99" s="27">
        <f t="array" ref="A99">1+COUNT(_xlfn.UNIQUE(_xlfn._xlws.FILTER($F$5:$F$127, $F$5:$F$127 &gt; F99)))</f>
        <v>3</v>
      </c>
      <c r="B99" s="56" t="s">
        <v>122</v>
      </c>
      <c r="C99" s="27"/>
      <c r="D99" s="53"/>
      <c r="E99" s="59"/>
      <c r="F99" s="54"/>
      <c r="G99" s="28">
        <v>1</v>
      </c>
      <c r="H99" s="55"/>
    </row>
    <row r="100" spans="1:8" ht="15.75" x14ac:dyDescent="0.2">
      <c r="A100" s="27">
        <f t="array" ref="A100">1+COUNT(_xlfn.UNIQUE(_xlfn._xlws.FILTER($F$5:$F$127, $F$5:$F$127 &gt; F100)))</f>
        <v>3</v>
      </c>
      <c r="B100" s="56" t="s">
        <v>103</v>
      </c>
      <c r="C100" s="27"/>
      <c r="D100" s="53"/>
      <c r="E100" s="59"/>
      <c r="F100" s="54"/>
      <c r="G100" s="28">
        <v>1</v>
      </c>
      <c r="H100" s="55"/>
    </row>
    <row r="101" spans="1:8" ht="15.75" x14ac:dyDescent="0.2">
      <c r="A101" s="27">
        <f t="array" ref="A101">1+COUNT(_xlfn.UNIQUE(_xlfn._xlws.FILTER($F$5:$F$127, $F$5:$F$127 &gt; F101)))</f>
        <v>3</v>
      </c>
      <c r="B101" s="56" t="s">
        <v>115</v>
      </c>
      <c r="C101" s="27"/>
      <c r="D101" s="53"/>
      <c r="E101" s="59"/>
      <c r="F101" s="54"/>
      <c r="G101" s="28">
        <v>1</v>
      </c>
      <c r="H101" s="55"/>
    </row>
    <row r="102" spans="1:8" ht="15.75" x14ac:dyDescent="0.2">
      <c r="A102" s="27">
        <f t="array" ref="A102">1+COUNT(_xlfn.UNIQUE(_xlfn._xlws.FILTER($F$5:$F$127, $F$5:$F$127 &gt; F102)))</f>
        <v>3</v>
      </c>
      <c r="B102" s="56" t="s">
        <v>14</v>
      </c>
      <c r="C102" s="27"/>
      <c r="D102" s="53"/>
      <c r="E102" s="59"/>
      <c r="F102" s="54"/>
      <c r="G102" s="28">
        <v>1</v>
      </c>
      <c r="H102" s="55"/>
    </row>
    <row r="103" spans="1:8" ht="15.75" x14ac:dyDescent="0.2">
      <c r="A103" s="27">
        <f t="array" ref="A103">1+COUNT(_xlfn.UNIQUE(_xlfn._xlws.FILTER($F$5:$F$127, $F$5:$F$127 &gt; F103)))</f>
        <v>3</v>
      </c>
      <c r="B103" s="56" t="s">
        <v>90</v>
      </c>
      <c r="C103" s="27"/>
      <c r="D103" s="53"/>
      <c r="E103" s="59"/>
      <c r="F103" s="54"/>
      <c r="G103" s="28">
        <v>1</v>
      </c>
      <c r="H103" s="55"/>
    </row>
    <row r="104" spans="1:8" ht="15.75" x14ac:dyDescent="0.2">
      <c r="A104" s="27">
        <f t="array" ref="A104">1+COUNT(_xlfn.UNIQUE(_xlfn._xlws.FILTER($F$5:$F$127, $F$5:$F$127 &gt; F104)))</f>
        <v>3</v>
      </c>
      <c r="B104" s="56" t="s">
        <v>84</v>
      </c>
      <c r="C104" s="27"/>
      <c r="D104" s="53"/>
      <c r="E104" s="59"/>
      <c r="F104" s="54"/>
      <c r="G104" s="28">
        <v>1</v>
      </c>
      <c r="H104" s="55"/>
    </row>
    <row r="105" spans="1:8" ht="15.75" x14ac:dyDescent="0.2">
      <c r="A105" s="27">
        <f t="array" ref="A105">1+COUNT(_xlfn.UNIQUE(_xlfn._xlws.FILTER($F$5:$F$127, $F$5:$F$127 &gt; F105)))</f>
        <v>3</v>
      </c>
      <c r="B105" s="56" t="s">
        <v>101</v>
      </c>
      <c r="C105" s="27"/>
      <c r="D105" s="53"/>
      <c r="E105" s="59"/>
      <c r="F105" s="54"/>
      <c r="G105" s="28">
        <v>1</v>
      </c>
      <c r="H105" s="55"/>
    </row>
    <row r="106" spans="1:8" ht="15.75" x14ac:dyDescent="0.2">
      <c r="A106" s="27">
        <f t="array" ref="A106">1+COUNT(_xlfn.UNIQUE(_xlfn._xlws.FILTER($F$5:$F$127, $F$5:$F$127 &gt; F106)))</f>
        <v>3</v>
      </c>
      <c r="B106" s="56" t="s">
        <v>55</v>
      </c>
      <c r="C106" s="27"/>
      <c r="D106" s="53"/>
      <c r="E106" s="59"/>
      <c r="F106" s="54"/>
      <c r="G106" s="28">
        <v>1</v>
      </c>
      <c r="H106" s="55"/>
    </row>
    <row r="107" spans="1:8" ht="15.75" x14ac:dyDescent="0.2">
      <c r="A107" s="27">
        <f t="array" ref="A107">1+COUNT(_xlfn.UNIQUE(_xlfn._xlws.FILTER($F$5:$F$127, $F$5:$F$127 &gt; F107)))</f>
        <v>3</v>
      </c>
      <c r="B107" s="56" t="s">
        <v>48</v>
      </c>
      <c r="C107" s="27"/>
      <c r="D107" s="53"/>
      <c r="E107" s="59"/>
      <c r="F107" s="54"/>
      <c r="G107" s="28">
        <v>1</v>
      </c>
      <c r="H107" s="55"/>
    </row>
    <row r="108" spans="1:8" ht="15.75" x14ac:dyDescent="0.2">
      <c r="A108" s="27">
        <f t="array" ref="A108">1+COUNT(_xlfn.UNIQUE(_xlfn._xlws.FILTER($F$5:$F$127, $F$5:$F$127 &gt; F108)))</f>
        <v>3</v>
      </c>
      <c r="B108" s="56" t="s">
        <v>12</v>
      </c>
      <c r="C108" s="27"/>
      <c r="D108" s="53"/>
      <c r="E108" s="59"/>
      <c r="F108" s="54"/>
      <c r="G108" s="28">
        <v>1</v>
      </c>
      <c r="H108" s="55"/>
    </row>
    <row r="109" spans="1:8" ht="15.75" x14ac:dyDescent="0.2">
      <c r="A109" s="27">
        <f t="array" ref="A109">1+COUNT(_xlfn.UNIQUE(_xlfn._xlws.FILTER($F$5:$F$127, $F$5:$F$127 &gt; F109)))</f>
        <v>3</v>
      </c>
      <c r="B109" s="56" t="s">
        <v>34</v>
      </c>
      <c r="C109" s="27"/>
      <c r="D109" s="53"/>
      <c r="E109" s="59"/>
      <c r="F109" s="54"/>
      <c r="G109" s="28">
        <v>1</v>
      </c>
      <c r="H109" s="55"/>
    </row>
    <row r="110" spans="1:8" ht="15.75" x14ac:dyDescent="0.2">
      <c r="A110" s="27">
        <f t="array" ref="A110">1+COUNT(_xlfn.UNIQUE(_xlfn._xlws.FILTER($F$5:$F$127, $F$5:$F$127 &gt; F110)))</f>
        <v>3</v>
      </c>
      <c r="B110" s="56" t="s">
        <v>120</v>
      </c>
      <c r="C110" s="27"/>
      <c r="D110" s="53"/>
      <c r="E110" s="59"/>
      <c r="F110" s="54"/>
      <c r="G110" s="28">
        <v>1</v>
      </c>
      <c r="H110" s="55"/>
    </row>
    <row r="111" spans="1:8" ht="15.75" x14ac:dyDescent="0.2">
      <c r="A111" s="27">
        <f t="array" ref="A111">1+COUNT(_xlfn.UNIQUE(_xlfn._xlws.FILTER($F$5:$F$127, $F$5:$F$127 &gt; F111)))</f>
        <v>3</v>
      </c>
      <c r="B111" s="56" t="s">
        <v>61</v>
      </c>
      <c r="C111" s="27"/>
      <c r="D111" s="53"/>
      <c r="E111" s="59"/>
      <c r="F111" s="54"/>
      <c r="G111" s="28">
        <v>1</v>
      </c>
      <c r="H111" s="55"/>
    </row>
    <row r="112" spans="1:8" ht="15.75" x14ac:dyDescent="0.2">
      <c r="A112" s="27">
        <f t="array" ref="A112">1+COUNT(_xlfn.UNIQUE(_xlfn._xlws.FILTER($F$5:$F$127, $F$5:$F$127 &gt; F112)))</f>
        <v>3</v>
      </c>
      <c r="B112" s="56" t="s">
        <v>20</v>
      </c>
      <c r="C112" s="27"/>
      <c r="D112" s="53"/>
      <c r="E112" s="59"/>
      <c r="F112" s="54"/>
      <c r="G112" s="28">
        <v>1</v>
      </c>
      <c r="H112" s="55"/>
    </row>
    <row r="113" spans="1:8" ht="15.75" x14ac:dyDescent="0.2">
      <c r="A113" s="27">
        <f t="array" ref="A113">1+COUNT(_xlfn.UNIQUE(_xlfn._xlws.FILTER($F$5:$F$127, $F$5:$F$127 &gt; F113)))</f>
        <v>3</v>
      </c>
      <c r="B113" s="56" t="s">
        <v>113</v>
      </c>
      <c r="C113" s="27"/>
      <c r="D113" s="53"/>
      <c r="E113" s="59"/>
      <c r="F113" s="54"/>
      <c r="G113" s="28">
        <v>1</v>
      </c>
      <c r="H113" s="55"/>
    </row>
    <row r="114" spans="1:8" ht="15.75" x14ac:dyDescent="0.2">
      <c r="A114" s="27">
        <f t="array" ref="A114">1+COUNT(_xlfn.UNIQUE(_xlfn._xlws.FILTER($F$5:$F$127, $F$5:$F$127 &gt; F114)))</f>
        <v>3</v>
      </c>
      <c r="B114" s="56" t="s">
        <v>13</v>
      </c>
      <c r="C114" s="27"/>
      <c r="D114" s="53"/>
      <c r="E114" s="59"/>
      <c r="F114" s="54"/>
      <c r="G114" s="28">
        <v>1</v>
      </c>
      <c r="H114" s="55"/>
    </row>
    <row r="115" spans="1:8" ht="15.75" x14ac:dyDescent="0.2">
      <c r="A115" s="27">
        <f t="array" ref="A115">1+COUNT(_xlfn.UNIQUE(_xlfn._xlws.FILTER($F$5:$F$127, $F$5:$F$127 &gt; F115)))</f>
        <v>3</v>
      </c>
      <c r="B115" s="56" t="s">
        <v>18</v>
      </c>
      <c r="C115" s="27"/>
      <c r="D115" s="53"/>
      <c r="E115" s="59"/>
      <c r="F115" s="54"/>
      <c r="G115" s="28">
        <v>1</v>
      </c>
      <c r="H115" s="55"/>
    </row>
    <row r="116" spans="1:8" ht="15.75" x14ac:dyDescent="0.2">
      <c r="A116" s="27">
        <f t="array" ref="A116">1+COUNT(_xlfn.UNIQUE(_xlfn._xlws.FILTER($F$5:$F$127, $F$5:$F$127 &gt; F116)))</f>
        <v>3</v>
      </c>
      <c r="B116" s="56" t="s">
        <v>66</v>
      </c>
      <c r="C116" s="27"/>
      <c r="D116" s="53"/>
      <c r="E116" s="59"/>
      <c r="F116" s="54"/>
      <c r="G116" s="28">
        <v>1</v>
      </c>
      <c r="H116" s="55"/>
    </row>
    <row r="117" spans="1:8" ht="15.75" x14ac:dyDescent="0.2">
      <c r="A117" s="27">
        <f t="array" ref="A117">1+COUNT(_xlfn.UNIQUE(_xlfn._xlws.FILTER($F$5:$F$127, $F$5:$F$127 &gt; F117)))</f>
        <v>3</v>
      </c>
      <c r="B117" s="56" t="s">
        <v>98</v>
      </c>
      <c r="C117" s="27"/>
      <c r="D117" s="53"/>
      <c r="E117" s="59"/>
      <c r="F117" s="54"/>
      <c r="G117" s="28">
        <v>1</v>
      </c>
      <c r="H117" s="55"/>
    </row>
    <row r="118" spans="1:8" ht="15.75" x14ac:dyDescent="0.2">
      <c r="A118" s="27">
        <f t="array" ref="A118">1+COUNT(_xlfn.UNIQUE(_xlfn._xlws.FILTER($F$5:$F$127, $F$5:$F$127 &gt; F118)))</f>
        <v>3</v>
      </c>
      <c r="B118" s="56" t="s">
        <v>75</v>
      </c>
      <c r="C118" s="27"/>
      <c r="D118" s="53"/>
      <c r="E118" s="59"/>
      <c r="F118" s="54"/>
      <c r="G118" s="28">
        <v>1</v>
      </c>
      <c r="H118" s="55"/>
    </row>
    <row r="119" spans="1:8" ht="15.75" x14ac:dyDescent="0.2">
      <c r="A119" s="27">
        <f t="array" ref="A119">1+COUNT(_xlfn.UNIQUE(_xlfn._xlws.FILTER($F$5:$F$127, $F$5:$F$127 &gt; F119)))</f>
        <v>3</v>
      </c>
      <c r="B119" s="56" t="s">
        <v>19</v>
      </c>
      <c r="C119" s="27"/>
      <c r="D119" s="53"/>
      <c r="E119" s="59"/>
      <c r="F119" s="54"/>
      <c r="G119" s="28">
        <v>1</v>
      </c>
      <c r="H119" s="55"/>
    </row>
    <row r="120" spans="1:8" ht="15.75" x14ac:dyDescent="0.2">
      <c r="A120" s="27">
        <f t="array" ref="A120">1+COUNT(_xlfn.UNIQUE(_xlfn._xlws.FILTER($F$5:$F$127, $F$5:$F$127 &gt; F120)))</f>
        <v>3</v>
      </c>
      <c r="B120" s="56" t="s">
        <v>81</v>
      </c>
      <c r="C120" s="27"/>
      <c r="D120" s="53"/>
      <c r="E120" s="59"/>
      <c r="F120" s="54"/>
      <c r="G120" s="28">
        <v>1</v>
      </c>
      <c r="H120" s="55"/>
    </row>
    <row r="121" spans="1:8" ht="15.75" x14ac:dyDescent="0.2">
      <c r="A121" s="27">
        <f t="array" ref="A121">1+COUNT(_xlfn.UNIQUE(_xlfn._xlws.FILTER($F$5:$F$127, $F$5:$F$127 &gt; F121)))</f>
        <v>3</v>
      </c>
      <c r="B121" s="56" t="s">
        <v>88</v>
      </c>
      <c r="C121" s="27"/>
      <c r="D121" s="53"/>
      <c r="E121" s="59"/>
      <c r="F121" s="54"/>
      <c r="G121" s="28">
        <v>1</v>
      </c>
      <c r="H121" s="55"/>
    </row>
    <row r="122" spans="1:8" ht="15.75" x14ac:dyDescent="0.2">
      <c r="A122" s="27">
        <f t="array" ref="A122">1+COUNT(_xlfn.UNIQUE(_xlfn._xlws.FILTER($F$5:$F$127, $F$5:$F$127 &gt; F122)))</f>
        <v>3</v>
      </c>
      <c r="B122" s="56" t="s">
        <v>41</v>
      </c>
      <c r="C122" s="27"/>
      <c r="D122" s="53"/>
      <c r="E122" s="59"/>
      <c r="F122" s="54"/>
      <c r="G122" s="28">
        <v>1</v>
      </c>
      <c r="H122" s="55"/>
    </row>
    <row r="123" spans="1:8" ht="15.75" x14ac:dyDescent="0.2">
      <c r="A123" s="27">
        <f t="array" ref="A123">1+COUNT(_xlfn.UNIQUE(_xlfn._xlws.FILTER($F$5:$F$127, $F$5:$F$127 &gt; F123)))</f>
        <v>3</v>
      </c>
      <c r="B123" s="56" t="s">
        <v>53</v>
      </c>
      <c r="C123" s="27"/>
      <c r="D123" s="53"/>
      <c r="E123" s="59"/>
      <c r="F123" s="54"/>
      <c r="G123" s="28">
        <v>1</v>
      </c>
      <c r="H123" s="55"/>
    </row>
    <row r="124" spans="1:8" ht="15.75" x14ac:dyDescent="0.2">
      <c r="A124" s="27">
        <f t="array" ref="A124">1+COUNT(_xlfn.UNIQUE(_xlfn._xlws.FILTER($F$5:$F$127, $F$5:$F$127 &gt; F124)))</f>
        <v>3</v>
      </c>
      <c r="B124" s="56" t="s">
        <v>1</v>
      </c>
      <c r="C124" s="27"/>
      <c r="D124" s="53"/>
      <c r="E124" s="59"/>
      <c r="F124" s="54"/>
      <c r="G124" s="28">
        <v>1</v>
      </c>
      <c r="H124" s="55"/>
    </row>
    <row r="125" spans="1:8" ht="15.75" x14ac:dyDescent="0.2">
      <c r="A125" s="27">
        <f t="array" ref="A125">1+COUNT(_xlfn.UNIQUE(_xlfn._xlws.FILTER($F$5:$F$127, $F$5:$F$127 &gt; F125)))</f>
        <v>3</v>
      </c>
      <c r="B125" s="56" t="s">
        <v>99</v>
      </c>
      <c r="C125" s="27"/>
      <c r="D125" s="53"/>
      <c r="E125" s="59"/>
      <c r="F125" s="54"/>
      <c r="G125" s="28">
        <v>1</v>
      </c>
      <c r="H125" s="55"/>
    </row>
    <row r="126" spans="1:8" ht="15.75" x14ac:dyDescent="0.2">
      <c r="A126" s="27">
        <f t="array" ref="A126">1+COUNT(_xlfn.UNIQUE(_xlfn._xlws.FILTER($F$5:$F$127, $F$5:$F$127 &gt; F126)))</f>
        <v>3</v>
      </c>
      <c r="B126" s="56" t="s">
        <v>25</v>
      </c>
      <c r="C126" s="27"/>
      <c r="D126" s="53"/>
      <c r="E126" s="59"/>
      <c r="F126" s="54"/>
      <c r="G126" s="28">
        <v>1</v>
      </c>
      <c r="H126" s="55"/>
    </row>
    <row r="127" spans="1:8" ht="15.75" x14ac:dyDescent="0.2">
      <c r="A127" s="27">
        <f t="array" ref="A127">1+COUNT(_xlfn.UNIQUE(_xlfn._xlws.FILTER($F$5:$F$127, $F$5:$F$127 &gt; F127)))</f>
        <v>3</v>
      </c>
      <c r="B127" s="56" t="s">
        <v>121</v>
      </c>
      <c r="C127" s="27"/>
      <c r="D127" s="53"/>
      <c r="E127" s="59"/>
      <c r="F127" s="54"/>
      <c r="G127" s="28">
        <v>1</v>
      </c>
      <c r="H127" s="55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H1002"/>
  <sheetViews>
    <sheetView zoomScale="120" zoomScaleNormal="120" workbookViewId="0">
      <selection sqref="A1:XFD1048576"/>
    </sheetView>
  </sheetViews>
  <sheetFormatPr defaultColWidth="8.85546875" defaultRowHeight="15.75" customHeight="1" x14ac:dyDescent="0.2"/>
  <cols>
    <col min="1" max="1" width="7.140625" customWidth="1"/>
    <col min="2" max="2" width="24.140625" customWidth="1"/>
    <col min="3" max="4" width="14.85546875" customWidth="1"/>
    <col min="5" max="5" width="19.42578125" style="61" customWidth="1"/>
    <col min="6" max="7" width="13.85546875" customWidth="1"/>
    <col min="8" max="8" width="12.140625" customWidth="1"/>
  </cols>
  <sheetData>
    <row r="1" spans="1:8" s="10" customFormat="1" ht="33" customHeight="1" x14ac:dyDescent="0.2">
      <c r="A1" s="128" t="s">
        <v>220</v>
      </c>
      <c r="B1" s="128"/>
      <c r="C1" s="128"/>
      <c r="D1" s="128"/>
      <c r="E1" s="128"/>
      <c r="F1" s="128"/>
      <c r="G1" s="128"/>
      <c r="H1" s="128"/>
    </row>
    <row r="2" spans="1:8" ht="66" customHeight="1" x14ac:dyDescent="0.2">
      <c r="A2" s="23" t="s">
        <v>129</v>
      </c>
      <c r="B2" s="25" t="s">
        <v>221</v>
      </c>
      <c r="C2" s="25" t="s">
        <v>222</v>
      </c>
      <c r="D2" s="62" t="s">
        <v>223</v>
      </c>
      <c r="E2" s="63" t="s">
        <v>218</v>
      </c>
      <c r="F2" s="24" t="s">
        <v>125</v>
      </c>
      <c r="G2" s="26" t="s">
        <v>126</v>
      </c>
      <c r="H2" s="51" t="s">
        <v>219</v>
      </c>
    </row>
    <row r="3" spans="1:8" ht="18" customHeight="1" x14ac:dyDescent="0.2">
      <c r="A3" s="57"/>
      <c r="B3" s="25" t="s">
        <v>124</v>
      </c>
      <c r="C3" s="58"/>
      <c r="D3" s="66"/>
      <c r="E3" s="67">
        <f>SUM(E4:E127)</f>
        <v>1090437</v>
      </c>
      <c r="F3" s="24"/>
      <c r="G3" s="26"/>
      <c r="H3" s="51"/>
    </row>
    <row r="4" spans="1:8" x14ac:dyDescent="0.2">
      <c r="A4" s="27">
        <f t="array" ref="A4">1+COUNT(_xlfn.UNIQUE(_xlfn._xlws.FILTER($F$5:$F$127, $F$5:$F$127 &gt; F4)))</f>
        <v>1</v>
      </c>
      <c r="B4" s="52" t="s">
        <v>24</v>
      </c>
      <c r="C4" s="27"/>
      <c r="D4" s="64"/>
      <c r="E4" s="65">
        <v>28263</v>
      </c>
      <c r="F4" s="54"/>
      <c r="G4" s="28">
        <v>0.92</v>
      </c>
      <c r="H4" s="55"/>
    </row>
    <row r="5" spans="1:8" x14ac:dyDescent="0.2">
      <c r="A5" s="27">
        <f t="array" ref="A5">1+COUNT(_xlfn.UNIQUE(_xlfn._xlws.FILTER($F$5:$F$127, $F$5:$F$127 &gt; F5)))</f>
        <v>1</v>
      </c>
      <c r="B5" s="52" t="s">
        <v>17</v>
      </c>
      <c r="C5" s="27"/>
      <c r="D5" s="53"/>
      <c r="E5" s="59">
        <v>12739</v>
      </c>
      <c r="F5" s="54"/>
      <c r="G5" s="28">
        <v>0.92</v>
      </c>
      <c r="H5" s="55"/>
    </row>
    <row r="6" spans="1:8" x14ac:dyDescent="0.2">
      <c r="A6" s="27">
        <f t="array" ref="A6">1+COUNT(_xlfn.UNIQUE(_xlfn._xlws.FILTER($F$5:$F$127, $F$5:$F$127 &gt; F6)))</f>
        <v>1</v>
      </c>
      <c r="B6" s="52" t="s">
        <v>5</v>
      </c>
      <c r="C6" s="27"/>
      <c r="D6" s="53"/>
      <c r="E6" s="60">
        <v>15120</v>
      </c>
      <c r="F6" s="54"/>
      <c r="G6" s="28">
        <v>0.92</v>
      </c>
      <c r="H6" s="55"/>
    </row>
    <row r="7" spans="1:8" x14ac:dyDescent="0.2">
      <c r="A7" s="27">
        <f t="array" ref="A7">1+COUNT(_xlfn.UNIQUE(_xlfn._xlws.FILTER($F$5:$F$127, $F$5:$F$127 &gt; F7)))</f>
        <v>1</v>
      </c>
      <c r="B7" s="52" t="s">
        <v>2</v>
      </c>
      <c r="C7" s="27"/>
      <c r="D7" s="53"/>
      <c r="E7" s="59">
        <v>22922</v>
      </c>
      <c r="F7" s="54"/>
      <c r="G7" s="28">
        <v>0.92</v>
      </c>
      <c r="H7" s="55"/>
    </row>
    <row r="8" spans="1:8" x14ac:dyDescent="0.2">
      <c r="A8" s="27">
        <f t="array" ref="A8">1+COUNT(_xlfn.UNIQUE(_xlfn._xlws.FILTER($F$5:$F$127, $F$5:$F$127 &gt; F8)))</f>
        <v>1</v>
      </c>
      <c r="B8" s="52" t="s">
        <v>11</v>
      </c>
      <c r="C8" s="27"/>
      <c r="D8" s="53"/>
      <c r="E8" s="59">
        <v>46982</v>
      </c>
      <c r="F8" s="54"/>
      <c r="G8" s="28">
        <v>0.92</v>
      </c>
      <c r="H8" s="55"/>
    </row>
    <row r="9" spans="1:8" x14ac:dyDescent="0.2">
      <c r="A9" s="27">
        <f t="array" ref="A9">1+COUNT(_xlfn.UNIQUE(_xlfn._xlws.FILTER($F$5:$F$127, $F$5:$F$127 &gt; F9)))</f>
        <v>1</v>
      </c>
      <c r="B9" s="52" t="s">
        <v>59</v>
      </c>
      <c r="C9" s="27"/>
      <c r="D9" s="53"/>
      <c r="E9" s="59">
        <v>19486</v>
      </c>
      <c r="F9" s="54"/>
      <c r="G9" s="28">
        <v>0.92</v>
      </c>
      <c r="H9" s="55"/>
    </row>
    <row r="10" spans="1:8" x14ac:dyDescent="0.2">
      <c r="A10" s="27">
        <f t="array" ref="A10">1+COUNT(_xlfn.UNIQUE(_xlfn._xlws.FILTER($F$5:$F$127, $F$5:$F$127 &gt; F10)))</f>
        <v>1</v>
      </c>
      <c r="B10" s="52" t="s">
        <v>37</v>
      </c>
      <c r="C10" s="27"/>
      <c r="D10" s="53"/>
      <c r="E10" s="59">
        <v>10230</v>
      </c>
      <c r="F10" s="54"/>
      <c r="G10" s="28">
        <v>0.92</v>
      </c>
      <c r="H10" s="55"/>
    </row>
    <row r="11" spans="1:8" x14ac:dyDescent="0.2">
      <c r="A11" s="27">
        <f t="array" ref="A11">1+COUNT(_xlfn.UNIQUE(_xlfn._xlws.FILTER($F$5:$F$127, $F$5:$F$127 &gt; F11)))</f>
        <v>1</v>
      </c>
      <c r="B11" s="56" t="s">
        <v>15</v>
      </c>
      <c r="C11" s="27"/>
      <c r="D11" s="53"/>
      <c r="E11" s="59">
        <v>7983</v>
      </c>
      <c r="F11" s="54"/>
      <c r="G11" s="28">
        <v>0.87</v>
      </c>
      <c r="H11" s="55"/>
    </row>
    <row r="12" spans="1:8" x14ac:dyDescent="0.2">
      <c r="A12" s="27">
        <f t="array" ref="A12">1+COUNT(_xlfn.UNIQUE(_xlfn._xlws.FILTER($F$5:$F$127, $F$5:$F$127 &gt; F12)))</f>
        <v>1</v>
      </c>
      <c r="B12" s="56" t="s">
        <v>50</v>
      </c>
      <c r="C12" s="27"/>
      <c r="D12" s="53"/>
      <c r="E12" s="59">
        <v>23420</v>
      </c>
      <c r="F12" s="54"/>
      <c r="G12" s="28">
        <v>0.87</v>
      </c>
      <c r="H12" s="55"/>
    </row>
    <row r="13" spans="1:8" x14ac:dyDescent="0.2">
      <c r="A13" s="27">
        <f t="array" ref="A13">1+COUNT(_xlfn.UNIQUE(_xlfn._xlws.FILTER($F$5:$F$127, $F$5:$F$127 &gt; F13)))</f>
        <v>1</v>
      </c>
      <c r="B13" s="56" t="s">
        <v>57</v>
      </c>
      <c r="C13" s="27"/>
      <c r="D13" s="53"/>
      <c r="E13" s="59">
        <v>7770</v>
      </c>
      <c r="F13" s="54"/>
      <c r="G13" s="28">
        <v>0.82</v>
      </c>
      <c r="H13" s="55"/>
    </row>
    <row r="14" spans="1:8" x14ac:dyDescent="0.2">
      <c r="A14" s="27">
        <f t="array" ref="A14">1+COUNT(_xlfn.UNIQUE(_xlfn._xlws.FILTER($F$5:$F$127, $F$5:$F$127 &gt; F14)))</f>
        <v>1</v>
      </c>
      <c r="B14" s="56" t="s">
        <v>94</v>
      </c>
      <c r="C14" s="27"/>
      <c r="D14" s="53"/>
      <c r="E14" s="59">
        <v>5151</v>
      </c>
      <c r="F14" s="54"/>
      <c r="G14" s="28">
        <v>0.82</v>
      </c>
      <c r="H14" s="55"/>
    </row>
    <row r="15" spans="1:8" x14ac:dyDescent="0.2">
      <c r="A15" s="27">
        <f t="array" ref="A15">1+COUNT(_xlfn.UNIQUE(_xlfn._xlws.FILTER($F$5:$F$127, $F$5:$F$127 &gt; F15)))</f>
        <v>1</v>
      </c>
      <c r="B15" s="56" t="s">
        <v>40</v>
      </c>
      <c r="C15" s="27"/>
      <c r="D15" s="53"/>
      <c r="E15" s="59">
        <v>7418</v>
      </c>
      <c r="F15" s="54"/>
      <c r="G15" s="28">
        <v>0.82</v>
      </c>
      <c r="H15" s="55"/>
    </row>
    <row r="16" spans="1:8" x14ac:dyDescent="0.2">
      <c r="A16" s="27">
        <f t="array" ref="A16">1+COUNT(_xlfn.UNIQUE(_xlfn._xlws.FILTER($F$5:$F$127, $F$5:$F$127 &gt; F16)))</f>
        <v>1</v>
      </c>
      <c r="B16" s="56" t="s">
        <v>111</v>
      </c>
      <c r="C16" s="27"/>
      <c r="D16" s="53"/>
      <c r="E16" s="59">
        <v>5703</v>
      </c>
      <c r="F16" s="54"/>
      <c r="G16" s="28">
        <v>0.82</v>
      </c>
      <c r="H16" s="55"/>
    </row>
    <row r="17" spans="1:8" x14ac:dyDescent="0.2">
      <c r="A17" s="27">
        <f t="array" ref="A17">1+COUNT(_xlfn.UNIQUE(_xlfn._xlws.FILTER($F$5:$F$127, $F$5:$F$127 &gt; F17)))</f>
        <v>1</v>
      </c>
      <c r="B17" s="56" t="s">
        <v>87</v>
      </c>
      <c r="C17" s="27"/>
      <c r="D17" s="53"/>
      <c r="E17" s="59">
        <v>11282</v>
      </c>
      <c r="F17" s="54"/>
      <c r="G17" s="28">
        <v>0.82</v>
      </c>
      <c r="H17" s="55"/>
    </row>
    <row r="18" spans="1:8" x14ac:dyDescent="0.2">
      <c r="A18" s="27">
        <f t="array" ref="A18">1+COUNT(_xlfn.UNIQUE(_xlfn._xlws.FILTER($F$5:$F$127, $F$5:$F$127 &gt; F18)))</f>
        <v>1</v>
      </c>
      <c r="B18" s="56" t="s">
        <v>77</v>
      </c>
      <c r="C18" s="27"/>
      <c r="D18" s="53"/>
      <c r="E18" s="59">
        <v>8032</v>
      </c>
      <c r="F18" s="54"/>
      <c r="G18" s="28">
        <v>0.82</v>
      </c>
      <c r="H18" s="55"/>
    </row>
    <row r="19" spans="1:8" x14ac:dyDescent="0.2">
      <c r="A19" s="27">
        <f t="array" ref="A19">1+COUNT(_xlfn.UNIQUE(_xlfn._xlws.FILTER($F$5:$F$127, $F$5:$F$127 &gt; F19)))</f>
        <v>1</v>
      </c>
      <c r="B19" s="56" t="s">
        <v>46</v>
      </c>
      <c r="C19" s="27"/>
      <c r="D19" s="53"/>
      <c r="E19" s="59">
        <v>6155</v>
      </c>
      <c r="F19" s="54"/>
      <c r="G19" s="28">
        <v>0.82</v>
      </c>
      <c r="H19" s="55"/>
    </row>
    <row r="20" spans="1:8" x14ac:dyDescent="0.2">
      <c r="A20" s="27">
        <f t="array" ref="A20">1+COUNT(_xlfn.UNIQUE(_xlfn._xlws.FILTER($F$5:$F$127, $F$5:$F$127 &gt; F20)))</f>
        <v>1</v>
      </c>
      <c r="B20" s="56" t="s">
        <v>64</v>
      </c>
      <c r="C20" s="27"/>
      <c r="D20" s="53"/>
      <c r="E20" s="59">
        <v>13667</v>
      </c>
      <c r="F20" s="54"/>
      <c r="G20" s="28">
        <v>0.82</v>
      </c>
      <c r="H20" s="55"/>
    </row>
    <row r="21" spans="1:8" x14ac:dyDescent="0.2">
      <c r="A21" s="27">
        <f t="array" ref="A21">1+COUNT(_xlfn.UNIQUE(_xlfn._xlws.FILTER($F$5:$F$127, $F$5:$F$127 &gt; F21)))</f>
        <v>1</v>
      </c>
      <c r="B21" s="56" t="s">
        <v>27</v>
      </c>
      <c r="C21" s="27"/>
      <c r="D21" s="53"/>
      <c r="E21" s="59">
        <v>9046</v>
      </c>
      <c r="F21" s="54"/>
      <c r="G21" s="28">
        <v>0.82</v>
      </c>
      <c r="H21" s="55"/>
    </row>
    <row r="22" spans="1:8" x14ac:dyDescent="0.2">
      <c r="A22" s="27">
        <f t="array" ref="A22">1+COUNT(_xlfn.UNIQUE(_xlfn._xlws.FILTER($F$5:$F$127, $F$5:$F$127 &gt; F22)))</f>
        <v>1</v>
      </c>
      <c r="B22" s="56" t="s">
        <v>110</v>
      </c>
      <c r="C22" s="27"/>
      <c r="D22" s="53"/>
      <c r="E22" s="59">
        <v>5293</v>
      </c>
      <c r="F22" s="54"/>
      <c r="G22" s="28">
        <v>0.82</v>
      </c>
      <c r="H22" s="55"/>
    </row>
    <row r="23" spans="1:8" x14ac:dyDescent="0.2">
      <c r="A23" s="27">
        <f t="array" ref="A23">1+COUNT(_xlfn.UNIQUE(_xlfn._xlws.FILTER($F$5:$F$127, $F$5:$F$127 &gt; F23)))</f>
        <v>1</v>
      </c>
      <c r="B23" s="56" t="s">
        <v>92</v>
      </c>
      <c r="C23" s="27"/>
      <c r="D23" s="53"/>
      <c r="E23" s="59">
        <v>2423</v>
      </c>
      <c r="F23" s="54"/>
      <c r="G23" s="28">
        <v>0.82</v>
      </c>
      <c r="H23" s="55"/>
    </row>
    <row r="24" spans="1:8" x14ac:dyDescent="0.2">
      <c r="A24" s="27">
        <f t="array" ref="A24">1+COUNT(_xlfn.UNIQUE(_xlfn._xlws.FILTER($F$5:$F$127, $F$5:$F$127 &gt; F24)))</f>
        <v>1</v>
      </c>
      <c r="B24" s="56" t="s">
        <v>22</v>
      </c>
      <c r="C24" s="27"/>
      <c r="D24" s="53"/>
      <c r="E24" s="59">
        <v>18342</v>
      </c>
      <c r="F24" s="54"/>
      <c r="G24" s="28">
        <v>0.87</v>
      </c>
      <c r="H24" s="55"/>
    </row>
    <row r="25" spans="1:8" x14ac:dyDescent="0.2">
      <c r="A25" s="27">
        <f t="array" ref="A25">1+COUNT(_xlfn.UNIQUE(_xlfn._xlws.FILTER($F$5:$F$127, $F$5:$F$127 &gt; F25)))</f>
        <v>1</v>
      </c>
      <c r="B25" s="56" t="s">
        <v>70</v>
      </c>
      <c r="C25" s="27"/>
      <c r="D25" s="53"/>
      <c r="E25" s="59">
        <v>2913</v>
      </c>
      <c r="F25" s="54"/>
      <c r="G25" s="28">
        <v>0.82</v>
      </c>
      <c r="H25" s="55"/>
    </row>
    <row r="26" spans="1:8" x14ac:dyDescent="0.2">
      <c r="A26" s="27">
        <f t="array" ref="A26">1+COUNT(_xlfn.UNIQUE(_xlfn._xlws.FILTER($F$5:$F$127, $F$5:$F$127 &gt; F26)))</f>
        <v>1</v>
      </c>
      <c r="B26" s="56" t="s">
        <v>116</v>
      </c>
      <c r="C26" s="27"/>
      <c r="D26" s="53"/>
      <c r="E26" s="59">
        <v>6738</v>
      </c>
      <c r="F26" s="54"/>
      <c r="G26" s="28">
        <v>0.82</v>
      </c>
      <c r="H26" s="55"/>
    </row>
    <row r="27" spans="1:8" x14ac:dyDescent="0.2">
      <c r="A27" s="27">
        <f t="array" ref="A27">1+COUNT(_xlfn.UNIQUE(_xlfn._xlws.FILTER($F$5:$F$127, $F$5:$F$127 &gt; F27)))</f>
        <v>1</v>
      </c>
      <c r="B27" s="56" t="s">
        <v>4</v>
      </c>
      <c r="C27" s="27"/>
      <c r="D27" s="53"/>
      <c r="E27" s="59">
        <v>10133</v>
      </c>
      <c r="F27" s="54"/>
      <c r="G27" s="28">
        <v>0.82</v>
      </c>
      <c r="H27" s="55"/>
    </row>
    <row r="28" spans="1:8" x14ac:dyDescent="0.2">
      <c r="A28" s="27">
        <f t="array" ref="A28">1+COUNT(_xlfn.UNIQUE(_xlfn._xlws.FILTER($F$5:$F$127, $F$5:$F$127 &gt; F28)))</f>
        <v>1</v>
      </c>
      <c r="B28" s="56" t="s">
        <v>58</v>
      </c>
      <c r="C28" s="27"/>
      <c r="D28" s="53"/>
      <c r="E28" s="59">
        <v>13205</v>
      </c>
      <c r="F28" s="54"/>
      <c r="G28" s="28">
        <v>0.87</v>
      </c>
      <c r="H28" s="55"/>
    </row>
    <row r="29" spans="1:8" x14ac:dyDescent="0.2">
      <c r="A29" s="27">
        <f t="array" ref="A29">1+COUNT(_xlfn.UNIQUE(_xlfn._xlws.FILTER($F$5:$F$127, $F$5:$F$127 &gt; F29)))</f>
        <v>1</v>
      </c>
      <c r="B29" s="56" t="s">
        <v>36</v>
      </c>
      <c r="C29" s="27"/>
      <c r="D29" s="53"/>
      <c r="E29" s="59">
        <v>12194</v>
      </c>
      <c r="F29" s="54"/>
      <c r="G29" s="28">
        <v>0.82</v>
      </c>
      <c r="H29" s="55"/>
    </row>
    <row r="30" spans="1:8" x14ac:dyDescent="0.2">
      <c r="A30" s="27">
        <f t="array" ref="A30">1+COUNT(_xlfn.UNIQUE(_xlfn._xlws.FILTER($F$5:$F$127, $F$5:$F$127 &gt; F30)))</f>
        <v>1</v>
      </c>
      <c r="B30" s="56" t="s">
        <v>78</v>
      </c>
      <c r="C30" s="27"/>
      <c r="D30" s="53"/>
      <c r="E30" s="59">
        <v>8000</v>
      </c>
      <c r="F30" s="54"/>
      <c r="G30" s="28">
        <v>0.82</v>
      </c>
      <c r="H30" s="55"/>
    </row>
    <row r="31" spans="1:8" x14ac:dyDescent="0.2">
      <c r="A31" s="27">
        <f t="array" ref="A31">1+COUNT(_xlfn.UNIQUE(_xlfn._xlws.FILTER($F$5:$F$127, $F$5:$F$127 &gt; F31)))</f>
        <v>1</v>
      </c>
      <c r="B31" s="56" t="s">
        <v>119</v>
      </c>
      <c r="C31" s="27"/>
      <c r="D31" s="53"/>
      <c r="E31" s="59">
        <v>6638</v>
      </c>
      <c r="F31" s="54"/>
      <c r="G31" s="28">
        <v>0.82</v>
      </c>
      <c r="H31" s="55"/>
    </row>
    <row r="32" spans="1:8" x14ac:dyDescent="0.2">
      <c r="A32" s="27">
        <f t="array" ref="A32">1+COUNT(_xlfn.UNIQUE(_xlfn._xlws.FILTER($F$5:$F$127, $F$5:$F$127 &gt; F32)))</f>
        <v>1</v>
      </c>
      <c r="B32" s="56" t="s">
        <v>68</v>
      </c>
      <c r="C32" s="27"/>
      <c r="D32" s="53"/>
      <c r="E32" s="59">
        <v>6872</v>
      </c>
      <c r="F32" s="54"/>
      <c r="G32" s="28">
        <v>0.82</v>
      </c>
      <c r="H32" s="55"/>
    </row>
    <row r="33" spans="1:8" x14ac:dyDescent="0.2">
      <c r="A33" s="27">
        <f t="array" ref="A33">1+COUNT(_xlfn.UNIQUE(_xlfn._xlws.FILTER($F$5:$F$127, $F$5:$F$127 &gt; F33)))</f>
        <v>1</v>
      </c>
      <c r="B33" s="56" t="s">
        <v>0</v>
      </c>
      <c r="C33" s="27"/>
      <c r="D33" s="53"/>
      <c r="E33" s="59">
        <v>3281</v>
      </c>
      <c r="F33" s="54"/>
      <c r="G33" s="28">
        <v>0.82</v>
      </c>
      <c r="H33" s="55"/>
    </row>
    <row r="34" spans="1:8" x14ac:dyDescent="0.2">
      <c r="A34" s="27">
        <f t="array" ref="A34">1+COUNT(_xlfn.UNIQUE(_xlfn._xlws.FILTER($F$5:$F$127, $F$5:$F$127 &gt; F34)))</f>
        <v>1</v>
      </c>
      <c r="B34" s="56" t="s">
        <v>21</v>
      </c>
      <c r="C34" s="27"/>
      <c r="D34" s="53"/>
      <c r="E34" s="59">
        <v>16697</v>
      </c>
      <c r="F34" s="54"/>
      <c r="G34" s="28">
        <v>0.87</v>
      </c>
      <c r="H34" s="55"/>
    </row>
    <row r="35" spans="1:8" x14ac:dyDescent="0.2">
      <c r="A35" s="27">
        <f t="array" ref="A35">1+COUNT(_xlfn.UNIQUE(_xlfn._xlws.FILTER($F$5:$F$127, $F$5:$F$127 &gt; F35)))</f>
        <v>1</v>
      </c>
      <c r="B35" s="56" t="s">
        <v>102</v>
      </c>
      <c r="C35" s="27"/>
      <c r="D35" s="53"/>
      <c r="E35" s="59">
        <v>5578</v>
      </c>
      <c r="F35" s="54"/>
      <c r="G35" s="28">
        <v>0.82</v>
      </c>
      <c r="H35" s="55"/>
    </row>
    <row r="36" spans="1:8" x14ac:dyDescent="0.2">
      <c r="A36" s="27">
        <f t="array" ref="A36">1+COUNT(_xlfn.UNIQUE(_xlfn._xlws.FILTER($F$5:$F$127, $F$5:$F$127 &gt; F36)))</f>
        <v>1</v>
      </c>
      <c r="B36" s="56" t="s">
        <v>29</v>
      </c>
      <c r="C36" s="27"/>
      <c r="D36" s="53"/>
      <c r="E36" s="59">
        <v>7470</v>
      </c>
      <c r="F36" s="54"/>
      <c r="G36" s="28">
        <v>0.82</v>
      </c>
      <c r="H36" s="55"/>
    </row>
    <row r="37" spans="1:8" x14ac:dyDescent="0.2">
      <c r="A37" s="27">
        <f t="array" ref="A37">1+COUNT(_xlfn.UNIQUE(_xlfn._xlws.FILTER($F$5:$F$127, $F$5:$F$127 &gt; F37)))</f>
        <v>1</v>
      </c>
      <c r="B37" s="56" t="s">
        <v>38</v>
      </c>
      <c r="C37" s="27"/>
      <c r="D37" s="53"/>
      <c r="E37" s="59">
        <v>9476</v>
      </c>
      <c r="F37" s="54"/>
      <c r="G37" s="28">
        <v>0.87</v>
      </c>
      <c r="H37" s="55"/>
    </row>
    <row r="38" spans="1:8" x14ac:dyDescent="0.2">
      <c r="A38" s="27">
        <f t="array" ref="A38">1+COUNT(_xlfn.UNIQUE(_xlfn._xlws.FILTER($F$5:$F$127, $F$5:$F$127 &gt; F38)))</f>
        <v>1</v>
      </c>
      <c r="B38" s="56" t="s">
        <v>69</v>
      </c>
      <c r="C38" s="27"/>
      <c r="D38" s="53"/>
      <c r="E38" s="59">
        <v>9540</v>
      </c>
      <c r="F38" s="54"/>
      <c r="G38" s="28">
        <v>0.82</v>
      </c>
      <c r="H38" s="55"/>
    </row>
    <row r="39" spans="1:8" x14ac:dyDescent="0.2">
      <c r="A39" s="27">
        <f t="array" ref="A39">1+COUNT(_xlfn.UNIQUE(_xlfn._xlws.FILTER($F$5:$F$127, $F$5:$F$127 &gt; F39)))</f>
        <v>1</v>
      </c>
      <c r="B39" s="56" t="s">
        <v>93</v>
      </c>
      <c r="C39" s="27"/>
      <c r="D39" s="53"/>
      <c r="E39" s="59">
        <v>5662</v>
      </c>
      <c r="F39" s="54"/>
      <c r="G39" s="28">
        <v>0.82</v>
      </c>
      <c r="H39" s="55"/>
    </row>
    <row r="40" spans="1:8" x14ac:dyDescent="0.2">
      <c r="A40" s="27">
        <f t="array" ref="A40">1+COUNT(_xlfn.UNIQUE(_xlfn._xlws.FILTER($F$5:$F$127, $F$5:$F$127 &gt; F40)))</f>
        <v>1</v>
      </c>
      <c r="B40" s="56" t="s">
        <v>65</v>
      </c>
      <c r="C40" s="27"/>
      <c r="D40" s="53"/>
      <c r="E40" s="59">
        <v>12011</v>
      </c>
      <c r="F40" s="54"/>
      <c r="G40" s="28">
        <v>0.82</v>
      </c>
      <c r="H40" s="55"/>
    </row>
    <row r="41" spans="1:8" x14ac:dyDescent="0.2">
      <c r="A41" s="27">
        <f t="array" ref="A41">1+COUNT(_xlfn.UNIQUE(_xlfn._xlws.FILTER($F$5:$F$127, $F$5:$F$127 &gt; F41)))</f>
        <v>1</v>
      </c>
      <c r="B41" s="56" t="s">
        <v>35</v>
      </c>
      <c r="C41" s="27"/>
      <c r="D41" s="53"/>
      <c r="E41" s="59">
        <v>6570</v>
      </c>
      <c r="F41" s="54"/>
      <c r="G41" s="28">
        <v>0.82</v>
      </c>
      <c r="H41" s="55"/>
    </row>
    <row r="42" spans="1:8" x14ac:dyDescent="0.2">
      <c r="A42" s="27">
        <f t="array" ref="A42">1+COUNT(_xlfn.UNIQUE(_xlfn._xlws.FILTER($F$5:$F$127, $F$5:$F$127 &gt; F42)))</f>
        <v>1</v>
      </c>
      <c r="B42" s="56" t="s">
        <v>39</v>
      </c>
      <c r="C42" s="27"/>
      <c r="D42" s="53"/>
      <c r="E42" s="59">
        <v>4782</v>
      </c>
      <c r="F42" s="54"/>
      <c r="G42" s="28">
        <v>0.82</v>
      </c>
      <c r="H42" s="55"/>
    </row>
    <row r="43" spans="1:8" x14ac:dyDescent="0.2">
      <c r="A43" s="27">
        <f t="array" ref="A43">1+COUNT(_xlfn.UNIQUE(_xlfn._xlws.FILTER($F$5:$F$127, $F$5:$F$127 &gt; F43)))</f>
        <v>1</v>
      </c>
      <c r="B43" s="56" t="s">
        <v>49</v>
      </c>
      <c r="C43" s="27"/>
      <c r="D43" s="53"/>
      <c r="E43" s="59">
        <v>10168</v>
      </c>
      <c r="F43" s="54"/>
      <c r="G43" s="28">
        <v>0.82</v>
      </c>
      <c r="H43" s="55"/>
    </row>
    <row r="44" spans="1:8" x14ac:dyDescent="0.2">
      <c r="A44" s="27">
        <f t="array" ref="A44">1+COUNT(_xlfn.UNIQUE(_xlfn._xlws.FILTER($F$5:$F$127, $F$5:$F$127 &gt; F44)))</f>
        <v>1</v>
      </c>
      <c r="B44" s="56" t="s">
        <v>71</v>
      </c>
      <c r="C44" s="27"/>
      <c r="D44" s="53"/>
      <c r="E44" s="59">
        <v>4693</v>
      </c>
      <c r="F44" s="54"/>
      <c r="G44" s="28">
        <v>0.82</v>
      </c>
      <c r="H44" s="55"/>
    </row>
    <row r="45" spans="1:8" x14ac:dyDescent="0.2">
      <c r="A45" s="27">
        <f t="array" ref="A45">1+COUNT(_xlfn.UNIQUE(_xlfn._xlws.FILTER($F$5:$F$127, $F$5:$F$127 &gt; F45)))</f>
        <v>1</v>
      </c>
      <c r="B45" s="56" t="s">
        <v>3</v>
      </c>
      <c r="C45" s="27"/>
      <c r="D45" s="53"/>
      <c r="E45" s="59">
        <v>5354</v>
      </c>
      <c r="F45" s="54"/>
      <c r="G45" s="28">
        <v>0.82</v>
      </c>
      <c r="H45" s="55"/>
    </row>
    <row r="46" spans="1:8" x14ac:dyDescent="0.2">
      <c r="A46" s="27">
        <f t="array" ref="A46">1+COUNT(_xlfn.UNIQUE(_xlfn._xlws.FILTER($F$5:$F$127, $F$5:$F$127 &gt; F46)))</f>
        <v>1</v>
      </c>
      <c r="B46" s="56" t="s">
        <v>56</v>
      </c>
      <c r="C46" s="27"/>
      <c r="D46" s="53"/>
      <c r="E46" s="59">
        <v>3323</v>
      </c>
      <c r="F46" s="54"/>
      <c r="G46" s="28">
        <v>0.82</v>
      </c>
      <c r="H46" s="55"/>
    </row>
    <row r="47" spans="1:8" x14ac:dyDescent="0.2">
      <c r="A47" s="27">
        <f t="array" ref="A47">1+COUNT(_xlfn.UNIQUE(_xlfn._xlws.FILTER($F$5:$F$127, $F$5:$F$127 &gt; F47)))</f>
        <v>1</v>
      </c>
      <c r="B47" s="56" t="s">
        <v>26</v>
      </c>
      <c r="C47" s="27"/>
      <c r="D47" s="53"/>
      <c r="E47" s="59">
        <v>8783</v>
      </c>
      <c r="F47" s="54"/>
      <c r="G47" s="28">
        <v>0.82</v>
      </c>
      <c r="H47" s="55"/>
    </row>
    <row r="48" spans="1:8" x14ac:dyDescent="0.2">
      <c r="A48" s="27">
        <f t="array" ref="A48">1+COUNT(_xlfn.UNIQUE(_xlfn._xlws.FILTER($F$5:$F$127, $F$5:$F$127 &gt; F48)))</f>
        <v>1</v>
      </c>
      <c r="B48" s="56" t="s">
        <v>33</v>
      </c>
      <c r="C48" s="27"/>
      <c r="D48" s="53"/>
      <c r="E48" s="59">
        <v>7221</v>
      </c>
      <c r="F48" s="54"/>
      <c r="G48" s="28">
        <v>0.87</v>
      </c>
      <c r="H48" s="55"/>
    </row>
    <row r="49" spans="1:8" x14ac:dyDescent="0.2">
      <c r="A49" s="27">
        <f t="array" ref="A49">1+COUNT(_xlfn.UNIQUE(_xlfn._xlws.FILTER($F$5:$F$127, $F$5:$F$127 &gt; F49)))</f>
        <v>1</v>
      </c>
      <c r="B49" s="56" t="s">
        <v>89</v>
      </c>
      <c r="C49" s="27"/>
      <c r="D49" s="53"/>
      <c r="E49" s="59">
        <v>2478</v>
      </c>
      <c r="F49" s="54"/>
      <c r="G49" s="28">
        <v>0.82</v>
      </c>
      <c r="H49" s="55"/>
    </row>
    <row r="50" spans="1:8" x14ac:dyDescent="0.2">
      <c r="A50" s="27">
        <f t="array" ref="A50">1+COUNT(_xlfn.UNIQUE(_xlfn._xlws.FILTER($F$5:$F$127, $F$5:$F$127 &gt; F50)))</f>
        <v>1</v>
      </c>
      <c r="B50" s="56" t="s">
        <v>112</v>
      </c>
      <c r="C50" s="27"/>
      <c r="D50" s="53"/>
      <c r="E50" s="59">
        <v>7114</v>
      </c>
      <c r="F50" s="54"/>
      <c r="G50" s="28">
        <v>0.82</v>
      </c>
      <c r="H50" s="55"/>
    </row>
    <row r="51" spans="1:8" x14ac:dyDescent="0.2">
      <c r="A51" s="27">
        <f t="array" ref="A51">1+COUNT(_xlfn.UNIQUE(_xlfn._xlws.FILTER($F$5:$F$127, $F$5:$F$127 &gt; F51)))</f>
        <v>1</v>
      </c>
      <c r="B51" s="56" t="s">
        <v>123</v>
      </c>
      <c r="C51" s="27"/>
      <c r="D51" s="53"/>
      <c r="E51" s="59">
        <v>13392</v>
      </c>
      <c r="F51" s="54"/>
      <c r="G51" s="28">
        <v>0.82</v>
      </c>
      <c r="H51" s="55"/>
    </row>
    <row r="52" spans="1:8" x14ac:dyDescent="0.2">
      <c r="A52" s="27">
        <f t="array" ref="A52">1+COUNT(_xlfn.UNIQUE(_xlfn._xlws.FILTER($F$5:$F$127, $F$5:$F$127 &gt; F52)))</f>
        <v>1</v>
      </c>
      <c r="B52" s="56" t="s">
        <v>79</v>
      </c>
      <c r="C52" s="27"/>
      <c r="D52" s="53"/>
      <c r="E52" s="59">
        <v>6497</v>
      </c>
      <c r="F52" s="54"/>
      <c r="G52" s="28">
        <v>0.82</v>
      </c>
      <c r="H52" s="55"/>
    </row>
    <row r="53" spans="1:8" x14ac:dyDescent="0.2">
      <c r="A53" s="27">
        <f t="array" ref="A53">1+COUNT(_xlfn.UNIQUE(_xlfn._xlws.FILTER($F$5:$F$127, $F$5:$F$127 &gt; F53)))</f>
        <v>1</v>
      </c>
      <c r="B53" s="56" t="s">
        <v>96</v>
      </c>
      <c r="C53" s="27"/>
      <c r="D53" s="53"/>
      <c r="E53" s="59">
        <v>7840</v>
      </c>
      <c r="F53" s="54"/>
      <c r="G53" s="28">
        <v>0.82</v>
      </c>
      <c r="H53" s="55"/>
    </row>
    <row r="54" spans="1:8" x14ac:dyDescent="0.2">
      <c r="A54" s="27">
        <f t="array" ref="A54">1+COUNT(_xlfn.UNIQUE(_xlfn._xlws.FILTER($F$5:$F$127, $F$5:$F$127 &gt; F54)))</f>
        <v>1</v>
      </c>
      <c r="B54" s="56" t="s">
        <v>108</v>
      </c>
      <c r="C54" s="27"/>
      <c r="D54" s="53"/>
      <c r="E54" s="59">
        <v>7661</v>
      </c>
      <c r="F54" s="54"/>
      <c r="G54" s="28">
        <v>0.82</v>
      </c>
      <c r="H54" s="55"/>
    </row>
    <row r="55" spans="1:8" x14ac:dyDescent="0.2">
      <c r="A55" s="27">
        <f t="array" ref="A55">1+COUNT(_xlfn.UNIQUE(_xlfn._xlws.FILTER($F$5:$F$127, $F$5:$F$127 &gt; F55)))</f>
        <v>1</v>
      </c>
      <c r="B55" s="56" t="s">
        <v>104</v>
      </c>
      <c r="C55" s="27"/>
      <c r="D55" s="53"/>
      <c r="E55" s="59">
        <v>5955</v>
      </c>
      <c r="F55" s="54"/>
      <c r="G55" s="28">
        <v>0.82</v>
      </c>
      <c r="H55" s="55"/>
    </row>
    <row r="56" spans="1:8" x14ac:dyDescent="0.2">
      <c r="A56" s="27">
        <f t="array" ref="A56">1+COUNT(_xlfn.UNIQUE(_xlfn._xlws.FILTER($F$5:$F$127, $F$5:$F$127 &gt; F56)))</f>
        <v>1</v>
      </c>
      <c r="B56" s="56" t="s">
        <v>106</v>
      </c>
      <c r="C56" s="27"/>
      <c r="D56" s="53"/>
      <c r="E56" s="59">
        <v>10768</v>
      </c>
      <c r="F56" s="54"/>
      <c r="G56" s="28">
        <v>0.82</v>
      </c>
      <c r="H56" s="55"/>
    </row>
    <row r="57" spans="1:8" x14ac:dyDescent="0.2">
      <c r="A57" s="27">
        <f t="array" ref="A57">1+COUNT(_xlfn.UNIQUE(_xlfn._xlws.FILTER($F$5:$F$127, $F$5:$F$127 &gt; F57)))</f>
        <v>1</v>
      </c>
      <c r="B57" s="56" t="s">
        <v>7</v>
      </c>
      <c r="C57" s="27"/>
      <c r="D57" s="53"/>
      <c r="E57" s="59">
        <v>10287</v>
      </c>
      <c r="F57" s="54"/>
      <c r="G57" s="28">
        <v>0.87</v>
      </c>
      <c r="H57" s="55"/>
    </row>
    <row r="58" spans="1:8" x14ac:dyDescent="0.2">
      <c r="A58" s="27">
        <f t="array" ref="A58">1+COUNT(_xlfn.UNIQUE(_xlfn._xlws.FILTER($F$5:$F$127, $F$5:$F$127 &gt; F58)))</f>
        <v>1</v>
      </c>
      <c r="B58" s="56" t="s">
        <v>95</v>
      </c>
      <c r="C58" s="27"/>
      <c r="D58" s="53"/>
      <c r="E58" s="59">
        <v>4429</v>
      </c>
      <c r="F58" s="54"/>
      <c r="G58" s="28">
        <v>0.82</v>
      </c>
      <c r="H58" s="55"/>
    </row>
    <row r="59" spans="1:8" x14ac:dyDescent="0.2">
      <c r="A59" s="27">
        <f t="array" ref="A59">1+COUNT(_xlfn.UNIQUE(_xlfn._xlws.FILTER($F$5:$F$127, $F$5:$F$127 &gt; F59)))</f>
        <v>1</v>
      </c>
      <c r="B59" s="56" t="s">
        <v>30</v>
      </c>
      <c r="C59" s="27"/>
      <c r="D59" s="53"/>
      <c r="E59" s="59">
        <v>13033</v>
      </c>
      <c r="F59" s="54"/>
      <c r="G59" s="28">
        <v>0.82</v>
      </c>
      <c r="H59" s="55"/>
    </row>
    <row r="60" spans="1:8" x14ac:dyDescent="0.2">
      <c r="A60" s="27">
        <f t="array" ref="A60">1+COUNT(_xlfn.UNIQUE(_xlfn._xlws.FILTER($F$5:$F$127, $F$5:$F$127 &gt; F60)))</f>
        <v>1</v>
      </c>
      <c r="B60" s="56" t="s">
        <v>80</v>
      </c>
      <c r="C60" s="27"/>
      <c r="D60" s="53"/>
      <c r="E60" s="59">
        <v>4099</v>
      </c>
      <c r="F60" s="54"/>
      <c r="G60" s="28">
        <v>0.82</v>
      </c>
      <c r="H60" s="55"/>
    </row>
    <row r="61" spans="1:8" x14ac:dyDescent="0.2">
      <c r="A61" s="27">
        <f t="array" ref="A61">1+COUNT(_xlfn.UNIQUE(_xlfn._xlws.FILTER($F$5:$F$127, $F$5:$F$127 &gt; F61)))</f>
        <v>1</v>
      </c>
      <c r="B61" s="56" t="s">
        <v>82</v>
      </c>
      <c r="C61" s="27"/>
      <c r="D61" s="53"/>
      <c r="E61" s="59">
        <v>4356</v>
      </c>
      <c r="F61" s="54"/>
      <c r="G61" s="28">
        <v>0.82</v>
      </c>
      <c r="H61" s="55"/>
    </row>
    <row r="62" spans="1:8" x14ac:dyDescent="0.2">
      <c r="A62" s="27">
        <f t="array" ref="A62">1+COUNT(_xlfn.UNIQUE(_xlfn._xlws.FILTER($F$5:$F$127, $F$5:$F$127 &gt; F62)))</f>
        <v>1</v>
      </c>
      <c r="B62" s="56" t="s">
        <v>47</v>
      </c>
      <c r="C62" s="27"/>
      <c r="D62" s="53"/>
      <c r="E62" s="59">
        <v>7927</v>
      </c>
      <c r="F62" s="54"/>
      <c r="G62" s="28">
        <v>0.82</v>
      </c>
      <c r="H62" s="55"/>
    </row>
    <row r="63" spans="1:8" x14ac:dyDescent="0.2">
      <c r="A63" s="27">
        <f t="array" ref="A63">1+COUNT(_xlfn.UNIQUE(_xlfn._xlws.FILTER($F$5:$F$127, $F$5:$F$127 &gt; F63)))</f>
        <v>1</v>
      </c>
      <c r="B63" s="56" t="s">
        <v>28</v>
      </c>
      <c r="C63" s="27"/>
      <c r="D63" s="53"/>
      <c r="E63" s="59">
        <v>10596</v>
      </c>
      <c r="F63" s="54"/>
      <c r="G63" s="28">
        <v>0.87</v>
      </c>
      <c r="H63" s="55"/>
    </row>
    <row r="64" spans="1:8" x14ac:dyDescent="0.2">
      <c r="A64" s="27">
        <f t="array" ref="A64">1+COUNT(_xlfn.UNIQUE(_xlfn._xlws.FILTER($F$5:$F$127, $F$5:$F$127 &gt; F64)))</f>
        <v>1</v>
      </c>
      <c r="B64" s="56" t="s">
        <v>107</v>
      </c>
      <c r="C64" s="27"/>
      <c r="D64" s="53"/>
      <c r="E64" s="59">
        <v>6832</v>
      </c>
      <c r="F64" s="54"/>
      <c r="G64" s="28">
        <v>0.82</v>
      </c>
      <c r="H64" s="55"/>
    </row>
    <row r="65" spans="1:8" x14ac:dyDescent="0.2">
      <c r="A65" s="27">
        <f t="array" ref="A65">1+COUNT(_xlfn.UNIQUE(_xlfn._xlws.FILTER($F$5:$F$127, $F$5:$F$127 &gt; F65)))</f>
        <v>1</v>
      </c>
      <c r="B65" s="56" t="s">
        <v>105</v>
      </c>
      <c r="C65" s="27"/>
      <c r="D65" s="53"/>
      <c r="E65" s="59">
        <v>5098</v>
      </c>
      <c r="F65" s="54"/>
      <c r="G65" s="28">
        <v>0.82</v>
      </c>
      <c r="H65" s="55"/>
    </row>
    <row r="66" spans="1:8" x14ac:dyDescent="0.2">
      <c r="A66" s="27">
        <f t="array" ref="A66">1+COUNT(_xlfn.UNIQUE(_xlfn._xlws.FILTER($F$5:$F$127, $F$5:$F$127 &gt; F66)))</f>
        <v>1</v>
      </c>
      <c r="B66" s="56" t="s">
        <v>97</v>
      </c>
      <c r="C66" s="27"/>
      <c r="D66" s="53"/>
      <c r="E66" s="59">
        <v>5832</v>
      </c>
      <c r="F66" s="54"/>
      <c r="G66" s="28">
        <v>0.82</v>
      </c>
      <c r="H66" s="55"/>
    </row>
    <row r="67" spans="1:8" x14ac:dyDescent="0.2">
      <c r="A67" s="27">
        <f t="array" ref="A67">1+COUNT(_xlfn.UNIQUE(_xlfn._xlws.FILTER($F$5:$F$127, $F$5:$F$127 &gt; F67)))</f>
        <v>1</v>
      </c>
      <c r="B67" s="56" t="s">
        <v>76</v>
      </c>
      <c r="C67" s="27"/>
      <c r="D67" s="53"/>
      <c r="E67" s="59">
        <v>5182</v>
      </c>
      <c r="F67" s="54"/>
      <c r="G67" s="28">
        <v>0.82</v>
      </c>
      <c r="H67" s="55"/>
    </row>
    <row r="68" spans="1:8" x14ac:dyDescent="0.2">
      <c r="A68" s="27">
        <f t="array" ref="A68">1+COUNT(_xlfn.UNIQUE(_xlfn._xlws.FILTER($F$5:$F$127, $F$5:$F$127 &gt; F68)))</f>
        <v>1</v>
      </c>
      <c r="B68" s="56" t="s">
        <v>118</v>
      </c>
      <c r="C68" s="27"/>
      <c r="D68" s="53"/>
      <c r="E68" s="59">
        <v>5750</v>
      </c>
      <c r="F68" s="54"/>
      <c r="G68" s="28">
        <v>0.82</v>
      </c>
      <c r="H68" s="55"/>
    </row>
    <row r="69" spans="1:8" x14ac:dyDescent="0.2">
      <c r="A69" s="27">
        <f t="array" ref="A69">1+COUNT(_xlfn.UNIQUE(_xlfn._xlws.FILTER($F$5:$F$127, $F$5:$F$127 &gt; F69)))</f>
        <v>1</v>
      </c>
      <c r="B69" s="56" t="s">
        <v>43</v>
      </c>
      <c r="C69" s="27"/>
      <c r="D69" s="53"/>
      <c r="E69" s="59">
        <v>12849</v>
      </c>
      <c r="F69" s="54"/>
      <c r="G69" s="28">
        <v>0.82</v>
      </c>
      <c r="H69" s="55"/>
    </row>
    <row r="70" spans="1:8" x14ac:dyDescent="0.2">
      <c r="A70" s="27">
        <f t="array" ref="A70">1+COUNT(_xlfn.UNIQUE(_xlfn._xlws.FILTER($F$5:$F$127, $F$5:$F$127 &gt; F70)))</f>
        <v>1</v>
      </c>
      <c r="B70" s="56" t="s">
        <v>73</v>
      </c>
      <c r="C70" s="27"/>
      <c r="D70" s="53"/>
      <c r="E70" s="59">
        <v>5779</v>
      </c>
      <c r="F70" s="54"/>
      <c r="G70" s="28">
        <v>0.82</v>
      </c>
      <c r="H70" s="55"/>
    </row>
    <row r="71" spans="1:8" x14ac:dyDescent="0.2">
      <c r="A71" s="27">
        <f t="array" ref="A71">1+COUNT(_xlfn.UNIQUE(_xlfn._xlws.FILTER($F$5:$F$127, $F$5:$F$127 &gt; F71)))</f>
        <v>1</v>
      </c>
      <c r="B71" s="56" t="s">
        <v>23</v>
      </c>
      <c r="C71" s="27"/>
      <c r="D71" s="53"/>
      <c r="E71" s="59">
        <v>8585</v>
      </c>
      <c r="F71" s="54"/>
      <c r="G71" s="28">
        <v>0.82</v>
      </c>
      <c r="H71" s="55"/>
    </row>
    <row r="72" spans="1:8" x14ac:dyDescent="0.2">
      <c r="A72" s="27">
        <f t="array" ref="A72">1+COUNT(_xlfn.UNIQUE(_xlfn._xlws.FILTER($F$5:$F$127, $F$5:$F$127 &gt; F72)))</f>
        <v>1</v>
      </c>
      <c r="B72" s="56" t="s">
        <v>114</v>
      </c>
      <c r="C72" s="27"/>
      <c r="D72" s="53"/>
      <c r="E72" s="59">
        <v>8924</v>
      </c>
      <c r="F72" s="54"/>
      <c r="G72" s="28">
        <v>0.82</v>
      </c>
      <c r="H72" s="55"/>
    </row>
    <row r="73" spans="1:8" x14ac:dyDescent="0.2">
      <c r="A73" s="27">
        <f t="array" ref="A73">1+COUNT(_xlfn.UNIQUE(_xlfn._xlws.FILTER($F$5:$F$127, $F$5:$F$127 &gt; F73)))</f>
        <v>1</v>
      </c>
      <c r="B73" s="56" t="s">
        <v>85</v>
      </c>
      <c r="C73" s="27"/>
      <c r="D73" s="53"/>
      <c r="E73" s="59">
        <v>7215</v>
      </c>
      <c r="F73" s="54"/>
      <c r="G73" s="28">
        <v>0.82</v>
      </c>
      <c r="H73" s="55"/>
    </row>
    <row r="74" spans="1:8" x14ac:dyDescent="0.2">
      <c r="A74" s="27">
        <f t="array" ref="A74">1+COUNT(_xlfn.UNIQUE(_xlfn._xlws.FILTER($F$5:$F$127, $F$5:$F$127 &gt; F74)))</f>
        <v>1</v>
      </c>
      <c r="B74" s="56" t="s">
        <v>60</v>
      </c>
      <c r="C74" s="27"/>
      <c r="D74" s="53"/>
      <c r="E74" s="59">
        <v>16069</v>
      </c>
      <c r="F74" s="54"/>
      <c r="G74" s="28">
        <v>0.82</v>
      </c>
      <c r="H74" s="55"/>
    </row>
    <row r="75" spans="1:8" x14ac:dyDescent="0.2">
      <c r="A75" s="27">
        <f t="array" ref="A75">1+COUNT(_xlfn.UNIQUE(_xlfn._xlws.FILTER($F$5:$F$127, $F$5:$F$127 &gt; F75)))</f>
        <v>1</v>
      </c>
      <c r="B75" s="56" t="s">
        <v>44</v>
      </c>
      <c r="C75" s="27"/>
      <c r="D75" s="53"/>
      <c r="E75" s="59">
        <v>7827</v>
      </c>
      <c r="F75" s="54"/>
      <c r="G75" s="28">
        <v>0.82</v>
      </c>
      <c r="H75" s="55"/>
    </row>
    <row r="76" spans="1:8" x14ac:dyDescent="0.2">
      <c r="A76" s="27">
        <f t="array" ref="A76">1+COUNT(_xlfn.UNIQUE(_xlfn._xlws.FILTER($F$5:$F$127, $F$5:$F$127 &gt; F76)))</f>
        <v>1</v>
      </c>
      <c r="B76" s="56" t="s">
        <v>91</v>
      </c>
      <c r="C76" s="27"/>
      <c r="D76" s="53"/>
      <c r="E76" s="59">
        <v>3406</v>
      </c>
      <c r="F76" s="54"/>
      <c r="G76" s="28">
        <v>0.82</v>
      </c>
      <c r="H76" s="55"/>
    </row>
    <row r="77" spans="1:8" x14ac:dyDescent="0.2">
      <c r="A77" s="27">
        <f t="array" ref="A77">1+COUNT(_xlfn.UNIQUE(_xlfn._xlws.FILTER($F$5:$F$127, $F$5:$F$127 &gt; F77)))</f>
        <v>1</v>
      </c>
      <c r="B77" s="56" t="s">
        <v>10</v>
      </c>
      <c r="C77" s="27"/>
      <c r="D77" s="53"/>
      <c r="E77" s="59">
        <v>11011</v>
      </c>
      <c r="F77" s="54"/>
      <c r="G77" s="28">
        <v>0.87</v>
      </c>
      <c r="H77" s="55"/>
    </row>
    <row r="78" spans="1:8" x14ac:dyDescent="0.2">
      <c r="A78" s="27">
        <f t="array" ref="A78">1+COUNT(_xlfn.UNIQUE(_xlfn._xlws.FILTER($F$5:$F$127, $F$5:$F$127 &gt; F78)))</f>
        <v>1</v>
      </c>
      <c r="B78" s="56" t="s">
        <v>6</v>
      </c>
      <c r="C78" s="27"/>
      <c r="D78" s="53"/>
      <c r="E78" s="59">
        <v>7576</v>
      </c>
      <c r="F78" s="54"/>
      <c r="G78" s="28">
        <v>0.87</v>
      </c>
      <c r="H78" s="55"/>
    </row>
    <row r="79" spans="1:8" x14ac:dyDescent="0.2">
      <c r="A79" s="27">
        <f t="array" ref="A79">1+COUNT(_xlfn.UNIQUE(_xlfn._xlws.FILTER($F$5:$F$127, $F$5:$F$127 &gt; F79)))</f>
        <v>1</v>
      </c>
      <c r="B79" s="56" t="s">
        <v>67</v>
      </c>
      <c r="C79" s="27"/>
      <c r="D79" s="53"/>
      <c r="E79" s="59">
        <v>3282</v>
      </c>
      <c r="F79" s="54"/>
      <c r="G79" s="28">
        <v>0.82</v>
      </c>
      <c r="H79" s="55"/>
    </row>
    <row r="80" spans="1:8" x14ac:dyDescent="0.2">
      <c r="A80" s="27">
        <f t="array" ref="A80">1+COUNT(_xlfn.UNIQUE(_xlfn._xlws.FILTER($F$5:$F$127, $F$5:$F$127 &gt; F80)))</f>
        <v>1</v>
      </c>
      <c r="B80" s="56" t="s">
        <v>109</v>
      </c>
      <c r="C80" s="27"/>
      <c r="D80" s="53"/>
      <c r="E80" s="59">
        <v>8376</v>
      </c>
      <c r="F80" s="54"/>
      <c r="G80" s="28">
        <v>0.82</v>
      </c>
      <c r="H80" s="55"/>
    </row>
    <row r="81" spans="1:8" x14ac:dyDescent="0.2">
      <c r="A81" s="27">
        <f t="array" ref="A81">1+COUNT(_xlfn.UNIQUE(_xlfn._xlws.FILTER($F$5:$F$127, $F$5:$F$127 &gt; F81)))</f>
        <v>1</v>
      </c>
      <c r="B81" s="56" t="s">
        <v>32</v>
      </c>
      <c r="C81" s="27"/>
      <c r="D81" s="53"/>
      <c r="E81" s="59">
        <v>26225</v>
      </c>
      <c r="F81" s="54"/>
      <c r="G81" s="28">
        <v>0.87</v>
      </c>
      <c r="H81" s="55"/>
    </row>
    <row r="82" spans="1:8" x14ac:dyDescent="0.2">
      <c r="A82" s="27">
        <f t="array" ref="A82">1+COUNT(_xlfn.UNIQUE(_xlfn._xlws.FILTER($F$5:$F$127, $F$5:$F$127 &gt; F82)))</f>
        <v>1</v>
      </c>
      <c r="B82" s="56" t="s">
        <v>54</v>
      </c>
      <c r="C82" s="27"/>
      <c r="D82" s="53"/>
      <c r="E82" s="59">
        <v>15925</v>
      </c>
      <c r="F82" s="54"/>
      <c r="G82" s="28">
        <v>0.82</v>
      </c>
      <c r="H82" s="55"/>
    </row>
    <row r="83" spans="1:8" x14ac:dyDescent="0.2">
      <c r="A83" s="27">
        <f t="array" ref="A83">1+COUNT(_xlfn.UNIQUE(_xlfn._xlws.FILTER($F$5:$F$127, $F$5:$F$127 &gt; F83)))</f>
        <v>1</v>
      </c>
      <c r="B83" s="56" t="s">
        <v>62</v>
      </c>
      <c r="C83" s="27"/>
      <c r="D83" s="53"/>
      <c r="E83" s="59">
        <v>8418</v>
      </c>
      <c r="F83" s="54"/>
      <c r="G83" s="28">
        <v>0.82</v>
      </c>
      <c r="H83" s="55"/>
    </row>
    <row r="84" spans="1:8" x14ac:dyDescent="0.2">
      <c r="A84" s="27">
        <f t="array" ref="A84">1+COUNT(_xlfn.UNIQUE(_xlfn._xlws.FILTER($F$5:$F$127, $F$5:$F$127 &gt; F84)))</f>
        <v>1</v>
      </c>
      <c r="B84" s="56" t="s">
        <v>74</v>
      </c>
      <c r="C84" s="27"/>
      <c r="D84" s="53"/>
      <c r="E84" s="59">
        <v>6647</v>
      </c>
      <c r="F84" s="54"/>
      <c r="G84" s="28">
        <v>0.82</v>
      </c>
      <c r="H84" s="55"/>
    </row>
    <row r="85" spans="1:8" x14ac:dyDescent="0.2">
      <c r="A85" s="27">
        <f t="array" ref="A85">1+COUNT(_xlfn.UNIQUE(_xlfn._xlws.FILTER($F$5:$F$127, $F$5:$F$127 &gt; F85)))</f>
        <v>1</v>
      </c>
      <c r="B85" s="56" t="s">
        <v>42</v>
      </c>
      <c r="C85" s="27"/>
      <c r="D85" s="53"/>
      <c r="E85" s="59">
        <v>5738</v>
      </c>
      <c r="F85" s="54"/>
      <c r="G85" s="28">
        <v>0.82</v>
      </c>
      <c r="H85" s="55"/>
    </row>
    <row r="86" spans="1:8" x14ac:dyDescent="0.2">
      <c r="A86" s="27">
        <f t="array" ref="A86">1+COUNT(_xlfn.UNIQUE(_xlfn._xlws.FILTER($F$5:$F$127, $F$5:$F$127 &gt; F86)))</f>
        <v>1</v>
      </c>
      <c r="B86" s="56" t="s">
        <v>31</v>
      </c>
      <c r="C86" s="27"/>
      <c r="D86" s="53"/>
      <c r="E86" s="59">
        <v>6612</v>
      </c>
      <c r="F86" s="54"/>
      <c r="G86" s="28">
        <v>0.82</v>
      </c>
      <c r="H86" s="55"/>
    </row>
    <row r="87" spans="1:8" x14ac:dyDescent="0.2">
      <c r="A87" s="27">
        <f t="array" ref="A87">1+COUNT(_xlfn.UNIQUE(_xlfn._xlws.FILTER($F$5:$F$127, $F$5:$F$127 &gt; F87)))</f>
        <v>1</v>
      </c>
      <c r="B87" s="56" t="s">
        <v>16</v>
      </c>
      <c r="C87" s="27"/>
      <c r="D87" s="53"/>
      <c r="E87" s="59">
        <v>8486</v>
      </c>
      <c r="F87" s="54"/>
      <c r="G87" s="28">
        <v>0.82</v>
      </c>
      <c r="H87" s="55"/>
    </row>
    <row r="88" spans="1:8" x14ac:dyDescent="0.2">
      <c r="A88" s="27">
        <f t="array" ref="A88">1+COUNT(_xlfn.UNIQUE(_xlfn._xlws.FILTER($F$5:$F$127, $F$5:$F$127 &gt; F88)))</f>
        <v>1</v>
      </c>
      <c r="B88" s="56" t="s">
        <v>72</v>
      </c>
      <c r="C88" s="27"/>
      <c r="D88" s="53"/>
      <c r="E88" s="59">
        <v>8511</v>
      </c>
      <c r="F88" s="54"/>
      <c r="G88" s="28">
        <v>0.82</v>
      </c>
      <c r="H88" s="55"/>
    </row>
    <row r="89" spans="1:8" x14ac:dyDescent="0.2">
      <c r="A89" s="27">
        <f t="array" ref="A89">1+COUNT(_xlfn.UNIQUE(_xlfn._xlws.FILTER($F$5:$F$127, $F$5:$F$127 &gt; F89)))</f>
        <v>1</v>
      </c>
      <c r="B89" s="56" t="s">
        <v>63</v>
      </c>
      <c r="C89" s="27"/>
      <c r="D89" s="53"/>
      <c r="E89" s="59">
        <v>10492</v>
      </c>
      <c r="F89" s="54"/>
      <c r="G89" s="28">
        <v>0.82</v>
      </c>
      <c r="H89" s="55"/>
    </row>
    <row r="90" spans="1:8" x14ac:dyDescent="0.2">
      <c r="A90" s="27">
        <f t="array" ref="A90">1+COUNT(_xlfn.UNIQUE(_xlfn._xlws.FILTER($F$5:$F$127, $F$5:$F$127 &gt; F90)))</f>
        <v>1</v>
      </c>
      <c r="B90" s="56" t="s">
        <v>52</v>
      </c>
      <c r="C90" s="27"/>
      <c r="D90" s="53"/>
      <c r="E90" s="59">
        <v>5817</v>
      </c>
      <c r="F90" s="54"/>
      <c r="G90" s="28">
        <v>0.82</v>
      </c>
      <c r="H90" s="55"/>
    </row>
    <row r="91" spans="1:8" x14ac:dyDescent="0.2">
      <c r="A91" s="27">
        <f t="array" ref="A91">1+COUNT(_xlfn.UNIQUE(_xlfn._xlws.FILTER($F$5:$F$127, $F$5:$F$127 &gt; F91)))</f>
        <v>1</v>
      </c>
      <c r="B91" s="56" t="s">
        <v>9</v>
      </c>
      <c r="C91" s="27"/>
      <c r="D91" s="53"/>
      <c r="E91" s="59">
        <v>7796</v>
      </c>
      <c r="F91" s="54"/>
      <c r="G91" s="28">
        <v>0.82</v>
      </c>
      <c r="H91" s="55"/>
    </row>
    <row r="92" spans="1:8" x14ac:dyDescent="0.2">
      <c r="A92" s="27">
        <f t="array" ref="A92">1+COUNT(_xlfn.UNIQUE(_xlfn._xlws.FILTER($F$5:$F$127, $F$5:$F$127 &gt; F92)))</f>
        <v>1</v>
      </c>
      <c r="B92" s="56" t="s">
        <v>83</v>
      </c>
      <c r="C92" s="27"/>
      <c r="D92" s="53"/>
      <c r="E92" s="59">
        <v>7094</v>
      </c>
      <c r="F92" s="54"/>
      <c r="G92" s="28">
        <v>0.82</v>
      </c>
      <c r="H92" s="55"/>
    </row>
    <row r="93" spans="1:8" x14ac:dyDescent="0.2">
      <c r="A93" s="27">
        <f t="array" ref="A93">1+COUNT(_xlfn.UNIQUE(_xlfn._xlws.FILTER($F$5:$F$127, $F$5:$F$127 &gt; F93)))</f>
        <v>1</v>
      </c>
      <c r="B93" s="56" t="s">
        <v>117</v>
      </c>
      <c r="C93" s="27"/>
      <c r="D93" s="53"/>
      <c r="E93" s="59">
        <v>4174</v>
      </c>
      <c r="F93" s="54"/>
      <c r="G93" s="28">
        <v>0.82</v>
      </c>
      <c r="H93" s="55"/>
    </row>
    <row r="94" spans="1:8" x14ac:dyDescent="0.2">
      <c r="A94" s="27">
        <f t="array" ref="A94">1+COUNT(_xlfn.UNIQUE(_xlfn._xlws.FILTER($F$5:$F$127, $F$5:$F$127 &gt; F94)))</f>
        <v>1</v>
      </c>
      <c r="B94" s="56" t="s">
        <v>45</v>
      </c>
      <c r="C94" s="27"/>
      <c r="D94" s="53"/>
      <c r="E94" s="59">
        <v>7754</v>
      </c>
      <c r="F94" s="54"/>
      <c r="G94" s="28">
        <v>0.82</v>
      </c>
      <c r="H94" s="55"/>
    </row>
    <row r="95" spans="1:8" x14ac:dyDescent="0.2">
      <c r="A95" s="27">
        <f t="array" ref="A95">1+COUNT(_xlfn.UNIQUE(_xlfn._xlws.FILTER($F$5:$F$127, $F$5:$F$127 &gt; F95)))</f>
        <v>1</v>
      </c>
      <c r="B95" s="56" t="s">
        <v>51</v>
      </c>
      <c r="C95" s="27"/>
      <c r="D95" s="53"/>
      <c r="E95" s="59">
        <v>11002</v>
      </c>
      <c r="F95" s="54"/>
      <c r="G95" s="28">
        <v>0.82</v>
      </c>
      <c r="H95" s="55"/>
    </row>
    <row r="96" spans="1:8" x14ac:dyDescent="0.2">
      <c r="A96" s="27">
        <f t="array" ref="A96">1+COUNT(_xlfn.UNIQUE(_xlfn._xlws.FILTER($F$5:$F$127, $F$5:$F$127 &gt; F96)))</f>
        <v>1</v>
      </c>
      <c r="B96" s="56" t="s">
        <v>8</v>
      </c>
      <c r="C96" s="27"/>
      <c r="D96" s="53"/>
      <c r="E96" s="59">
        <v>10412</v>
      </c>
      <c r="F96" s="54"/>
      <c r="G96" s="28">
        <v>0.82</v>
      </c>
      <c r="H96" s="55"/>
    </row>
    <row r="97" spans="1:8" x14ac:dyDescent="0.2">
      <c r="A97" s="27">
        <f t="array" ref="A97">1+COUNT(_xlfn.UNIQUE(_xlfn._xlws.FILTER($F$5:$F$127, $F$5:$F$127 &gt; F97)))</f>
        <v>1</v>
      </c>
      <c r="B97" s="56" t="s">
        <v>86</v>
      </c>
      <c r="C97" s="27"/>
      <c r="D97" s="53"/>
      <c r="E97" s="59">
        <v>8560</v>
      </c>
      <c r="F97" s="54"/>
      <c r="G97" s="28">
        <v>0.82</v>
      </c>
      <c r="H97" s="55"/>
    </row>
    <row r="98" spans="1:8" x14ac:dyDescent="0.2">
      <c r="A98" s="27">
        <f t="array" ref="A98">1+COUNT(_xlfn.UNIQUE(_xlfn._xlws.FILTER($F$5:$F$127, $F$5:$F$127 &gt; F98)))</f>
        <v>1</v>
      </c>
      <c r="B98" s="56" t="s">
        <v>100</v>
      </c>
      <c r="C98" s="27"/>
      <c r="D98" s="53"/>
      <c r="E98" s="59">
        <v>4371</v>
      </c>
      <c r="F98" s="54"/>
      <c r="G98" s="28">
        <v>0.82</v>
      </c>
      <c r="H98" s="55"/>
    </row>
    <row r="99" spans="1:8" x14ac:dyDescent="0.2">
      <c r="A99" s="27">
        <f t="array" ref="A99">1+COUNT(_xlfn.UNIQUE(_xlfn._xlws.FILTER($F$5:$F$127, $F$5:$F$127 &gt; F99)))</f>
        <v>1</v>
      </c>
      <c r="B99" s="56" t="s">
        <v>122</v>
      </c>
      <c r="C99" s="27"/>
      <c r="D99" s="53"/>
      <c r="E99" s="59">
        <v>3876</v>
      </c>
      <c r="F99" s="54"/>
      <c r="G99" s="28">
        <v>0.82</v>
      </c>
      <c r="H99" s="55"/>
    </row>
    <row r="100" spans="1:8" x14ac:dyDescent="0.2">
      <c r="A100" s="27">
        <f t="array" ref="A100">1+COUNT(_xlfn.UNIQUE(_xlfn._xlws.FILTER($F$5:$F$127, $F$5:$F$127 &gt; F100)))</f>
        <v>1</v>
      </c>
      <c r="B100" s="56" t="s">
        <v>103</v>
      </c>
      <c r="C100" s="27"/>
      <c r="D100" s="53"/>
      <c r="E100" s="59">
        <v>4079</v>
      </c>
      <c r="F100" s="54"/>
      <c r="G100" s="28">
        <v>0.82</v>
      </c>
      <c r="H100" s="55"/>
    </row>
    <row r="101" spans="1:8" x14ac:dyDescent="0.2">
      <c r="A101" s="27">
        <f t="array" ref="A101">1+COUNT(_xlfn.UNIQUE(_xlfn._xlws.FILTER($F$5:$F$127, $F$5:$F$127 &gt; F101)))</f>
        <v>1</v>
      </c>
      <c r="B101" s="56" t="s">
        <v>115</v>
      </c>
      <c r="C101" s="27"/>
      <c r="D101" s="53"/>
      <c r="E101" s="59">
        <v>3837</v>
      </c>
      <c r="F101" s="54"/>
      <c r="G101" s="28">
        <v>0.82</v>
      </c>
      <c r="H101" s="55"/>
    </row>
    <row r="102" spans="1:8" x14ac:dyDescent="0.2">
      <c r="A102" s="27">
        <f t="array" ref="A102">1+COUNT(_xlfn.UNIQUE(_xlfn._xlws.FILTER($F$5:$F$127, $F$5:$F$127 &gt; F102)))</f>
        <v>1</v>
      </c>
      <c r="B102" s="56" t="s">
        <v>14</v>
      </c>
      <c r="C102" s="27"/>
      <c r="D102" s="53"/>
      <c r="E102" s="59">
        <v>6066</v>
      </c>
      <c r="F102" s="54"/>
      <c r="G102" s="28">
        <v>0.82</v>
      </c>
      <c r="H102" s="55"/>
    </row>
    <row r="103" spans="1:8" x14ac:dyDescent="0.2">
      <c r="A103" s="27">
        <f t="array" ref="A103">1+COUNT(_xlfn.UNIQUE(_xlfn._xlws.FILTER($F$5:$F$127, $F$5:$F$127 &gt; F103)))</f>
        <v>1</v>
      </c>
      <c r="B103" s="56" t="s">
        <v>90</v>
      </c>
      <c r="C103" s="27"/>
      <c r="D103" s="53"/>
      <c r="E103" s="59">
        <v>3954</v>
      </c>
      <c r="F103" s="54"/>
      <c r="G103" s="28">
        <v>0.82</v>
      </c>
      <c r="H103" s="55"/>
    </row>
    <row r="104" spans="1:8" x14ac:dyDescent="0.2">
      <c r="A104" s="27">
        <f t="array" ref="A104">1+COUNT(_xlfn.UNIQUE(_xlfn._xlws.FILTER($F$5:$F$127, $F$5:$F$127 &gt; F104)))</f>
        <v>1</v>
      </c>
      <c r="B104" s="56" t="s">
        <v>84</v>
      </c>
      <c r="C104" s="27"/>
      <c r="D104" s="53"/>
      <c r="E104" s="59">
        <v>3472</v>
      </c>
      <c r="F104" s="54"/>
      <c r="G104" s="28">
        <v>0.82</v>
      </c>
      <c r="H104" s="55"/>
    </row>
    <row r="105" spans="1:8" x14ac:dyDescent="0.2">
      <c r="A105" s="27">
        <f t="array" ref="A105">1+COUNT(_xlfn.UNIQUE(_xlfn._xlws.FILTER($F$5:$F$127, $F$5:$F$127 &gt; F105)))</f>
        <v>1</v>
      </c>
      <c r="B105" s="56" t="s">
        <v>101</v>
      </c>
      <c r="C105" s="27"/>
      <c r="D105" s="53"/>
      <c r="E105" s="59">
        <v>3332</v>
      </c>
      <c r="F105" s="54"/>
      <c r="G105" s="28">
        <v>0.82</v>
      </c>
      <c r="H105" s="55"/>
    </row>
    <row r="106" spans="1:8" x14ac:dyDescent="0.2">
      <c r="A106" s="27">
        <f t="array" ref="A106">1+COUNT(_xlfn.UNIQUE(_xlfn._xlws.FILTER($F$5:$F$127, $F$5:$F$127 &gt; F106)))</f>
        <v>1</v>
      </c>
      <c r="B106" s="56" t="s">
        <v>55</v>
      </c>
      <c r="C106" s="27"/>
      <c r="D106" s="53"/>
      <c r="E106" s="59">
        <v>9643</v>
      </c>
      <c r="F106" s="54"/>
      <c r="G106" s="28">
        <v>0.82</v>
      </c>
      <c r="H106" s="55"/>
    </row>
    <row r="107" spans="1:8" x14ac:dyDescent="0.2">
      <c r="A107" s="27">
        <f t="array" ref="A107">1+COUNT(_xlfn.UNIQUE(_xlfn._xlws.FILTER($F$5:$F$127, $F$5:$F$127 &gt; F107)))</f>
        <v>1</v>
      </c>
      <c r="B107" s="56" t="s">
        <v>48</v>
      </c>
      <c r="C107" s="27"/>
      <c r="D107" s="53"/>
      <c r="E107" s="59">
        <v>4544</v>
      </c>
      <c r="F107" s="54"/>
      <c r="G107" s="28">
        <v>0.82</v>
      </c>
      <c r="H107" s="55"/>
    </row>
    <row r="108" spans="1:8" x14ac:dyDescent="0.2">
      <c r="A108" s="27">
        <f t="array" ref="A108">1+COUNT(_xlfn.UNIQUE(_xlfn._xlws.FILTER($F$5:$F$127, $F$5:$F$127 &gt; F108)))</f>
        <v>1</v>
      </c>
      <c r="B108" s="56" t="s">
        <v>12</v>
      </c>
      <c r="C108" s="27"/>
      <c r="D108" s="53"/>
      <c r="E108" s="59">
        <v>4107</v>
      </c>
      <c r="F108" s="54"/>
      <c r="G108" s="28">
        <v>0.82</v>
      </c>
      <c r="H108" s="55"/>
    </row>
    <row r="109" spans="1:8" x14ac:dyDescent="0.2">
      <c r="A109" s="27">
        <f t="array" ref="A109">1+COUNT(_xlfn.UNIQUE(_xlfn._xlws.FILTER($F$5:$F$127, $F$5:$F$127 &gt; F109)))</f>
        <v>1</v>
      </c>
      <c r="B109" s="56" t="s">
        <v>34</v>
      </c>
      <c r="C109" s="27"/>
      <c r="D109" s="53"/>
      <c r="E109" s="59">
        <v>5933</v>
      </c>
      <c r="F109" s="54"/>
      <c r="G109" s="28">
        <v>0.82</v>
      </c>
      <c r="H109" s="55"/>
    </row>
    <row r="110" spans="1:8" x14ac:dyDescent="0.2">
      <c r="A110" s="27">
        <f t="array" ref="A110">1+COUNT(_xlfn.UNIQUE(_xlfn._xlws.FILTER($F$5:$F$127, $F$5:$F$127 &gt; F110)))</f>
        <v>1</v>
      </c>
      <c r="B110" s="56" t="s">
        <v>120</v>
      </c>
      <c r="C110" s="27"/>
      <c r="D110" s="53"/>
      <c r="E110" s="59">
        <v>7680</v>
      </c>
      <c r="F110" s="54"/>
      <c r="G110" s="28">
        <v>0.82</v>
      </c>
      <c r="H110" s="55"/>
    </row>
    <row r="111" spans="1:8" x14ac:dyDescent="0.2">
      <c r="A111" s="27">
        <f t="array" ref="A111">1+COUNT(_xlfn.UNIQUE(_xlfn._xlws.FILTER($F$5:$F$127, $F$5:$F$127 &gt; F111)))</f>
        <v>1</v>
      </c>
      <c r="B111" s="56" t="s">
        <v>61</v>
      </c>
      <c r="C111" s="27"/>
      <c r="D111" s="53"/>
      <c r="E111" s="59">
        <v>8989</v>
      </c>
      <c r="F111" s="54"/>
      <c r="G111" s="28">
        <v>0.82</v>
      </c>
      <c r="H111" s="55"/>
    </row>
    <row r="112" spans="1:8" x14ac:dyDescent="0.2">
      <c r="A112" s="27">
        <f t="array" ref="A112">1+COUNT(_xlfn.UNIQUE(_xlfn._xlws.FILTER($F$5:$F$127, $F$5:$F$127 &gt; F112)))</f>
        <v>1</v>
      </c>
      <c r="B112" s="56" t="s">
        <v>20</v>
      </c>
      <c r="C112" s="27"/>
      <c r="D112" s="53"/>
      <c r="E112" s="59">
        <v>5774</v>
      </c>
      <c r="F112" s="54"/>
      <c r="G112" s="28">
        <v>0.82</v>
      </c>
      <c r="H112" s="55"/>
    </row>
    <row r="113" spans="1:8" x14ac:dyDescent="0.2">
      <c r="A113" s="27">
        <f t="array" ref="A113">1+COUNT(_xlfn.UNIQUE(_xlfn._xlws.FILTER($F$5:$F$127, $F$5:$F$127 &gt; F113)))</f>
        <v>1</v>
      </c>
      <c r="B113" s="56" t="s">
        <v>113</v>
      </c>
      <c r="C113" s="27"/>
      <c r="D113" s="53"/>
      <c r="E113" s="59">
        <v>6251</v>
      </c>
      <c r="F113" s="54"/>
      <c r="G113" s="28">
        <v>0.82</v>
      </c>
      <c r="H113" s="55"/>
    </row>
    <row r="114" spans="1:8" x14ac:dyDescent="0.2">
      <c r="A114" s="27">
        <f t="array" ref="A114">1+COUNT(_xlfn.UNIQUE(_xlfn._xlws.FILTER($F$5:$F$127, $F$5:$F$127 &gt; F114)))</f>
        <v>1</v>
      </c>
      <c r="B114" s="56" t="s">
        <v>13</v>
      </c>
      <c r="C114" s="27"/>
      <c r="D114" s="53"/>
      <c r="E114" s="59">
        <v>16339</v>
      </c>
      <c r="F114" s="54"/>
      <c r="G114" s="28">
        <v>0.87</v>
      </c>
      <c r="H114" s="55"/>
    </row>
    <row r="115" spans="1:8" x14ac:dyDescent="0.2">
      <c r="A115" s="27">
        <f t="array" ref="A115">1+COUNT(_xlfn.UNIQUE(_xlfn._xlws.FILTER($F$5:$F$127, $F$5:$F$127 &gt; F115)))</f>
        <v>1</v>
      </c>
      <c r="B115" s="56" t="s">
        <v>18</v>
      </c>
      <c r="C115" s="27"/>
      <c r="D115" s="53"/>
      <c r="E115" s="59">
        <v>4151</v>
      </c>
      <c r="F115" s="54"/>
      <c r="G115" s="28">
        <v>0.82</v>
      </c>
      <c r="H115" s="55"/>
    </row>
    <row r="116" spans="1:8" x14ac:dyDescent="0.2">
      <c r="A116" s="27">
        <f t="array" ref="A116">1+COUNT(_xlfn.UNIQUE(_xlfn._xlws.FILTER($F$5:$F$127, $F$5:$F$127 &gt; F116)))</f>
        <v>1</v>
      </c>
      <c r="B116" s="56" t="s">
        <v>66</v>
      </c>
      <c r="C116" s="27"/>
      <c r="D116" s="53"/>
      <c r="E116" s="59">
        <v>8130</v>
      </c>
      <c r="F116" s="54"/>
      <c r="G116" s="28">
        <v>0.82</v>
      </c>
      <c r="H116" s="55"/>
    </row>
    <row r="117" spans="1:8" x14ac:dyDescent="0.2">
      <c r="A117" s="27">
        <f t="array" ref="A117">1+COUNT(_xlfn.UNIQUE(_xlfn._xlws.FILTER($F$5:$F$127, $F$5:$F$127 &gt; F117)))</f>
        <v>1</v>
      </c>
      <c r="B117" s="56" t="s">
        <v>98</v>
      </c>
      <c r="C117" s="27"/>
      <c r="D117" s="53"/>
      <c r="E117" s="59">
        <v>10621</v>
      </c>
      <c r="F117" s="54"/>
      <c r="G117" s="28">
        <v>0.87</v>
      </c>
      <c r="H117" s="55"/>
    </row>
    <row r="118" spans="1:8" x14ac:dyDescent="0.2">
      <c r="A118" s="27">
        <f t="array" ref="A118">1+COUNT(_xlfn.UNIQUE(_xlfn._xlws.FILTER($F$5:$F$127, $F$5:$F$127 &gt; F118)))</f>
        <v>1</v>
      </c>
      <c r="B118" s="56" t="s">
        <v>75</v>
      </c>
      <c r="C118" s="27"/>
      <c r="D118" s="53"/>
      <c r="E118" s="59">
        <v>6173</v>
      </c>
      <c r="F118" s="54"/>
      <c r="G118" s="28">
        <v>0.82</v>
      </c>
      <c r="H118" s="55"/>
    </row>
    <row r="119" spans="1:8" x14ac:dyDescent="0.2">
      <c r="A119" s="27">
        <f t="array" ref="A119">1+COUNT(_xlfn.UNIQUE(_xlfn._xlws.FILTER($F$5:$F$127, $F$5:$F$127 &gt; F119)))</f>
        <v>1</v>
      </c>
      <c r="B119" s="56" t="s">
        <v>19</v>
      </c>
      <c r="C119" s="27"/>
      <c r="D119" s="53"/>
      <c r="E119" s="59">
        <v>10589</v>
      </c>
      <c r="F119" s="54"/>
      <c r="G119" s="28">
        <v>0.82</v>
      </c>
      <c r="H119" s="55"/>
    </row>
    <row r="120" spans="1:8" x14ac:dyDescent="0.2">
      <c r="A120" s="27">
        <f t="array" ref="A120">1+COUNT(_xlfn.UNIQUE(_xlfn._xlws.FILTER($F$5:$F$127, $F$5:$F$127 &gt; F120)))</f>
        <v>1</v>
      </c>
      <c r="B120" s="56" t="s">
        <v>81</v>
      </c>
      <c r="C120" s="27"/>
      <c r="D120" s="53"/>
      <c r="E120" s="59">
        <v>5147</v>
      </c>
      <c r="F120" s="54"/>
      <c r="G120" s="28">
        <v>0.82</v>
      </c>
      <c r="H120" s="55"/>
    </row>
    <row r="121" spans="1:8" x14ac:dyDescent="0.2">
      <c r="A121" s="27">
        <f t="array" ref="A121">1+COUNT(_xlfn.UNIQUE(_xlfn._xlws.FILTER($F$5:$F$127, $F$5:$F$127 &gt; F121)))</f>
        <v>1</v>
      </c>
      <c r="B121" s="56" t="s">
        <v>88</v>
      </c>
      <c r="C121" s="27"/>
      <c r="D121" s="53"/>
      <c r="E121" s="59">
        <v>4074</v>
      </c>
      <c r="F121" s="54"/>
      <c r="G121" s="28">
        <v>0.82</v>
      </c>
      <c r="H121" s="55"/>
    </row>
    <row r="122" spans="1:8" x14ac:dyDescent="0.2">
      <c r="A122" s="27">
        <f t="array" ref="A122">1+COUNT(_xlfn.UNIQUE(_xlfn._xlws.FILTER($F$5:$F$127, $F$5:$F$127 &gt; F122)))</f>
        <v>1</v>
      </c>
      <c r="B122" s="56" t="s">
        <v>41</v>
      </c>
      <c r="C122" s="27"/>
      <c r="D122" s="53"/>
      <c r="E122" s="59">
        <v>5897</v>
      </c>
      <c r="F122" s="54"/>
      <c r="G122" s="28">
        <v>0.82</v>
      </c>
      <c r="H122" s="55"/>
    </row>
    <row r="123" spans="1:8" x14ac:dyDescent="0.2">
      <c r="A123" s="27">
        <f t="array" ref="A123">1+COUNT(_xlfn.UNIQUE(_xlfn._xlws.FILTER($F$5:$F$127, $F$5:$F$127 &gt; F123)))</f>
        <v>1</v>
      </c>
      <c r="B123" s="56" t="s">
        <v>53</v>
      </c>
      <c r="C123" s="27"/>
      <c r="D123" s="53"/>
      <c r="E123" s="59">
        <v>15206</v>
      </c>
      <c r="F123" s="54"/>
      <c r="G123" s="28">
        <v>0.87</v>
      </c>
      <c r="H123" s="55"/>
    </row>
    <row r="124" spans="1:8" x14ac:dyDescent="0.2">
      <c r="A124" s="27">
        <f t="array" ref="A124">1+COUNT(_xlfn.UNIQUE(_xlfn._xlws.FILTER($F$5:$F$127, $F$5:$F$127 &gt; F124)))</f>
        <v>1</v>
      </c>
      <c r="B124" s="56" t="s">
        <v>1</v>
      </c>
      <c r="C124" s="27"/>
      <c r="D124" s="53"/>
      <c r="E124" s="59">
        <v>8898</v>
      </c>
      <c r="F124" s="54"/>
      <c r="G124" s="28">
        <v>0.82</v>
      </c>
      <c r="H124" s="55"/>
    </row>
    <row r="125" spans="1:8" x14ac:dyDescent="0.2">
      <c r="A125" s="27">
        <f t="array" ref="A125">1+COUNT(_xlfn.UNIQUE(_xlfn._xlws.FILTER($F$5:$F$127, $F$5:$F$127 &gt; F125)))</f>
        <v>1</v>
      </c>
      <c r="B125" s="56" t="s">
        <v>99</v>
      </c>
      <c r="C125" s="27"/>
      <c r="D125" s="53"/>
      <c r="E125" s="59">
        <v>6771</v>
      </c>
      <c r="F125" s="54"/>
      <c r="G125" s="28">
        <v>0.82</v>
      </c>
      <c r="H125" s="55"/>
    </row>
    <row r="126" spans="1:8" x14ac:dyDescent="0.2">
      <c r="A126" s="27">
        <f t="array" ref="A126">1+COUNT(_xlfn.UNIQUE(_xlfn._xlws.FILTER($F$5:$F$127, $F$5:$F$127 &gt; F126)))</f>
        <v>1</v>
      </c>
      <c r="B126" s="56" t="s">
        <v>25</v>
      </c>
      <c r="C126" s="27"/>
      <c r="D126" s="53"/>
      <c r="E126" s="59">
        <v>18235</v>
      </c>
      <c r="F126" s="54"/>
      <c r="G126" s="28">
        <v>0.87</v>
      </c>
      <c r="H126" s="55"/>
    </row>
    <row r="127" spans="1:8" x14ac:dyDescent="0.2">
      <c r="A127" s="27">
        <f t="array" ref="A127">1+COUNT(_xlfn.UNIQUE(_xlfn._xlws.FILTER($F$5:$F$127, $F$5:$F$127 &gt; F127)))</f>
        <v>1</v>
      </c>
      <c r="B127" s="56" t="s">
        <v>121</v>
      </c>
      <c r="C127" s="27"/>
      <c r="D127" s="53"/>
      <c r="E127" s="59">
        <v>3881</v>
      </c>
      <c r="F127" s="54"/>
      <c r="G127" s="28">
        <v>0.82</v>
      </c>
      <c r="H127" s="55"/>
    </row>
    <row r="128" spans="1:8" ht="14.25" x14ac:dyDescent="0.2"/>
    <row r="129" ht="14.25" x14ac:dyDescent="0.2"/>
    <row r="130" ht="14.25" x14ac:dyDescent="0.2"/>
    <row r="131" ht="14.25" x14ac:dyDescent="0.2"/>
    <row r="132" ht="14.25" x14ac:dyDescent="0.2"/>
    <row r="133" ht="14.25" x14ac:dyDescent="0.2"/>
    <row r="134" ht="14.25" x14ac:dyDescent="0.2"/>
    <row r="135" ht="14.25" x14ac:dyDescent="0.2"/>
    <row r="136" ht="14.25" x14ac:dyDescent="0.2"/>
    <row r="137" ht="14.25" x14ac:dyDescent="0.2"/>
    <row r="138" ht="14.25" x14ac:dyDescent="0.2"/>
    <row r="139" ht="14.25" x14ac:dyDescent="0.2"/>
    <row r="140" ht="14.25" x14ac:dyDescent="0.2"/>
    <row r="141" ht="14.25" x14ac:dyDescent="0.2"/>
    <row r="142" ht="14.25" x14ac:dyDescent="0.2"/>
    <row r="143" ht="14.25" x14ac:dyDescent="0.2"/>
    <row r="144" ht="14.25" x14ac:dyDescent="0.2"/>
    <row r="145" ht="14.25" x14ac:dyDescent="0.2"/>
    <row r="146" ht="14.25" x14ac:dyDescent="0.2"/>
    <row r="147" ht="14.25" x14ac:dyDescent="0.2"/>
    <row r="148" ht="14.25" x14ac:dyDescent="0.2"/>
    <row r="149" ht="14.25" x14ac:dyDescent="0.2"/>
    <row r="150" ht="14.25" x14ac:dyDescent="0.2"/>
    <row r="151" ht="14.25" x14ac:dyDescent="0.2"/>
    <row r="152" ht="14.25" x14ac:dyDescent="0.2"/>
    <row r="153" ht="14.25" x14ac:dyDescent="0.2"/>
    <row r="154" ht="14.25" x14ac:dyDescent="0.2"/>
    <row r="155" ht="14.25" x14ac:dyDescent="0.2"/>
    <row r="156" ht="14.25" x14ac:dyDescent="0.2"/>
    <row r="157" ht="14.25" x14ac:dyDescent="0.2"/>
    <row r="158" ht="14.25" x14ac:dyDescent="0.2"/>
    <row r="159" ht="14.25" x14ac:dyDescent="0.2"/>
    <row r="160" ht="14.25" x14ac:dyDescent="0.2"/>
    <row r="161" ht="14.25" x14ac:dyDescent="0.2"/>
    <row r="162" ht="14.25" x14ac:dyDescent="0.2"/>
    <row r="163" ht="14.25" x14ac:dyDescent="0.2"/>
    <row r="164" ht="14.25" x14ac:dyDescent="0.2"/>
    <row r="165" ht="14.25" x14ac:dyDescent="0.2"/>
    <row r="166" ht="14.25" x14ac:dyDescent="0.2"/>
    <row r="167" ht="14.25" x14ac:dyDescent="0.2"/>
    <row r="168" ht="14.25" x14ac:dyDescent="0.2"/>
    <row r="169" ht="14.25" x14ac:dyDescent="0.2"/>
    <row r="170" ht="14.25" x14ac:dyDescent="0.2"/>
    <row r="171" ht="14.25" x14ac:dyDescent="0.2"/>
    <row r="172" ht="14.25" x14ac:dyDescent="0.2"/>
    <row r="173" ht="14.25" x14ac:dyDescent="0.2"/>
    <row r="174" ht="14.25" x14ac:dyDescent="0.2"/>
    <row r="175" ht="14.25" x14ac:dyDescent="0.2"/>
    <row r="176" ht="14.25" x14ac:dyDescent="0.2"/>
    <row r="177" ht="14.25" x14ac:dyDescent="0.2"/>
    <row r="178" ht="14.25" x14ac:dyDescent="0.2"/>
    <row r="179" ht="14.25" x14ac:dyDescent="0.2"/>
    <row r="180" ht="14.25" x14ac:dyDescent="0.2"/>
    <row r="181" ht="14.25" x14ac:dyDescent="0.2"/>
    <row r="182" ht="14.25" x14ac:dyDescent="0.2"/>
    <row r="183" ht="14.25" x14ac:dyDescent="0.2"/>
    <row r="184" ht="14.25" x14ac:dyDescent="0.2"/>
    <row r="185" ht="14.25" x14ac:dyDescent="0.2"/>
    <row r="186" ht="14.25" x14ac:dyDescent="0.2"/>
    <row r="187" ht="14.25" x14ac:dyDescent="0.2"/>
    <row r="188" ht="14.25" x14ac:dyDescent="0.2"/>
    <row r="189" ht="14.25" x14ac:dyDescent="0.2"/>
    <row r="190" ht="14.25" x14ac:dyDescent="0.2"/>
    <row r="191" ht="14.25" x14ac:dyDescent="0.2"/>
    <row r="192" ht="14.25" x14ac:dyDescent="0.2"/>
    <row r="193" ht="14.25" x14ac:dyDescent="0.2"/>
    <row r="194" ht="14.25" x14ac:dyDescent="0.2"/>
    <row r="195" ht="14.25" x14ac:dyDescent="0.2"/>
    <row r="196" ht="14.25" x14ac:dyDescent="0.2"/>
    <row r="197" ht="14.25" x14ac:dyDescent="0.2"/>
    <row r="198" ht="14.25" x14ac:dyDescent="0.2"/>
    <row r="199" ht="14.25" x14ac:dyDescent="0.2"/>
    <row r="200" ht="14.25" x14ac:dyDescent="0.2"/>
    <row r="201" ht="14.25" x14ac:dyDescent="0.2"/>
    <row r="202" ht="14.25" x14ac:dyDescent="0.2"/>
    <row r="203" ht="14.25" x14ac:dyDescent="0.2"/>
    <row r="204" ht="14.25" x14ac:dyDescent="0.2"/>
    <row r="205" ht="14.25" x14ac:dyDescent="0.2"/>
    <row r="206" ht="14.25" x14ac:dyDescent="0.2"/>
    <row r="207" ht="14.25" x14ac:dyDescent="0.2"/>
    <row r="208" ht="14.25" x14ac:dyDescent="0.2"/>
    <row r="209" ht="14.25" x14ac:dyDescent="0.2"/>
    <row r="210" ht="14.25" x14ac:dyDescent="0.2"/>
    <row r="211" ht="14.25" x14ac:dyDescent="0.2"/>
    <row r="212" ht="14.25" x14ac:dyDescent="0.2"/>
    <row r="213" ht="14.25" x14ac:dyDescent="0.2"/>
    <row r="214" ht="14.25" x14ac:dyDescent="0.2"/>
    <row r="215" ht="14.25" x14ac:dyDescent="0.2"/>
    <row r="216" ht="14.25" x14ac:dyDescent="0.2"/>
    <row r="217" ht="14.25" x14ac:dyDescent="0.2"/>
    <row r="218" ht="14.25" x14ac:dyDescent="0.2"/>
    <row r="219" ht="14.25" x14ac:dyDescent="0.2"/>
    <row r="220" ht="14.25" x14ac:dyDescent="0.2"/>
    <row r="221" ht="14.25" x14ac:dyDescent="0.2"/>
    <row r="222" ht="14.25" x14ac:dyDescent="0.2"/>
    <row r="223" ht="14.25" x14ac:dyDescent="0.2"/>
    <row r="224" ht="14.25" x14ac:dyDescent="0.2"/>
    <row r="225" ht="14.25" x14ac:dyDescent="0.2"/>
    <row r="226" ht="14.25" x14ac:dyDescent="0.2"/>
    <row r="227" ht="14.25" x14ac:dyDescent="0.2"/>
    <row r="228" ht="14.25" x14ac:dyDescent="0.2"/>
    <row r="229" ht="14.25" x14ac:dyDescent="0.2"/>
    <row r="230" ht="14.25" x14ac:dyDescent="0.2"/>
    <row r="231" ht="14.25" x14ac:dyDescent="0.2"/>
    <row r="232" ht="14.25" x14ac:dyDescent="0.2"/>
    <row r="233" ht="14.25" x14ac:dyDescent="0.2"/>
    <row r="234" ht="14.25" x14ac:dyDescent="0.2"/>
    <row r="235" ht="14.25" x14ac:dyDescent="0.2"/>
    <row r="236" ht="14.25" x14ac:dyDescent="0.2"/>
    <row r="237" ht="14.25" x14ac:dyDescent="0.2"/>
    <row r="238" ht="14.25" x14ac:dyDescent="0.2"/>
    <row r="239" ht="14.25" x14ac:dyDescent="0.2"/>
    <row r="240" ht="14.25" x14ac:dyDescent="0.2"/>
    <row r="241" ht="14.25" x14ac:dyDescent="0.2"/>
    <row r="242" ht="14.25" x14ac:dyDescent="0.2"/>
    <row r="243" ht="14.25" x14ac:dyDescent="0.2"/>
    <row r="244" ht="14.25" x14ac:dyDescent="0.2"/>
    <row r="245" ht="14.25" x14ac:dyDescent="0.2"/>
    <row r="246" ht="14.25" x14ac:dyDescent="0.2"/>
    <row r="247" ht="14.25" x14ac:dyDescent="0.2"/>
    <row r="248" ht="14.25" x14ac:dyDescent="0.2"/>
    <row r="249" ht="14.25" x14ac:dyDescent="0.2"/>
    <row r="250" ht="14.25" x14ac:dyDescent="0.2"/>
    <row r="251" ht="14.25" x14ac:dyDescent="0.2"/>
    <row r="252" ht="14.25" x14ac:dyDescent="0.2"/>
    <row r="253" ht="14.25" x14ac:dyDescent="0.2"/>
    <row r="254" ht="14.25" x14ac:dyDescent="0.2"/>
    <row r="255" ht="14.25" x14ac:dyDescent="0.2"/>
    <row r="256" ht="14.25" x14ac:dyDescent="0.2"/>
    <row r="257" ht="14.25" x14ac:dyDescent="0.2"/>
    <row r="258" ht="14.25" x14ac:dyDescent="0.2"/>
    <row r="259" ht="14.25" x14ac:dyDescent="0.2"/>
    <row r="260" ht="14.25" x14ac:dyDescent="0.2"/>
    <row r="261" ht="14.25" x14ac:dyDescent="0.2"/>
    <row r="262" ht="14.25" x14ac:dyDescent="0.2"/>
    <row r="263" ht="14.25" x14ac:dyDescent="0.2"/>
    <row r="264" ht="14.25" x14ac:dyDescent="0.2"/>
    <row r="265" ht="14.25" x14ac:dyDescent="0.2"/>
    <row r="266" ht="14.25" x14ac:dyDescent="0.2"/>
    <row r="267" ht="14.25" x14ac:dyDescent="0.2"/>
    <row r="268" ht="14.25" x14ac:dyDescent="0.2"/>
    <row r="269" ht="14.25" x14ac:dyDescent="0.2"/>
    <row r="270" ht="14.25" x14ac:dyDescent="0.2"/>
    <row r="271" ht="14.25" x14ac:dyDescent="0.2"/>
    <row r="272" ht="14.25" x14ac:dyDescent="0.2"/>
    <row r="273" ht="14.25" x14ac:dyDescent="0.2"/>
    <row r="274" ht="14.25" x14ac:dyDescent="0.2"/>
    <row r="275" ht="14.25" x14ac:dyDescent="0.2"/>
    <row r="276" ht="14.25" x14ac:dyDescent="0.2"/>
    <row r="277" ht="14.25" x14ac:dyDescent="0.2"/>
    <row r="278" ht="14.25" x14ac:dyDescent="0.2"/>
    <row r="279" ht="14.25" x14ac:dyDescent="0.2"/>
    <row r="280" ht="14.25" x14ac:dyDescent="0.2"/>
    <row r="281" ht="14.25" x14ac:dyDescent="0.2"/>
    <row r="282" ht="14.25" x14ac:dyDescent="0.2"/>
    <row r="283" ht="14.25" x14ac:dyDescent="0.2"/>
    <row r="284" ht="14.25" x14ac:dyDescent="0.2"/>
    <row r="285" ht="14.25" x14ac:dyDescent="0.2"/>
    <row r="286" ht="14.25" x14ac:dyDescent="0.2"/>
    <row r="287" ht="14.25" x14ac:dyDescent="0.2"/>
    <row r="288" ht="14.25" x14ac:dyDescent="0.2"/>
    <row r="289" ht="14.25" x14ac:dyDescent="0.2"/>
    <row r="290" ht="14.25" x14ac:dyDescent="0.2"/>
    <row r="291" ht="14.25" x14ac:dyDescent="0.2"/>
    <row r="292" ht="14.25" x14ac:dyDescent="0.2"/>
    <row r="293" ht="14.25" x14ac:dyDescent="0.2"/>
    <row r="294" ht="14.25" x14ac:dyDescent="0.2"/>
    <row r="295" ht="14.25" x14ac:dyDescent="0.2"/>
    <row r="296" ht="14.25" x14ac:dyDescent="0.2"/>
    <row r="297" ht="14.25" x14ac:dyDescent="0.2"/>
    <row r="298" ht="14.25" x14ac:dyDescent="0.2"/>
    <row r="299" ht="14.25" x14ac:dyDescent="0.2"/>
    <row r="300" ht="14.25" x14ac:dyDescent="0.2"/>
    <row r="301" ht="14.25" x14ac:dyDescent="0.2"/>
    <row r="302" ht="14.25" x14ac:dyDescent="0.2"/>
    <row r="303" ht="14.25" x14ac:dyDescent="0.2"/>
    <row r="304" ht="14.25" x14ac:dyDescent="0.2"/>
    <row r="305" ht="14.25" x14ac:dyDescent="0.2"/>
    <row r="306" ht="14.25" x14ac:dyDescent="0.2"/>
    <row r="307" ht="14.25" x14ac:dyDescent="0.2"/>
    <row r="308" ht="14.25" x14ac:dyDescent="0.2"/>
    <row r="309" ht="14.25" x14ac:dyDescent="0.2"/>
    <row r="310" ht="14.25" x14ac:dyDescent="0.2"/>
    <row r="311" ht="14.25" x14ac:dyDescent="0.2"/>
    <row r="312" ht="14.25" x14ac:dyDescent="0.2"/>
    <row r="313" ht="14.25" x14ac:dyDescent="0.2"/>
    <row r="314" ht="14.25" x14ac:dyDescent="0.2"/>
    <row r="315" ht="14.25" x14ac:dyDescent="0.2"/>
    <row r="316" ht="14.25" x14ac:dyDescent="0.2"/>
    <row r="317" ht="14.25" x14ac:dyDescent="0.2"/>
    <row r="318" ht="14.25" x14ac:dyDescent="0.2"/>
    <row r="319" ht="14.25" x14ac:dyDescent="0.2"/>
    <row r="320" ht="14.25" x14ac:dyDescent="0.2"/>
    <row r="321" ht="14.25" x14ac:dyDescent="0.2"/>
    <row r="322" ht="14.25" x14ac:dyDescent="0.2"/>
    <row r="323" ht="14.25" x14ac:dyDescent="0.2"/>
    <row r="324" ht="14.25" x14ac:dyDescent="0.2"/>
    <row r="325" ht="14.25" x14ac:dyDescent="0.2"/>
    <row r="326" ht="14.25" x14ac:dyDescent="0.2"/>
    <row r="327" ht="14.25" x14ac:dyDescent="0.2"/>
    <row r="328" ht="14.25" x14ac:dyDescent="0.2"/>
    <row r="329" ht="14.25" x14ac:dyDescent="0.2"/>
    <row r="330" ht="14.25" x14ac:dyDescent="0.2"/>
    <row r="331" ht="14.25" x14ac:dyDescent="0.2"/>
    <row r="332" ht="14.25" x14ac:dyDescent="0.2"/>
    <row r="333" ht="14.25" x14ac:dyDescent="0.2"/>
    <row r="334" ht="14.25" x14ac:dyDescent="0.2"/>
    <row r="335" ht="14.25" x14ac:dyDescent="0.2"/>
    <row r="336" ht="14.25" x14ac:dyDescent="0.2"/>
    <row r="337" ht="14.25" x14ac:dyDescent="0.2"/>
    <row r="338" ht="14.25" x14ac:dyDescent="0.2"/>
    <row r="339" ht="14.25" x14ac:dyDescent="0.2"/>
    <row r="340" ht="14.25" x14ac:dyDescent="0.2"/>
    <row r="341" ht="14.25" x14ac:dyDescent="0.2"/>
    <row r="342" ht="14.25" x14ac:dyDescent="0.2"/>
    <row r="343" ht="14.25" x14ac:dyDescent="0.2"/>
    <row r="344" ht="14.25" x14ac:dyDescent="0.2"/>
    <row r="345" ht="14.25" x14ac:dyDescent="0.2"/>
    <row r="346" ht="14.25" x14ac:dyDescent="0.2"/>
    <row r="347" ht="14.25" x14ac:dyDescent="0.2"/>
    <row r="348" ht="14.25" x14ac:dyDescent="0.2"/>
    <row r="349" ht="14.25" x14ac:dyDescent="0.2"/>
    <row r="350" ht="14.25" x14ac:dyDescent="0.2"/>
    <row r="351" ht="14.25" x14ac:dyDescent="0.2"/>
    <row r="352" ht="14.25" x14ac:dyDescent="0.2"/>
    <row r="353" ht="14.25" x14ac:dyDescent="0.2"/>
    <row r="354" ht="14.25" x14ac:dyDescent="0.2"/>
    <row r="355" ht="14.25" x14ac:dyDescent="0.2"/>
    <row r="356" ht="14.25" x14ac:dyDescent="0.2"/>
    <row r="357" ht="14.25" x14ac:dyDescent="0.2"/>
    <row r="358" ht="14.25" x14ac:dyDescent="0.2"/>
    <row r="359" ht="14.25" x14ac:dyDescent="0.2"/>
    <row r="360" ht="14.25" x14ac:dyDescent="0.2"/>
    <row r="361" ht="14.25" x14ac:dyDescent="0.2"/>
    <row r="362" ht="14.25" x14ac:dyDescent="0.2"/>
    <row r="363" ht="14.25" x14ac:dyDescent="0.2"/>
    <row r="364" ht="14.25" x14ac:dyDescent="0.2"/>
    <row r="365" ht="14.25" x14ac:dyDescent="0.2"/>
    <row r="366" ht="14.25" x14ac:dyDescent="0.2"/>
    <row r="367" ht="14.25" x14ac:dyDescent="0.2"/>
    <row r="368" ht="14.25" x14ac:dyDescent="0.2"/>
    <row r="369" ht="14.25" x14ac:dyDescent="0.2"/>
    <row r="370" ht="14.25" x14ac:dyDescent="0.2"/>
    <row r="371" ht="14.25" x14ac:dyDescent="0.2"/>
    <row r="372" ht="14.25" x14ac:dyDescent="0.2"/>
    <row r="373" ht="14.25" x14ac:dyDescent="0.2"/>
    <row r="374" ht="14.25" x14ac:dyDescent="0.2"/>
    <row r="375" ht="14.25" x14ac:dyDescent="0.2"/>
    <row r="376" ht="14.25" x14ac:dyDescent="0.2"/>
    <row r="377" ht="14.25" x14ac:dyDescent="0.2"/>
    <row r="378" ht="14.25" x14ac:dyDescent="0.2"/>
    <row r="379" ht="14.25" x14ac:dyDescent="0.2"/>
    <row r="380" ht="14.25" x14ac:dyDescent="0.2"/>
    <row r="381" ht="14.25" x14ac:dyDescent="0.2"/>
    <row r="382" ht="14.25" x14ac:dyDescent="0.2"/>
    <row r="383" ht="14.25" x14ac:dyDescent="0.2"/>
    <row r="384" ht="14.25" x14ac:dyDescent="0.2"/>
    <row r="385" ht="14.25" x14ac:dyDescent="0.2"/>
    <row r="386" ht="14.25" x14ac:dyDescent="0.2"/>
    <row r="387" ht="14.25" x14ac:dyDescent="0.2"/>
    <row r="388" ht="14.25" x14ac:dyDescent="0.2"/>
    <row r="389" ht="14.25" x14ac:dyDescent="0.2"/>
    <row r="390" ht="14.25" x14ac:dyDescent="0.2"/>
    <row r="391" ht="14.25" x14ac:dyDescent="0.2"/>
    <row r="392" ht="14.25" x14ac:dyDescent="0.2"/>
    <row r="393" ht="14.25" x14ac:dyDescent="0.2"/>
    <row r="394" ht="14.25" x14ac:dyDescent="0.2"/>
    <row r="395" ht="14.25" x14ac:dyDescent="0.2"/>
    <row r="396" ht="14.25" x14ac:dyDescent="0.2"/>
    <row r="397" ht="14.25" x14ac:dyDescent="0.2"/>
    <row r="398" ht="14.25" x14ac:dyDescent="0.2"/>
    <row r="399" ht="14.25" x14ac:dyDescent="0.2"/>
    <row r="400" ht="14.25" x14ac:dyDescent="0.2"/>
    <row r="401" ht="14.25" x14ac:dyDescent="0.2"/>
    <row r="402" ht="14.25" x14ac:dyDescent="0.2"/>
    <row r="403" ht="14.25" x14ac:dyDescent="0.2"/>
    <row r="404" ht="14.25" x14ac:dyDescent="0.2"/>
    <row r="405" ht="14.25" x14ac:dyDescent="0.2"/>
    <row r="406" ht="14.25" x14ac:dyDescent="0.2"/>
    <row r="407" ht="14.25" x14ac:dyDescent="0.2"/>
    <row r="408" ht="14.25" x14ac:dyDescent="0.2"/>
    <row r="409" ht="14.25" x14ac:dyDescent="0.2"/>
    <row r="410" ht="14.25" x14ac:dyDescent="0.2"/>
    <row r="411" ht="14.25" x14ac:dyDescent="0.2"/>
    <row r="412" ht="14.25" x14ac:dyDescent="0.2"/>
    <row r="413" ht="14.25" x14ac:dyDescent="0.2"/>
    <row r="414" ht="14.25" x14ac:dyDescent="0.2"/>
    <row r="415" ht="14.25" x14ac:dyDescent="0.2"/>
    <row r="416" ht="14.25" x14ac:dyDescent="0.2"/>
    <row r="417" ht="14.25" x14ac:dyDescent="0.2"/>
    <row r="418" ht="14.25" x14ac:dyDescent="0.2"/>
    <row r="419" ht="14.25" x14ac:dyDescent="0.2"/>
    <row r="420" ht="14.25" x14ac:dyDescent="0.2"/>
    <row r="421" ht="14.25" x14ac:dyDescent="0.2"/>
    <row r="422" ht="14.25" x14ac:dyDescent="0.2"/>
    <row r="423" ht="14.25" x14ac:dyDescent="0.2"/>
    <row r="424" ht="14.25" x14ac:dyDescent="0.2"/>
    <row r="425" ht="14.25" x14ac:dyDescent="0.2"/>
    <row r="426" ht="14.25" x14ac:dyDescent="0.2"/>
    <row r="427" ht="14.25" x14ac:dyDescent="0.2"/>
    <row r="428" ht="14.25" x14ac:dyDescent="0.2"/>
    <row r="429" ht="14.25" x14ac:dyDescent="0.2"/>
    <row r="430" ht="14.25" x14ac:dyDescent="0.2"/>
    <row r="431" ht="14.25" x14ac:dyDescent="0.2"/>
    <row r="432" ht="14.25" x14ac:dyDescent="0.2"/>
    <row r="433" ht="14.25" x14ac:dyDescent="0.2"/>
    <row r="434" ht="14.25" x14ac:dyDescent="0.2"/>
    <row r="435" ht="14.25" x14ac:dyDescent="0.2"/>
    <row r="436" ht="14.25" x14ac:dyDescent="0.2"/>
    <row r="437" ht="14.25" x14ac:dyDescent="0.2"/>
    <row r="438" ht="14.25" x14ac:dyDescent="0.2"/>
    <row r="439" ht="14.25" x14ac:dyDescent="0.2"/>
    <row r="440" ht="14.25" x14ac:dyDescent="0.2"/>
    <row r="441" ht="14.25" x14ac:dyDescent="0.2"/>
    <row r="442" ht="14.25" x14ac:dyDescent="0.2"/>
    <row r="443" ht="14.25" x14ac:dyDescent="0.2"/>
    <row r="444" ht="14.25" x14ac:dyDescent="0.2"/>
    <row r="445" ht="14.25" x14ac:dyDescent="0.2"/>
    <row r="446" ht="14.25" x14ac:dyDescent="0.2"/>
    <row r="447" ht="14.25" x14ac:dyDescent="0.2"/>
    <row r="448" ht="14.25" x14ac:dyDescent="0.2"/>
    <row r="449" ht="14.25" x14ac:dyDescent="0.2"/>
    <row r="450" ht="14.25" x14ac:dyDescent="0.2"/>
    <row r="451" ht="14.25" x14ac:dyDescent="0.2"/>
    <row r="452" ht="14.25" x14ac:dyDescent="0.2"/>
    <row r="453" ht="14.25" x14ac:dyDescent="0.2"/>
    <row r="454" ht="14.25" x14ac:dyDescent="0.2"/>
    <row r="455" ht="14.25" x14ac:dyDescent="0.2"/>
    <row r="456" ht="14.25" x14ac:dyDescent="0.2"/>
    <row r="457" ht="14.25" x14ac:dyDescent="0.2"/>
    <row r="458" ht="14.25" x14ac:dyDescent="0.2"/>
    <row r="459" ht="14.25" x14ac:dyDescent="0.2"/>
    <row r="460" ht="14.25" x14ac:dyDescent="0.2"/>
    <row r="461" ht="14.25" x14ac:dyDescent="0.2"/>
    <row r="462" ht="14.25" x14ac:dyDescent="0.2"/>
    <row r="463" ht="14.25" x14ac:dyDescent="0.2"/>
    <row r="464" ht="14.25" x14ac:dyDescent="0.2"/>
    <row r="465" ht="14.25" x14ac:dyDescent="0.2"/>
    <row r="466" ht="14.25" x14ac:dyDescent="0.2"/>
    <row r="467" ht="14.25" x14ac:dyDescent="0.2"/>
    <row r="468" ht="14.25" x14ac:dyDescent="0.2"/>
    <row r="469" ht="14.25" x14ac:dyDescent="0.2"/>
    <row r="470" ht="14.25" x14ac:dyDescent="0.2"/>
    <row r="471" ht="14.25" x14ac:dyDescent="0.2"/>
    <row r="472" ht="14.25" x14ac:dyDescent="0.2"/>
    <row r="473" ht="14.25" x14ac:dyDescent="0.2"/>
    <row r="474" ht="14.25" x14ac:dyDescent="0.2"/>
    <row r="475" ht="14.25" x14ac:dyDescent="0.2"/>
    <row r="476" ht="14.25" x14ac:dyDescent="0.2"/>
    <row r="477" ht="14.25" x14ac:dyDescent="0.2"/>
    <row r="478" ht="14.25" x14ac:dyDescent="0.2"/>
    <row r="479" ht="14.25" x14ac:dyDescent="0.2"/>
    <row r="480" ht="14.25" x14ac:dyDescent="0.2"/>
    <row r="481" ht="14.25" x14ac:dyDescent="0.2"/>
    <row r="482" ht="14.25" x14ac:dyDescent="0.2"/>
    <row r="483" ht="14.25" x14ac:dyDescent="0.2"/>
    <row r="484" ht="14.25" x14ac:dyDescent="0.2"/>
    <row r="485" ht="14.25" x14ac:dyDescent="0.2"/>
    <row r="486" ht="14.25" x14ac:dyDescent="0.2"/>
    <row r="487" ht="14.25" x14ac:dyDescent="0.2"/>
    <row r="488" ht="14.25" x14ac:dyDescent="0.2"/>
    <row r="489" ht="14.25" x14ac:dyDescent="0.2"/>
    <row r="490" ht="14.25" x14ac:dyDescent="0.2"/>
    <row r="491" ht="14.25" x14ac:dyDescent="0.2"/>
    <row r="492" ht="14.25" x14ac:dyDescent="0.2"/>
    <row r="493" ht="14.25" x14ac:dyDescent="0.2"/>
    <row r="494" ht="14.25" x14ac:dyDescent="0.2"/>
    <row r="495" ht="14.25" x14ac:dyDescent="0.2"/>
    <row r="496" ht="14.25" x14ac:dyDescent="0.2"/>
    <row r="497" ht="14.25" x14ac:dyDescent="0.2"/>
    <row r="498" ht="14.25" x14ac:dyDescent="0.2"/>
    <row r="499" ht="14.25" x14ac:dyDescent="0.2"/>
    <row r="500" ht="14.25" x14ac:dyDescent="0.2"/>
    <row r="501" ht="14.25" x14ac:dyDescent="0.2"/>
    <row r="502" ht="14.25" x14ac:dyDescent="0.2"/>
    <row r="503" ht="14.25" x14ac:dyDescent="0.2"/>
    <row r="504" ht="14.25" x14ac:dyDescent="0.2"/>
    <row r="505" ht="14.25" x14ac:dyDescent="0.2"/>
    <row r="506" ht="14.25" x14ac:dyDescent="0.2"/>
    <row r="507" ht="14.25" x14ac:dyDescent="0.2"/>
    <row r="508" ht="14.25" x14ac:dyDescent="0.2"/>
    <row r="509" ht="14.25" x14ac:dyDescent="0.2"/>
    <row r="510" ht="14.25" x14ac:dyDescent="0.2"/>
    <row r="511" ht="14.25" x14ac:dyDescent="0.2"/>
    <row r="512" ht="14.25" x14ac:dyDescent="0.2"/>
    <row r="513" ht="14.25" x14ac:dyDescent="0.2"/>
    <row r="514" ht="14.25" x14ac:dyDescent="0.2"/>
    <row r="515" ht="14.25" x14ac:dyDescent="0.2"/>
    <row r="516" ht="14.25" x14ac:dyDescent="0.2"/>
    <row r="517" ht="14.25" x14ac:dyDescent="0.2"/>
    <row r="518" ht="14.25" x14ac:dyDescent="0.2"/>
    <row r="519" ht="14.25" x14ac:dyDescent="0.2"/>
    <row r="520" ht="14.25" x14ac:dyDescent="0.2"/>
    <row r="521" ht="14.25" x14ac:dyDescent="0.2"/>
    <row r="522" ht="14.25" x14ac:dyDescent="0.2"/>
    <row r="523" ht="14.25" x14ac:dyDescent="0.2"/>
    <row r="524" ht="14.25" x14ac:dyDescent="0.2"/>
    <row r="525" ht="14.25" x14ac:dyDescent="0.2"/>
    <row r="526" ht="14.25" x14ac:dyDescent="0.2"/>
    <row r="527" ht="14.25" x14ac:dyDescent="0.2"/>
    <row r="528" ht="14.25" x14ac:dyDescent="0.2"/>
    <row r="529" ht="14.25" x14ac:dyDescent="0.2"/>
    <row r="530" ht="14.25" x14ac:dyDescent="0.2"/>
    <row r="531" ht="14.25" x14ac:dyDescent="0.2"/>
    <row r="532" ht="14.25" x14ac:dyDescent="0.2"/>
    <row r="533" ht="14.25" x14ac:dyDescent="0.2"/>
    <row r="534" ht="14.25" x14ac:dyDescent="0.2"/>
    <row r="535" ht="14.25" x14ac:dyDescent="0.2"/>
    <row r="536" ht="14.25" x14ac:dyDescent="0.2"/>
    <row r="537" ht="14.25" x14ac:dyDescent="0.2"/>
    <row r="538" ht="14.25" x14ac:dyDescent="0.2"/>
    <row r="539" ht="14.25" x14ac:dyDescent="0.2"/>
    <row r="540" ht="14.25" x14ac:dyDescent="0.2"/>
    <row r="541" ht="14.25" x14ac:dyDescent="0.2"/>
    <row r="542" ht="14.25" x14ac:dyDescent="0.2"/>
    <row r="543" ht="14.25" x14ac:dyDescent="0.2"/>
    <row r="544" ht="14.25" x14ac:dyDescent="0.2"/>
    <row r="545" ht="14.25" x14ac:dyDescent="0.2"/>
    <row r="546" ht="14.25" x14ac:dyDescent="0.2"/>
    <row r="547" ht="14.25" x14ac:dyDescent="0.2"/>
    <row r="548" ht="14.25" x14ac:dyDescent="0.2"/>
    <row r="549" ht="14.25" x14ac:dyDescent="0.2"/>
    <row r="550" ht="14.25" x14ac:dyDescent="0.2"/>
    <row r="551" ht="14.25" x14ac:dyDescent="0.2"/>
    <row r="552" ht="14.25" x14ac:dyDescent="0.2"/>
    <row r="553" ht="14.25" x14ac:dyDescent="0.2"/>
    <row r="554" ht="14.25" x14ac:dyDescent="0.2"/>
    <row r="555" ht="14.25" x14ac:dyDescent="0.2"/>
    <row r="556" ht="14.25" x14ac:dyDescent="0.2"/>
    <row r="557" ht="14.25" x14ac:dyDescent="0.2"/>
    <row r="558" ht="14.25" x14ac:dyDescent="0.2"/>
    <row r="559" ht="14.25" x14ac:dyDescent="0.2"/>
    <row r="560" ht="14.25" x14ac:dyDescent="0.2"/>
    <row r="561" ht="14.25" x14ac:dyDescent="0.2"/>
    <row r="562" ht="14.25" x14ac:dyDescent="0.2"/>
    <row r="563" ht="14.25" x14ac:dyDescent="0.2"/>
    <row r="564" ht="14.25" x14ac:dyDescent="0.2"/>
    <row r="565" ht="14.25" x14ac:dyDescent="0.2"/>
    <row r="566" ht="14.25" x14ac:dyDescent="0.2"/>
    <row r="567" ht="14.25" x14ac:dyDescent="0.2"/>
    <row r="568" ht="14.25" x14ac:dyDescent="0.2"/>
    <row r="569" ht="14.25" x14ac:dyDescent="0.2"/>
    <row r="570" ht="14.25" x14ac:dyDescent="0.2"/>
    <row r="571" ht="14.25" x14ac:dyDescent="0.2"/>
    <row r="572" ht="14.25" x14ac:dyDescent="0.2"/>
    <row r="573" ht="14.25" x14ac:dyDescent="0.2"/>
    <row r="574" ht="14.25" x14ac:dyDescent="0.2"/>
    <row r="575" ht="14.25" x14ac:dyDescent="0.2"/>
    <row r="576" ht="14.25" x14ac:dyDescent="0.2"/>
    <row r="577" ht="14.25" x14ac:dyDescent="0.2"/>
    <row r="578" ht="14.25" x14ac:dyDescent="0.2"/>
    <row r="579" ht="14.25" x14ac:dyDescent="0.2"/>
    <row r="580" ht="14.25" x14ac:dyDescent="0.2"/>
    <row r="581" ht="14.25" x14ac:dyDescent="0.2"/>
    <row r="582" ht="14.25" x14ac:dyDescent="0.2"/>
    <row r="583" ht="14.25" x14ac:dyDescent="0.2"/>
    <row r="584" ht="14.25" x14ac:dyDescent="0.2"/>
    <row r="585" ht="14.25" x14ac:dyDescent="0.2"/>
    <row r="586" ht="14.25" x14ac:dyDescent="0.2"/>
    <row r="587" ht="14.25" x14ac:dyDescent="0.2"/>
    <row r="588" ht="14.25" x14ac:dyDescent="0.2"/>
    <row r="589" ht="14.25" x14ac:dyDescent="0.2"/>
    <row r="590" ht="14.25" x14ac:dyDescent="0.2"/>
    <row r="591" ht="14.25" x14ac:dyDescent="0.2"/>
    <row r="592" ht="14.25" x14ac:dyDescent="0.2"/>
    <row r="593" ht="14.25" x14ac:dyDescent="0.2"/>
    <row r="594" ht="14.25" x14ac:dyDescent="0.2"/>
    <row r="595" ht="14.25" x14ac:dyDescent="0.2"/>
    <row r="596" ht="14.25" x14ac:dyDescent="0.2"/>
    <row r="597" ht="14.25" x14ac:dyDescent="0.2"/>
    <row r="598" ht="14.25" x14ac:dyDescent="0.2"/>
    <row r="599" ht="14.25" x14ac:dyDescent="0.2"/>
    <row r="600" ht="14.25" x14ac:dyDescent="0.2"/>
    <row r="601" ht="14.25" x14ac:dyDescent="0.2"/>
    <row r="602" ht="14.25" x14ac:dyDescent="0.2"/>
    <row r="603" ht="14.25" x14ac:dyDescent="0.2"/>
    <row r="604" ht="14.25" x14ac:dyDescent="0.2"/>
    <row r="605" ht="14.25" x14ac:dyDescent="0.2"/>
    <row r="606" ht="14.25" x14ac:dyDescent="0.2"/>
    <row r="607" ht="14.25" x14ac:dyDescent="0.2"/>
    <row r="608" ht="14.25" x14ac:dyDescent="0.2"/>
    <row r="609" ht="14.25" x14ac:dyDescent="0.2"/>
    <row r="610" ht="14.25" x14ac:dyDescent="0.2"/>
    <row r="611" ht="14.25" x14ac:dyDescent="0.2"/>
    <row r="612" ht="14.25" x14ac:dyDescent="0.2"/>
    <row r="613" ht="14.25" x14ac:dyDescent="0.2"/>
    <row r="614" ht="14.25" x14ac:dyDescent="0.2"/>
    <row r="615" ht="14.25" x14ac:dyDescent="0.2"/>
    <row r="616" ht="14.25" x14ac:dyDescent="0.2"/>
    <row r="617" ht="14.25" x14ac:dyDescent="0.2"/>
    <row r="618" ht="14.25" x14ac:dyDescent="0.2"/>
    <row r="619" ht="14.25" x14ac:dyDescent="0.2"/>
    <row r="620" ht="14.25" x14ac:dyDescent="0.2"/>
    <row r="621" ht="14.25" x14ac:dyDescent="0.2"/>
    <row r="622" ht="14.25" x14ac:dyDescent="0.2"/>
    <row r="623" ht="14.25" x14ac:dyDescent="0.2"/>
    <row r="624" ht="14.25" x14ac:dyDescent="0.2"/>
    <row r="625" ht="14.25" x14ac:dyDescent="0.2"/>
    <row r="626" ht="14.25" x14ac:dyDescent="0.2"/>
    <row r="627" ht="14.25" x14ac:dyDescent="0.2"/>
    <row r="628" ht="14.25" x14ac:dyDescent="0.2"/>
    <row r="629" ht="14.25" x14ac:dyDescent="0.2"/>
    <row r="630" ht="14.25" x14ac:dyDescent="0.2"/>
    <row r="631" ht="14.25" x14ac:dyDescent="0.2"/>
    <row r="632" ht="14.25" x14ac:dyDescent="0.2"/>
    <row r="633" ht="14.25" x14ac:dyDescent="0.2"/>
    <row r="634" ht="14.25" x14ac:dyDescent="0.2"/>
    <row r="635" ht="14.25" x14ac:dyDescent="0.2"/>
    <row r="636" ht="14.25" x14ac:dyDescent="0.2"/>
    <row r="637" ht="14.25" x14ac:dyDescent="0.2"/>
    <row r="638" ht="14.25" x14ac:dyDescent="0.2"/>
    <row r="639" ht="14.25" x14ac:dyDescent="0.2"/>
    <row r="640" ht="14.25" x14ac:dyDescent="0.2"/>
    <row r="641" ht="14.25" x14ac:dyDescent="0.2"/>
    <row r="642" ht="14.25" x14ac:dyDescent="0.2"/>
    <row r="643" ht="14.25" x14ac:dyDescent="0.2"/>
    <row r="644" ht="14.25" x14ac:dyDescent="0.2"/>
    <row r="645" ht="14.25" x14ac:dyDescent="0.2"/>
    <row r="646" ht="14.25" x14ac:dyDescent="0.2"/>
    <row r="647" ht="14.25" x14ac:dyDescent="0.2"/>
    <row r="648" ht="14.25" x14ac:dyDescent="0.2"/>
    <row r="649" ht="14.25" x14ac:dyDescent="0.2"/>
    <row r="650" ht="14.25" x14ac:dyDescent="0.2"/>
    <row r="651" ht="14.25" x14ac:dyDescent="0.2"/>
    <row r="652" ht="14.25" x14ac:dyDescent="0.2"/>
    <row r="653" ht="14.25" x14ac:dyDescent="0.2"/>
    <row r="654" ht="14.25" x14ac:dyDescent="0.2"/>
    <row r="655" ht="14.25" x14ac:dyDescent="0.2"/>
    <row r="656" ht="14.25" x14ac:dyDescent="0.2"/>
    <row r="657" ht="14.25" x14ac:dyDescent="0.2"/>
    <row r="658" ht="14.25" x14ac:dyDescent="0.2"/>
    <row r="659" ht="14.25" x14ac:dyDescent="0.2"/>
    <row r="660" ht="14.25" x14ac:dyDescent="0.2"/>
    <row r="661" ht="14.25" x14ac:dyDescent="0.2"/>
    <row r="662" ht="14.25" x14ac:dyDescent="0.2"/>
    <row r="663" ht="14.25" x14ac:dyDescent="0.2"/>
    <row r="664" ht="14.25" x14ac:dyDescent="0.2"/>
    <row r="665" ht="14.25" x14ac:dyDescent="0.2"/>
    <row r="666" ht="14.25" x14ac:dyDescent="0.2"/>
    <row r="667" ht="14.25" x14ac:dyDescent="0.2"/>
    <row r="668" ht="14.25" x14ac:dyDescent="0.2"/>
    <row r="669" ht="14.25" x14ac:dyDescent="0.2"/>
    <row r="670" ht="14.25" x14ac:dyDescent="0.2"/>
    <row r="671" ht="14.25" x14ac:dyDescent="0.2"/>
    <row r="672" ht="14.25" x14ac:dyDescent="0.2"/>
    <row r="673" ht="14.25" x14ac:dyDescent="0.2"/>
    <row r="674" ht="14.25" x14ac:dyDescent="0.2"/>
    <row r="675" ht="14.25" x14ac:dyDescent="0.2"/>
    <row r="676" ht="14.25" x14ac:dyDescent="0.2"/>
    <row r="677" ht="14.25" x14ac:dyDescent="0.2"/>
    <row r="678" ht="14.25" x14ac:dyDescent="0.2"/>
    <row r="679" ht="14.25" x14ac:dyDescent="0.2"/>
    <row r="680" ht="14.25" x14ac:dyDescent="0.2"/>
    <row r="681" ht="14.25" x14ac:dyDescent="0.2"/>
    <row r="682" ht="14.25" x14ac:dyDescent="0.2"/>
    <row r="683" ht="14.25" x14ac:dyDescent="0.2"/>
    <row r="684" ht="14.25" x14ac:dyDescent="0.2"/>
    <row r="685" ht="14.25" x14ac:dyDescent="0.2"/>
    <row r="686" ht="14.25" x14ac:dyDescent="0.2"/>
    <row r="687" ht="14.25" x14ac:dyDescent="0.2"/>
    <row r="688" ht="14.25" x14ac:dyDescent="0.2"/>
    <row r="689" ht="14.25" x14ac:dyDescent="0.2"/>
    <row r="690" ht="14.25" x14ac:dyDescent="0.2"/>
    <row r="691" ht="14.25" x14ac:dyDescent="0.2"/>
    <row r="692" ht="14.25" x14ac:dyDescent="0.2"/>
    <row r="693" ht="14.25" x14ac:dyDescent="0.2"/>
    <row r="694" ht="14.25" x14ac:dyDescent="0.2"/>
    <row r="695" ht="14.25" x14ac:dyDescent="0.2"/>
    <row r="696" ht="14.25" x14ac:dyDescent="0.2"/>
    <row r="697" ht="14.25" x14ac:dyDescent="0.2"/>
    <row r="698" ht="14.25" x14ac:dyDescent="0.2"/>
    <row r="699" ht="14.25" x14ac:dyDescent="0.2"/>
    <row r="700" ht="14.25" x14ac:dyDescent="0.2"/>
    <row r="701" ht="14.25" x14ac:dyDescent="0.2"/>
    <row r="702" ht="14.25" x14ac:dyDescent="0.2"/>
    <row r="703" ht="14.25" x14ac:dyDescent="0.2"/>
    <row r="704" ht="14.25" x14ac:dyDescent="0.2"/>
    <row r="705" ht="14.25" x14ac:dyDescent="0.2"/>
    <row r="706" ht="14.25" x14ac:dyDescent="0.2"/>
    <row r="707" ht="14.25" x14ac:dyDescent="0.2"/>
    <row r="708" ht="14.25" x14ac:dyDescent="0.2"/>
    <row r="709" ht="14.25" x14ac:dyDescent="0.2"/>
    <row r="710" ht="14.25" x14ac:dyDescent="0.2"/>
    <row r="711" ht="14.25" x14ac:dyDescent="0.2"/>
    <row r="712" ht="14.25" x14ac:dyDescent="0.2"/>
    <row r="713" ht="14.25" x14ac:dyDescent="0.2"/>
    <row r="714" ht="14.25" x14ac:dyDescent="0.2"/>
    <row r="715" ht="14.25" x14ac:dyDescent="0.2"/>
    <row r="716" ht="14.25" x14ac:dyDescent="0.2"/>
    <row r="717" ht="14.25" x14ac:dyDescent="0.2"/>
    <row r="718" ht="14.25" x14ac:dyDescent="0.2"/>
    <row r="719" ht="14.25" x14ac:dyDescent="0.2"/>
    <row r="720" ht="14.25" x14ac:dyDescent="0.2"/>
    <row r="721" ht="14.25" x14ac:dyDescent="0.2"/>
    <row r="722" ht="14.25" x14ac:dyDescent="0.2"/>
    <row r="723" ht="14.25" x14ac:dyDescent="0.2"/>
    <row r="724" ht="14.25" x14ac:dyDescent="0.2"/>
    <row r="725" ht="14.25" x14ac:dyDescent="0.2"/>
    <row r="726" ht="14.25" x14ac:dyDescent="0.2"/>
    <row r="727" ht="14.25" x14ac:dyDescent="0.2"/>
    <row r="728" ht="14.25" x14ac:dyDescent="0.2"/>
    <row r="729" ht="14.25" x14ac:dyDescent="0.2"/>
    <row r="730" ht="14.25" x14ac:dyDescent="0.2"/>
    <row r="731" ht="14.25" x14ac:dyDescent="0.2"/>
    <row r="732" ht="14.25" x14ac:dyDescent="0.2"/>
    <row r="733" ht="14.25" x14ac:dyDescent="0.2"/>
    <row r="734" ht="14.25" x14ac:dyDescent="0.2"/>
    <row r="735" ht="14.25" x14ac:dyDescent="0.2"/>
    <row r="736" ht="14.25" x14ac:dyDescent="0.2"/>
    <row r="737" ht="14.25" x14ac:dyDescent="0.2"/>
    <row r="738" ht="14.25" x14ac:dyDescent="0.2"/>
    <row r="739" ht="14.25" x14ac:dyDescent="0.2"/>
    <row r="740" ht="14.25" x14ac:dyDescent="0.2"/>
    <row r="741" ht="14.25" x14ac:dyDescent="0.2"/>
    <row r="742" ht="14.25" x14ac:dyDescent="0.2"/>
    <row r="743" ht="14.25" x14ac:dyDescent="0.2"/>
    <row r="744" ht="14.25" x14ac:dyDescent="0.2"/>
    <row r="745" ht="14.25" x14ac:dyDescent="0.2"/>
    <row r="746" ht="14.25" x14ac:dyDescent="0.2"/>
    <row r="747" ht="14.25" x14ac:dyDescent="0.2"/>
    <row r="748" ht="14.25" x14ac:dyDescent="0.2"/>
    <row r="749" ht="14.25" x14ac:dyDescent="0.2"/>
    <row r="750" ht="14.25" x14ac:dyDescent="0.2"/>
    <row r="751" ht="14.25" x14ac:dyDescent="0.2"/>
    <row r="752" ht="14.25" x14ac:dyDescent="0.2"/>
    <row r="753" ht="14.25" x14ac:dyDescent="0.2"/>
    <row r="754" ht="14.25" x14ac:dyDescent="0.2"/>
    <row r="755" ht="14.25" x14ac:dyDescent="0.2"/>
    <row r="756" ht="14.25" x14ac:dyDescent="0.2"/>
    <row r="757" ht="14.25" x14ac:dyDescent="0.2"/>
    <row r="758" ht="14.25" x14ac:dyDescent="0.2"/>
    <row r="759" ht="14.25" x14ac:dyDescent="0.2"/>
    <row r="760" ht="14.25" x14ac:dyDescent="0.2"/>
    <row r="761" ht="14.25" x14ac:dyDescent="0.2"/>
    <row r="762" ht="14.25" x14ac:dyDescent="0.2"/>
    <row r="763" ht="14.25" x14ac:dyDescent="0.2"/>
    <row r="764" ht="14.25" x14ac:dyDescent="0.2"/>
    <row r="765" ht="14.25" x14ac:dyDescent="0.2"/>
    <row r="766" ht="14.25" x14ac:dyDescent="0.2"/>
    <row r="767" ht="14.25" x14ac:dyDescent="0.2"/>
    <row r="768" ht="14.25" x14ac:dyDescent="0.2"/>
    <row r="769" ht="14.25" x14ac:dyDescent="0.2"/>
    <row r="770" ht="14.25" x14ac:dyDescent="0.2"/>
    <row r="771" ht="14.25" x14ac:dyDescent="0.2"/>
    <row r="772" ht="14.25" x14ac:dyDescent="0.2"/>
    <row r="773" ht="14.25" x14ac:dyDescent="0.2"/>
    <row r="774" ht="14.25" x14ac:dyDescent="0.2"/>
    <row r="775" ht="14.25" x14ac:dyDescent="0.2"/>
    <row r="776" ht="14.25" x14ac:dyDescent="0.2"/>
    <row r="777" ht="14.25" x14ac:dyDescent="0.2"/>
    <row r="778" ht="14.25" x14ac:dyDescent="0.2"/>
    <row r="779" ht="14.25" x14ac:dyDescent="0.2"/>
    <row r="780" ht="14.25" x14ac:dyDescent="0.2"/>
    <row r="781" ht="14.25" x14ac:dyDescent="0.2"/>
    <row r="782" ht="14.25" x14ac:dyDescent="0.2"/>
    <row r="783" ht="14.25" x14ac:dyDescent="0.2"/>
    <row r="784" ht="14.25" x14ac:dyDescent="0.2"/>
    <row r="785" ht="14.25" x14ac:dyDescent="0.2"/>
    <row r="786" ht="14.25" x14ac:dyDescent="0.2"/>
    <row r="787" ht="14.25" x14ac:dyDescent="0.2"/>
    <row r="788" ht="14.25" x14ac:dyDescent="0.2"/>
    <row r="789" ht="14.25" x14ac:dyDescent="0.2"/>
    <row r="790" ht="14.25" x14ac:dyDescent="0.2"/>
    <row r="791" ht="14.25" x14ac:dyDescent="0.2"/>
    <row r="792" ht="14.25" x14ac:dyDescent="0.2"/>
    <row r="793" ht="14.25" x14ac:dyDescent="0.2"/>
    <row r="794" ht="14.25" x14ac:dyDescent="0.2"/>
    <row r="795" ht="14.25" x14ac:dyDescent="0.2"/>
    <row r="796" ht="14.25" x14ac:dyDescent="0.2"/>
    <row r="797" ht="14.25" x14ac:dyDescent="0.2"/>
    <row r="798" ht="14.25" x14ac:dyDescent="0.2"/>
    <row r="799" ht="14.25" x14ac:dyDescent="0.2"/>
    <row r="800" ht="14.25" x14ac:dyDescent="0.2"/>
    <row r="801" ht="14.25" x14ac:dyDescent="0.2"/>
    <row r="802" ht="14.25" x14ac:dyDescent="0.2"/>
    <row r="803" ht="14.25" x14ac:dyDescent="0.2"/>
    <row r="804" ht="14.25" x14ac:dyDescent="0.2"/>
    <row r="805" ht="14.25" x14ac:dyDescent="0.2"/>
    <row r="806" ht="14.25" x14ac:dyDescent="0.2"/>
    <row r="807" ht="14.25" x14ac:dyDescent="0.2"/>
    <row r="808" ht="14.25" x14ac:dyDescent="0.2"/>
    <row r="809" ht="14.25" x14ac:dyDescent="0.2"/>
    <row r="810" ht="14.25" x14ac:dyDescent="0.2"/>
    <row r="811" ht="14.25" x14ac:dyDescent="0.2"/>
    <row r="812" ht="14.25" x14ac:dyDescent="0.2"/>
    <row r="813" ht="14.25" x14ac:dyDescent="0.2"/>
    <row r="814" ht="14.25" x14ac:dyDescent="0.2"/>
    <row r="815" ht="14.25" x14ac:dyDescent="0.2"/>
    <row r="816" ht="14.25" x14ac:dyDescent="0.2"/>
    <row r="817" ht="14.25" x14ac:dyDescent="0.2"/>
    <row r="818" ht="14.25" x14ac:dyDescent="0.2"/>
    <row r="819" ht="14.25" x14ac:dyDescent="0.2"/>
    <row r="820" ht="14.25" x14ac:dyDescent="0.2"/>
    <row r="821" ht="14.25" x14ac:dyDescent="0.2"/>
    <row r="822" ht="14.25" x14ac:dyDescent="0.2"/>
    <row r="823" ht="14.25" x14ac:dyDescent="0.2"/>
    <row r="824" ht="14.25" x14ac:dyDescent="0.2"/>
    <row r="825" ht="14.25" x14ac:dyDescent="0.2"/>
    <row r="826" ht="14.25" x14ac:dyDescent="0.2"/>
    <row r="827" ht="14.25" x14ac:dyDescent="0.2"/>
    <row r="828" ht="14.25" x14ac:dyDescent="0.2"/>
    <row r="829" ht="14.25" x14ac:dyDescent="0.2"/>
    <row r="830" ht="14.25" x14ac:dyDescent="0.2"/>
    <row r="831" ht="14.25" x14ac:dyDescent="0.2"/>
    <row r="832" ht="14.25" x14ac:dyDescent="0.2"/>
    <row r="833" ht="14.25" x14ac:dyDescent="0.2"/>
    <row r="834" ht="14.25" x14ac:dyDescent="0.2"/>
    <row r="835" ht="14.25" x14ac:dyDescent="0.2"/>
    <row r="836" ht="14.25" x14ac:dyDescent="0.2"/>
    <row r="837" ht="14.25" x14ac:dyDescent="0.2"/>
    <row r="838" ht="14.25" x14ac:dyDescent="0.2"/>
    <row r="839" ht="14.25" x14ac:dyDescent="0.2"/>
    <row r="840" ht="14.25" x14ac:dyDescent="0.2"/>
    <row r="841" ht="14.25" x14ac:dyDescent="0.2"/>
    <row r="842" ht="14.25" x14ac:dyDescent="0.2"/>
    <row r="843" ht="14.25" x14ac:dyDescent="0.2"/>
    <row r="844" ht="14.25" x14ac:dyDescent="0.2"/>
    <row r="845" ht="14.25" x14ac:dyDescent="0.2"/>
    <row r="846" ht="14.25" x14ac:dyDescent="0.2"/>
    <row r="847" ht="14.25" x14ac:dyDescent="0.2"/>
    <row r="848" ht="14.25" x14ac:dyDescent="0.2"/>
    <row r="849" ht="14.25" x14ac:dyDescent="0.2"/>
    <row r="850" ht="14.25" x14ac:dyDescent="0.2"/>
    <row r="851" ht="14.25" x14ac:dyDescent="0.2"/>
    <row r="852" ht="14.25" x14ac:dyDescent="0.2"/>
    <row r="853" ht="14.25" x14ac:dyDescent="0.2"/>
    <row r="854" ht="14.25" x14ac:dyDescent="0.2"/>
    <row r="855" ht="14.25" x14ac:dyDescent="0.2"/>
    <row r="856" ht="14.25" x14ac:dyDescent="0.2"/>
    <row r="857" ht="14.25" x14ac:dyDescent="0.2"/>
    <row r="858" ht="14.25" x14ac:dyDescent="0.2"/>
    <row r="859" ht="14.25" x14ac:dyDescent="0.2"/>
    <row r="860" ht="14.25" x14ac:dyDescent="0.2"/>
    <row r="861" ht="14.25" x14ac:dyDescent="0.2"/>
    <row r="862" ht="14.25" x14ac:dyDescent="0.2"/>
    <row r="863" ht="14.25" x14ac:dyDescent="0.2"/>
    <row r="864" ht="14.25" x14ac:dyDescent="0.2"/>
    <row r="865" ht="14.25" x14ac:dyDescent="0.2"/>
    <row r="866" ht="14.25" x14ac:dyDescent="0.2"/>
    <row r="867" ht="14.25" x14ac:dyDescent="0.2"/>
    <row r="868" ht="14.25" x14ac:dyDescent="0.2"/>
    <row r="869" ht="14.25" x14ac:dyDescent="0.2"/>
    <row r="870" ht="14.25" x14ac:dyDescent="0.2"/>
    <row r="871" ht="14.25" x14ac:dyDescent="0.2"/>
    <row r="872" ht="14.25" x14ac:dyDescent="0.2"/>
    <row r="873" ht="14.25" x14ac:dyDescent="0.2"/>
    <row r="874" ht="14.25" x14ac:dyDescent="0.2"/>
    <row r="875" ht="14.25" x14ac:dyDescent="0.2"/>
    <row r="876" ht="14.25" x14ac:dyDescent="0.2"/>
    <row r="877" ht="14.25" x14ac:dyDescent="0.2"/>
    <row r="878" ht="14.25" x14ac:dyDescent="0.2"/>
    <row r="879" ht="14.25" x14ac:dyDescent="0.2"/>
    <row r="880" ht="14.25" x14ac:dyDescent="0.2"/>
    <row r="881" ht="14.25" x14ac:dyDescent="0.2"/>
    <row r="882" ht="14.25" x14ac:dyDescent="0.2"/>
    <row r="883" ht="14.25" x14ac:dyDescent="0.2"/>
    <row r="884" ht="14.25" x14ac:dyDescent="0.2"/>
    <row r="885" ht="14.25" x14ac:dyDescent="0.2"/>
    <row r="886" ht="14.25" x14ac:dyDescent="0.2"/>
    <row r="887" ht="14.25" x14ac:dyDescent="0.2"/>
    <row r="888" ht="14.25" x14ac:dyDescent="0.2"/>
    <row r="889" ht="14.25" x14ac:dyDescent="0.2"/>
    <row r="890" ht="14.25" x14ac:dyDescent="0.2"/>
    <row r="891" ht="14.25" x14ac:dyDescent="0.2"/>
    <row r="892" ht="14.25" x14ac:dyDescent="0.2"/>
    <row r="893" ht="14.25" x14ac:dyDescent="0.2"/>
    <row r="894" ht="14.25" x14ac:dyDescent="0.2"/>
    <row r="895" ht="14.25" x14ac:dyDescent="0.2"/>
    <row r="896" ht="14.25" x14ac:dyDescent="0.2"/>
    <row r="897" ht="14.25" x14ac:dyDescent="0.2"/>
    <row r="898" ht="14.25" x14ac:dyDescent="0.2"/>
    <row r="899" ht="14.25" x14ac:dyDescent="0.2"/>
    <row r="900" ht="14.25" x14ac:dyDescent="0.2"/>
    <row r="901" ht="14.25" x14ac:dyDescent="0.2"/>
    <row r="902" ht="14.25" x14ac:dyDescent="0.2"/>
    <row r="903" ht="14.25" x14ac:dyDescent="0.2"/>
    <row r="904" ht="14.25" x14ac:dyDescent="0.2"/>
    <row r="905" ht="14.25" x14ac:dyDescent="0.2"/>
    <row r="906" ht="14.25" x14ac:dyDescent="0.2"/>
    <row r="907" ht="14.25" x14ac:dyDescent="0.2"/>
    <row r="908" ht="14.25" x14ac:dyDescent="0.2"/>
    <row r="909" ht="14.25" x14ac:dyDescent="0.2"/>
    <row r="910" ht="14.25" x14ac:dyDescent="0.2"/>
    <row r="911" ht="14.25" x14ac:dyDescent="0.2"/>
    <row r="912" ht="14.25" x14ac:dyDescent="0.2"/>
    <row r="913" ht="14.25" x14ac:dyDescent="0.2"/>
    <row r="914" ht="14.25" x14ac:dyDescent="0.2"/>
    <row r="915" ht="14.25" x14ac:dyDescent="0.2"/>
    <row r="916" ht="14.25" x14ac:dyDescent="0.2"/>
    <row r="917" ht="14.25" x14ac:dyDescent="0.2"/>
    <row r="918" ht="14.25" x14ac:dyDescent="0.2"/>
    <row r="919" ht="14.25" x14ac:dyDescent="0.2"/>
    <row r="920" ht="14.25" x14ac:dyDescent="0.2"/>
    <row r="921" ht="14.25" x14ac:dyDescent="0.2"/>
    <row r="922" ht="14.25" x14ac:dyDescent="0.2"/>
    <row r="923" ht="14.25" x14ac:dyDescent="0.2"/>
    <row r="924" ht="14.25" x14ac:dyDescent="0.2"/>
    <row r="925" ht="14.25" x14ac:dyDescent="0.2"/>
    <row r="926" ht="14.25" x14ac:dyDescent="0.2"/>
    <row r="927" ht="14.25" x14ac:dyDescent="0.2"/>
    <row r="928" ht="14.25" x14ac:dyDescent="0.2"/>
    <row r="929" ht="14.25" x14ac:dyDescent="0.2"/>
    <row r="930" ht="14.25" x14ac:dyDescent="0.2"/>
    <row r="931" ht="14.25" x14ac:dyDescent="0.2"/>
    <row r="932" ht="14.25" x14ac:dyDescent="0.2"/>
    <row r="933" ht="14.25" x14ac:dyDescent="0.2"/>
    <row r="934" ht="14.25" x14ac:dyDescent="0.2"/>
    <row r="935" ht="14.25" x14ac:dyDescent="0.2"/>
    <row r="936" ht="14.25" x14ac:dyDescent="0.2"/>
    <row r="937" ht="14.25" x14ac:dyDescent="0.2"/>
    <row r="938" ht="14.25" x14ac:dyDescent="0.2"/>
    <row r="939" ht="14.25" x14ac:dyDescent="0.2"/>
    <row r="940" ht="14.25" x14ac:dyDescent="0.2"/>
    <row r="941" ht="14.25" x14ac:dyDescent="0.2"/>
    <row r="942" ht="14.25" x14ac:dyDescent="0.2"/>
    <row r="943" ht="14.25" x14ac:dyDescent="0.2"/>
    <row r="944" ht="14.25" x14ac:dyDescent="0.2"/>
    <row r="945" ht="14.25" x14ac:dyDescent="0.2"/>
    <row r="946" ht="14.25" x14ac:dyDescent="0.2"/>
    <row r="947" ht="14.25" x14ac:dyDescent="0.2"/>
    <row r="948" ht="14.25" x14ac:dyDescent="0.2"/>
    <row r="949" ht="14.25" x14ac:dyDescent="0.2"/>
    <row r="950" ht="14.25" x14ac:dyDescent="0.2"/>
    <row r="951" ht="14.25" x14ac:dyDescent="0.2"/>
    <row r="952" ht="14.25" x14ac:dyDescent="0.2"/>
    <row r="953" ht="14.25" x14ac:dyDescent="0.2"/>
    <row r="954" ht="14.25" x14ac:dyDescent="0.2"/>
    <row r="955" ht="14.25" x14ac:dyDescent="0.2"/>
    <row r="956" ht="14.25" x14ac:dyDescent="0.2"/>
    <row r="957" ht="14.25" x14ac:dyDescent="0.2"/>
    <row r="958" ht="14.25" x14ac:dyDescent="0.2"/>
    <row r="959" ht="14.25" x14ac:dyDescent="0.2"/>
    <row r="960" ht="14.25" x14ac:dyDescent="0.2"/>
    <row r="961" ht="14.25" x14ac:dyDescent="0.2"/>
    <row r="962" ht="14.25" x14ac:dyDescent="0.2"/>
    <row r="963" ht="14.25" x14ac:dyDescent="0.2"/>
    <row r="964" ht="14.25" x14ac:dyDescent="0.2"/>
    <row r="965" ht="14.25" x14ac:dyDescent="0.2"/>
    <row r="966" ht="14.25" x14ac:dyDescent="0.2"/>
    <row r="967" ht="14.25" x14ac:dyDescent="0.2"/>
    <row r="968" ht="14.25" x14ac:dyDescent="0.2"/>
    <row r="969" ht="14.25" x14ac:dyDescent="0.2"/>
    <row r="970" ht="14.25" x14ac:dyDescent="0.2"/>
    <row r="971" ht="14.25" x14ac:dyDescent="0.2"/>
    <row r="972" ht="14.25" x14ac:dyDescent="0.2"/>
    <row r="973" ht="14.25" x14ac:dyDescent="0.2"/>
    <row r="974" ht="14.25" x14ac:dyDescent="0.2"/>
    <row r="975" ht="14.25" x14ac:dyDescent="0.2"/>
    <row r="976" ht="14.25" x14ac:dyDescent="0.2"/>
    <row r="977" ht="14.25" x14ac:dyDescent="0.2"/>
    <row r="978" ht="14.25" x14ac:dyDescent="0.2"/>
    <row r="979" ht="14.25" x14ac:dyDescent="0.2"/>
    <row r="980" ht="14.25" x14ac:dyDescent="0.2"/>
    <row r="981" ht="14.25" x14ac:dyDescent="0.2"/>
    <row r="982" ht="14.25" x14ac:dyDescent="0.2"/>
    <row r="983" ht="14.25" x14ac:dyDescent="0.2"/>
    <row r="984" ht="14.25" x14ac:dyDescent="0.2"/>
    <row r="985" ht="14.25" x14ac:dyDescent="0.2"/>
    <row r="986" ht="14.25" x14ac:dyDescent="0.2"/>
    <row r="987" ht="14.25" x14ac:dyDescent="0.2"/>
    <row r="988" ht="14.25" x14ac:dyDescent="0.2"/>
    <row r="989" ht="14.25" x14ac:dyDescent="0.2"/>
    <row r="990" ht="14.25" x14ac:dyDescent="0.2"/>
    <row r="991" ht="14.25" x14ac:dyDescent="0.2"/>
    <row r="992" ht="14.25" x14ac:dyDescent="0.2"/>
    <row r="993" ht="14.25" x14ac:dyDescent="0.2"/>
    <row r="994" ht="14.25" x14ac:dyDescent="0.2"/>
    <row r="995" ht="14.25" x14ac:dyDescent="0.2"/>
    <row r="996" ht="14.25" x14ac:dyDescent="0.2"/>
    <row r="997" ht="14.25" x14ac:dyDescent="0.2"/>
    <row r="998" ht="14.25" x14ac:dyDescent="0.2"/>
    <row r="999" ht="14.25" x14ac:dyDescent="0.2"/>
    <row r="1000" ht="14.25" x14ac:dyDescent="0.2"/>
    <row r="1001" ht="14.25" x14ac:dyDescent="0.2"/>
    <row r="1002" ht="14.25" x14ac:dyDescent="0.2"/>
  </sheetData>
  <mergeCells count="1">
    <mergeCell ref="A1:H1"/>
  </mergeCells>
  <pageMargins left="0.7" right="0.7" top="0.75" bottom="0.75" header="0.3" footer="0.3"/>
  <pageSetup paperSize="9" scale="89" fitToHeight="4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4BAF-2D64-384A-A04D-4BDF3D5AB800}">
  <dimension ref="A1:H127"/>
  <sheetViews>
    <sheetView workbookViewId="0">
      <selection activeCell="A3" sqref="A3:XFD3"/>
    </sheetView>
  </sheetViews>
  <sheetFormatPr defaultColWidth="8.85546875" defaultRowHeight="14.25" x14ac:dyDescent="0.2"/>
  <cols>
    <col min="1" max="1" width="11.42578125" customWidth="1"/>
    <col min="2" max="2" width="24.140625" customWidth="1"/>
    <col min="3" max="4" width="14.85546875" customWidth="1"/>
    <col min="5" max="5" width="19.42578125" style="61" customWidth="1"/>
    <col min="6" max="7" width="13.85546875" customWidth="1"/>
    <col min="8" max="8" width="12.140625" customWidth="1"/>
  </cols>
  <sheetData>
    <row r="1" spans="1:8" s="10" customFormat="1" ht="33" customHeight="1" x14ac:dyDescent="0.2">
      <c r="A1" s="128" t="s">
        <v>224</v>
      </c>
      <c r="B1" s="128"/>
      <c r="C1" s="128"/>
      <c r="D1" s="128"/>
      <c r="E1" s="128"/>
      <c r="F1" s="128"/>
      <c r="G1" s="128"/>
      <c r="H1" s="128"/>
    </row>
    <row r="2" spans="1:8" ht="66" customHeight="1" x14ac:dyDescent="0.2">
      <c r="A2" s="23" t="s">
        <v>129</v>
      </c>
      <c r="B2" s="25" t="s">
        <v>221</v>
      </c>
      <c r="C2" s="25" t="s">
        <v>222</v>
      </c>
      <c r="D2" s="62" t="s">
        <v>225</v>
      </c>
      <c r="E2" s="63" t="s">
        <v>226</v>
      </c>
      <c r="F2" s="24" t="s">
        <v>125</v>
      </c>
      <c r="G2" s="26" t="s">
        <v>126</v>
      </c>
      <c r="H2" s="51" t="s">
        <v>219</v>
      </c>
    </row>
    <row r="3" spans="1:8" ht="18" customHeight="1" x14ac:dyDescent="0.2">
      <c r="A3" s="57"/>
      <c r="B3" s="25" t="s">
        <v>124</v>
      </c>
      <c r="C3" s="58"/>
      <c r="D3" s="66"/>
      <c r="E3" s="67">
        <f>SUM(E4:E127)</f>
        <v>0</v>
      </c>
      <c r="F3" s="24"/>
      <c r="G3" s="28">
        <v>1</v>
      </c>
      <c r="H3" s="51"/>
    </row>
    <row r="4" spans="1:8" ht="15.75" x14ac:dyDescent="0.2">
      <c r="A4" s="27">
        <f t="array" ref="A4">1+COUNT(_xlfn.UNIQUE(_xlfn._xlws.FILTER($F$5:$F$127, $F$5:$F$127 &gt; F4)))</f>
        <v>1</v>
      </c>
      <c r="B4" s="52" t="s">
        <v>24</v>
      </c>
      <c r="C4" s="27"/>
      <c r="D4" s="64"/>
      <c r="E4" s="65"/>
      <c r="F4" s="54"/>
      <c r="G4" s="28">
        <v>1</v>
      </c>
      <c r="H4" s="55"/>
    </row>
    <row r="5" spans="1:8" ht="15.75" x14ac:dyDescent="0.2">
      <c r="A5" s="27">
        <f t="array" ref="A5">1+COUNT(_xlfn.UNIQUE(_xlfn._xlws.FILTER($F$5:$F$127, $F$5:$F$127 &gt; F5)))</f>
        <v>1</v>
      </c>
      <c r="B5" s="52" t="s">
        <v>17</v>
      </c>
      <c r="C5" s="27"/>
      <c r="D5" s="53"/>
      <c r="E5" s="59"/>
      <c r="F5" s="54"/>
      <c r="G5" s="28">
        <v>1</v>
      </c>
      <c r="H5" s="55"/>
    </row>
    <row r="6" spans="1:8" ht="15.75" x14ac:dyDescent="0.2">
      <c r="A6" s="27">
        <f t="array" ref="A6">1+COUNT(_xlfn.UNIQUE(_xlfn._xlws.FILTER($F$5:$F$127, $F$5:$F$127 &gt; F6)))</f>
        <v>1</v>
      </c>
      <c r="B6" s="52" t="s">
        <v>5</v>
      </c>
      <c r="C6" s="27"/>
      <c r="D6" s="53"/>
      <c r="E6" s="60"/>
      <c r="F6" s="54"/>
      <c r="G6" s="28">
        <v>1</v>
      </c>
      <c r="H6" s="55"/>
    </row>
    <row r="7" spans="1:8" ht="15.75" x14ac:dyDescent="0.2">
      <c r="A7" s="27">
        <f t="array" ref="A7">1+COUNT(_xlfn.UNIQUE(_xlfn._xlws.FILTER($F$5:$F$127, $F$5:$F$127 &gt; F7)))</f>
        <v>1</v>
      </c>
      <c r="B7" s="52" t="s">
        <v>2</v>
      </c>
      <c r="C7" s="27"/>
      <c r="D7" s="53"/>
      <c r="E7" s="59"/>
      <c r="F7" s="54"/>
      <c r="G7" s="28">
        <v>1</v>
      </c>
      <c r="H7" s="55"/>
    </row>
    <row r="8" spans="1:8" ht="15.75" x14ac:dyDescent="0.2">
      <c r="A8" s="27">
        <f t="array" ref="A8">1+COUNT(_xlfn.UNIQUE(_xlfn._xlws.FILTER($F$5:$F$127, $F$5:$F$127 &gt; F8)))</f>
        <v>1</v>
      </c>
      <c r="B8" s="52" t="s">
        <v>11</v>
      </c>
      <c r="C8" s="27"/>
      <c r="D8" s="53"/>
      <c r="E8" s="59"/>
      <c r="F8" s="54"/>
      <c r="G8" s="28">
        <v>1</v>
      </c>
      <c r="H8" s="55"/>
    </row>
    <row r="9" spans="1:8" ht="15.75" x14ac:dyDescent="0.2">
      <c r="A9" s="27">
        <f t="array" ref="A9">1+COUNT(_xlfn.UNIQUE(_xlfn._xlws.FILTER($F$5:$F$127, $F$5:$F$127 &gt; F9)))</f>
        <v>1</v>
      </c>
      <c r="B9" s="52" t="s">
        <v>59</v>
      </c>
      <c r="C9" s="27"/>
      <c r="D9" s="53"/>
      <c r="E9" s="59"/>
      <c r="F9" s="54"/>
      <c r="G9" s="28">
        <v>1</v>
      </c>
      <c r="H9" s="55"/>
    </row>
    <row r="10" spans="1:8" ht="15.75" x14ac:dyDescent="0.2">
      <c r="A10" s="27">
        <f t="array" ref="A10">1+COUNT(_xlfn.UNIQUE(_xlfn._xlws.FILTER($F$5:$F$127, $F$5:$F$127 &gt; F10)))</f>
        <v>1</v>
      </c>
      <c r="B10" s="52" t="s">
        <v>37</v>
      </c>
      <c r="C10" s="27"/>
      <c r="D10" s="53"/>
      <c r="E10" s="59"/>
      <c r="F10" s="54"/>
      <c r="G10" s="28">
        <v>1</v>
      </c>
      <c r="H10" s="55"/>
    </row>
    <row r="11" spans="1:8" ht="15.75" x14ac:dyDescent="0.2">
      <c r="A11" s="27">
        <f t="array" ref="A11">1+COUNT(_xlfn.UNIQUE(_xlfn._xlws.FILTER($F$5:$F$127, $F$5:$F$127 &gt; F11)))</f>
        <v>1</v>
      </c>
      <c r="B11" s="56" t="s">
        <v>15</v>
      </c>
      <c r="C11" s="27"/>
      <c r="D11" s="53"/>
      <c r="E11" s="59"/>
      <c r="F11" s="54"/>
      <c r="G11" s="28">
        <v>1</v>
      </c>
      <c r="H11" s="55"/>
    </row>
    <row r="12" spans="1:8" ht="15.75" x14ac:dyDescent="0.2">
      <c r="A12" s="27">
        <f t="array" ref="A12">1+COUNT(_xlfn.UNIQUE(_xlfn._xlws.FILTER($F$5:$F$127, $F$5:$F$127 &gt; F12)))</f>
        <v>1</v>
      </c>
      <c r="B12" s="56" t="s">
        <v>50</v>
      </c>
      <c r="C12" s="27"/>
      <c r="D12" s="53"/>
      <c r="E12" s="59"/>
      <c r="F12" s="54"/>
      <c r="G12" s="28">
        <v>1</v>
      </c>
      <c r="H12" s="55"/>
    </row>
    <row r="13" spans="1:8" ht="15.75" x14ac:dyDescent="0.2">
      <c r="A13" s="27">
        <f t="array" ref="A13">1+COUNT(_xlfn.UNIQUE(_xlfn._xlws.FILTER($F$5:$F$127, $F$5:$F$127 &gt; F13)))</f>
        <v>1</v>
      </c>
      <c r="B13" s="56" t="s">
        <v>57</v>
      </c>
      <c r="C13" s="27"/>
      <c r="D13" s="53"/>
      <c r="E13" s="59"/>
      <c r="F13" s="54"/>
      <c r="G13" s="28">
        <v>1</v>
      </c>
      <c r="H13" s="55"/>
    </row>
    <row r="14" spans="1:8" ht="15.75" x14ac:dyDescent="0.2">
      <c r="A14" s="27">
        <f t="array" ref="A14">1+COUNT(_xlfn.UNIQUE(_xlfn._xlws.FILTER($F$5:$F$127, $F$5:$F$127 &gt; F14)))</f>
        <v>1</v>
      </c>
      <c r="B14" s="56" t="s">
        <v>94</v>
      </c>
      <c r="C14" s="27"/>
      <c r="D14" s="53"/>
      <c r="E14" s="59"/>
      <c r="F14" s="54"/>
      <c r="G14" s="28">
        <v>1</v>
      </c>
      <c r="H14" s="55"/>
    </row>
    <row r="15" spans="1:8" ht="15.75" x14ac:dyDescent="0.2">
      <c r="A15" s="27">
        <f t="array" ref="A15">1+COUNT(_xlfn.UNIQUE(_xlfn._xlws.FILTER($F$5:$F$127, $F$5:$F$127 &gt; F15)))</f>
        <v>1</v>
      </c>
      <c r="B15" s="56" t="s">
        <v>40</v>
      </c>
      <c r="C15" s="27"/>
      <c r="D15" s="53"/>
      <c r="E15" s="59"/>
      <c r="F15" s="54"/>
      <c r="G15" s="28">
        <v>1</v>
      </c>
      <c r="H15" s="55"/>
    </row>
    <row r="16" spans="1:8" ht="15.75" x14ac:dyDescent="0.2">
      <c r="A16" s="27">
        <f t="array" ref="A16">1+COUNT(_xlfn.UNIQUE(_xlfn._xlws.FILTER($F$5:$F$127, $F$5:$F$127 &gt; F16)))</f>
        <v>1</v>
      </c>
      <c r="B16" s="56" t="s">
        <v>111</v>
      </c>
      <c r="C16" s="27"/>
      <c r="D16" s="53"/>
      <c r="E16" s="59"/>
      <c r="F16" s="54"/>
      <c r="G16" s="28">
        <v>1</v>
      </c>
      <c r="H16" s="55"/>
    </row>
    <row r="17" spans="1:8" ht="15.75" x14ac:dyDescent="0.2">
      <c r="A17" s="27">
        <f t="array" ref="A17">1+COUNT(_xlfn.UNIQUE(_xlfn._xlws.FILTER($F$5:$F$127, $F$5:$F$127 &gt; F17)))</f>
        <v>1</v>
      </c>
      <c r="B17" s="56" t="s">
        <v>87</v>
      </c>
      <c r="C17" s="27"/>
      <c r="D17" s="53"/>
      <c r="E17" s="59"/>
      <c r="F17" s="54"/>
      <c r="G17" s="28">
        <v>1</v>
      </c>
      <c r="H17" s="55"/>
    </row>
    <row r="18" spans="1:8" ht="15.75" x14ac:dyDescent="0.2">
      <c r="A18" s="27">
        <f t="array" ref="A18">1+COUNT(_xlfn.UNIQUE(_xlfn._xlws.FILTER($F$5:$F$127, $F$5:$F$127 &gt; F18)))</f>
        <v>1</v>
      </c>
      <c r="B18" s="56" t="s">
        <v>77</v>
      </c>
      <c r="C18" s="27"/>
      <c r="D18" s="53"/>
      <c r="E18" s="59"/>
      <c r="F18" s="54"/>
      <c r="G18" s="28">
        <v>1</v>
      </c>
      <c r="H18" s="55"/>
    </row>
    <row r="19" spans="1:8" ht="15.75" x14ac:dyDescent="0.2">
      <c r="A19" s="27">
        <f t="array" ref="A19">1+COUNT(_xlfn.UNIQUE(_xlfn._xlws.FILTER($F$5:$F$127, $F$5:$F$127 &gt; F19)))</f>
        <v>1</v>
      </c>
      <c r="B19" s="56" t="s">
        <v>46</v>
      </c>
      <c r="C19" s="27"/>
      <c r="D19" s="53"/>
      <c r="E19" s="59"/>
      <c r="F19" s="54"/>
      <c r="G19" s="28">
        <v>1</v>
      </c>
      <c r="H19" s="55"/>
    </row>
    <row r="20" spans="1:8" ht="15.75" x14ac:dyDescent="0.2">
      <c r="A20" s="27">
        <f t="array" ref="A20">1+COUNT(_xlfn.UNIQUE(_xlfn._xlws.FILTER($F$5:$F$127, $F$5:$F$127 &gt; F20)))</f>
        <v>1</v>
      </c>
      <c r="B20" s="56" t="s">
        <v>64</v>
      </c>
      <c r="C20" s="27"/>
      <c r="D20" s="53"/>
      <c r="E20" s="59"/>
      <c r="F20" s="54"/>
      <c r="G20" s="28">
        <v>1</v>
      </c>
      <c r="H20" s="55"/>
    </row>
    <row r="21" spans="1:8" ht="15.75" x14ac:dyDescent="0.2">
      <c r="A21" s="27">
        <f t="array" ref="A21">1+COUNT(_xlfn.UNIQUE(_xlfn._xlws.FILTER($F$5:$F$127, $F$5:$F$127 &gt; F21)))</f>
        <v>1</v>
      </c>
      <c r="B21" s="56" t="s">
        <v>27</v>
      </c>
      <c r="C21" s="27"/>
      <c r="D21" s="53"/>
      <c r="E21" s="59"/>
      <c r="F21" s="54"/>
      <c r="G21" s="28">
        <v>1</v>
      </c>
      <c r="H21" s="55"/>
    </row>
    <row r="22" spans="1:8" ht="15.75" x14ac:dyDescent="0.2">
      <c r="A22" s="27">
        <f t="array" ref="A22">1+COUNT(_xlfn.UNIQUE(_xlfn._xlws.FILTER($F$5:$F$127, $F$5:$F$127 &gt; F22)))</f>
        <v>1</v>
      </c>
      <c r="B22" s="56" t="s">
        <v>110</v>
      </c>
      <c r="C22" s="27"/>
      <c r="D22" s="53"/>
      <c r="E22" s="59"/>
      <c r="F22" s="54"/>
      <c r="G22" s="28">
        <v>1</v>
      </c>
      <c r="H22" s="55"/>
    </row>
    <row r="23" spans="1:8" ht="15.75" x14ac:dyDescent="0.2">
      <c r="A23" s="27">
        <f t="array" ref="A23">1+COUNT(_xlfn.UNIQUE(_xlfn._xlws.FILTER($F$5:$F$127, $F$5:$F$127 &gt; F23)))</f>
        <v>1</v>
      </c>
      <c r="B23" s="56" t="s">
        <v>92</v>
      </c>
      <c r="C23" s="27"/>
      <c r="D23" s="53"/>
      <c r="E23" s="59"/>
      <c r="F23" s="54"/>
      <c r="G23" s="28">
        <v>1</v>
      </c>
      <c r="H23" s="55"/>
    </row>
    <row r="24" spans="1:8" ht="15.75" x14ac:dyDescent="0.2">
      <c r="A24" s="27">
        <f t="array" ref="A24">1+COUNT(_xlfn.UNIQUE(_xlfn._xlws.FILTER($F$5:$F$127, $F$5:$F$127 &gt; F24)))</f>
        <v>1</v>
      </c>
      <c r="B24" s="56" t="s">
        <v>22</v>
      </c>
      <c r="C24" s="27"/>
      <c r="D24" s="53"/>
      <c r="E24" s="59"/>
      <c r="F24" s="54"/>
      <c r="G24" s="28">
        <v>1</v>
      </c>
      <c r="H24" s="55"/>
    </row>
    <row r="25" spans="1:8" ht="15.75" x14ac:dyDescent="0.2">
      <c r="A25" s="27">
        <f t="array" ref="A25">1+COUNT(_xlfn.UNIQUE(_xlfn._xlws.FILTER($F$5:$F$127, $F$5:$F$127 &gt; F25)))</f>
        <v>1</v>
      </c>
      <c r="B25" s="56" t="s">
        <v>70</v>
      </c>
      <c r="C25" s="27"/>
      <c r="D25" s="53"/>
      <c r="E25" s="59"/>
      <c r="F25" s="54"/>
      <c r="G25" s="28">
        <v>1</v>
      </c>
      <c r="H25" s="55"/>
    </row>
    <row r="26" spans="1:8" ht="15.75" x14ac:dyDescent="0.2">
      <c r="A26" s="27">
        <f t="array" ref="A26">1+COUNT(_xlfn.UNIQUE(_xlfn._xlws.FILTER($F$5:$F$127, $F$5:$F$127 &gt; F26)))</f>
        <v>1</v>
      </c>
      <c r="B26" s="56" t="s">
        <v>116</v>
      </c>
      <c r="C26" s="27"/>
      <c r="D26" s="53"/>
      <c r="E26" s="59"/>
      <c r="F26" s="54"/>
      <c r="G26" s="28">
        <v>1</v>
      </c>
      <c r="H26" s="55"/>
    </row>
    <row r="27" spans="1:8" ht="15.75" x14ac:dyDescent="0.2">
      <c r="A27" s="27">
        <f t="array" ref="A27">1+COUNT(_xlfn.UNIQUE(_xlfn._xlws.FILTER($F$5:$F$127, $F$5:$F$127 &gt; F27)))</f>
        <v>1</v>
      </c>
      <c r="B27" s="56" t="s">
        <v>4</v>
      </c>
      <c r="C27" s="27"/>
      <c r="D27" s="53"/>
      <c r="E27" s="59"/>
      <c r="F27" s="54"/>
      <c r="G27" s="28">
        <v>1</v>
      </c>
      <c r="H27" s="55"/>
    </row>
    <row r="28" spans="1:8" ht="15.75" x14ac:dyDescent="0.2">
      <c r="A28" s="27">
        <f t="array" ref="A28">1+COUNT(_xlfn.UNIQUE(_xlfn._xlws.FILTER($F$5:$F$127, $F$5:$F$127 &gt; F28)))</f>
        <v>1</v>
      </c>
      <c r="B28" s="56" t="s">
        <v>58</v>
      </c>
      <c r="C28" s="27"/>
      <c r="D28" s="53"/>
      <c r="E28" s="59"/>
      <c r="F28" s="54"/>
      <c r="G28" s="28">
        <v>1</v>
      </c>
      <c r="H28" s="55"/>
    </row>
    <row r="29" spans="1:8" ht="15.75" x14ac:dyDescent="0.2">
      <c r="A29" s="27">
        <f t="array" ref="A29">1+COUNT(_xlfn.UNIQUE(_xlfn._xlws.FILTER($F$5:$F$127, $F$5:$F$127 &gt; F29)))</f>
        <v>1</v>
      </c>
      <c r="B29" s="56" t="s">
        <v>36</v>
      </c>
      <c r="C29" s="27"/>
      <c r="D29" s="53"/>
      <c r="E29" s="59"/>
      <c r="F29" s="54"/>
      <c r="G29" s="28">
        <v>1</v>
      </c>
      <c r="H29" s="55"/>
    </row>
    <row r="30" spans="1:8" ht="15.75" x14ac:dyDescent="0.2">
      <c r="A30" s="27">
        <f t="array" ref="A30">1+COUNT(_xlfn.UNIQUE(_xlfn._xlws.FILTER($F$5:$F$127, $F$5:$F$127 &gt; F30)))</f>
        <v>1</v>
      </c>
      <c r="B30" s="56" t="s">
        <v>78</v>
      </c>
      <c r="C30" s="27"/>
      <c r="D30" s="53"/>
      <c r="E30" s="59"/>
      <c r="F30" s="54"/>
      <c r="G30" s="28">
        <v>1</v>
      </c>
      <c r="H30" s="55"/>
    </row>
    <row r="31" spans="1:8" ht="15.75" x14ac:dyDescent="0.2">
      <c r="A31" s="27">
        <f t="array" ref="A31">1+COUNT(_xlfn.UNIQUE(_xlfn._xlws.FILTER($F$5:$F$127, $F$5:$F$127 &gt; F31)))</f>
        <v>1</v>
      </c>
      <c r="B31" s="56" t="s">
        <v>119</v>
      </c>
      <c r="C31" s="27"/>
      <c r="D31" s="53"/>
      <c r="E31" s="59"/>
      <c r="F31" s="54"/>
      <c r="G31" s="28">
        <v>1</v>
      </c>
      <c r="H31" s="55"/>
    </row>
    <row r="32" spans="1:8" ht="15.75" x14ac:dyDescent="0.2">
      <c r="A32" s="27">
        <f t="array" ref="A32">1+COUNT(_xlfn.UNIQUE(_xlfn._xlws.FILTER($F$5:$F$127, $F$5:$F$127 &gt; F32)))</f>
        <v>1</v>
      </c>
      <c r="B32" s="56" t="s">
        <v>68</v>
      </c>
      <c r="C32" s="27"/>
      <c r="D32" s="53"/>
      <c r="E32" s="59"/>
      <c r="F32" s="54"/>
      <c r="G32" s="28">
        <v>1</v>
      </c>
      <c r="H32" s="55"/>
    </row>
    <row r="33" spans="1:8" ht="15.75" x14ac:dyDescent="0.2">
      <c r="A33" s="27">
        <f t="array" ref="A33">1+COUNT(_xlfn.UNIQUE(_xlfn._xlws.FILTER($F$5:$F$127, $F$5:$F$127 &gt; F33)))</f>
        <v>1</v>
      </c>
      <c r="B33" s="56" t="s">
        <v>0</v>
      </c>
      <c r="C33" s="27"/>
      <c r="D33" s="53"/>
      <c r="E33" s="59"/>
      <c r="F33" s="54"/>
      <c r="G33" s="28">
        <v>1</v>
      </c>
      <c r="H33" s="55"/>
    </row>
    <row r="34" spans="1:8" ht="15.75" x14ac:dyDescent="0.2">
      <c r="A34" s="27">
        <f t="array" ref="A34">1+COUNT(_xlfn.UNIQUE(_xlfn._xlws.FILTER($F$5:$F$127, $F$5:$F$127 &gt; F34)))</f>
        <v>1</v>
      </c>
      <c r="B34" s="56" t="s">
        <v>21</v>
      </c>
      <c r="C34" s="27"/>
      <c r="D34" s="53"/>
      <c r="E34" s="59"/>
      <c r="F34" s="54"/>
      <c r="G34" s="28">
        <v>1</v>
      </c>
      <c r="H34" s="55"/>
    </row>
    <row r="35" spans="1:8" ht="15.75" x14ac:dyDescent="0.2">
      <c r="A35" s="27">
        <f t="array" ref="A35">1+COUNT(_xlfn.UNIQUE(_xlfn._xlws.FILTER($F$5:$F$127, $F$5:$F$127 &gt; F35)))</f>
        <v>1</v>
      </c>
      <c r="B35" s="56" t="s">
        <v>102</v>
      </c>
      <c r="C35" s="27"/>
      <c r="D35" s="53"/>
      <c r="E35" s="59"/>
      <c r="F35" s="54"/>
      <c r="G35" s="28">
        <v>1</v>
      </c>
      <c r="H35" s="55"/>
    </row>
    <row r="36" spans="1:8" ht="15.75" x14ac:dyDescent="0.2">
      <c r="A36" s="27">
        <f t="array" ref="A36">1+COUNT(_xlfn.UNIQUE(_xlfn._xlws.FILTER($F$5:$F$127, $F$5:$F$127 &gt; F36)))</f>
        <v>1</v>
      </c>
      <c r="B36" s="56" t="s">
        <v>29</v>
      </c>
      <c r="C36" s="27"/>
      <c r="D36" s="53"/>
      <c r="E36" s="59"/>
      <c r="F36" s="54"/>
      <c r="G36" s="28">
        <v>1</v>
      </c>
      <c r="H36" s="55"/>
    </row>
    <row r="37" spans="1:8" ht="15.75" x14ac:dyDescent="0.2">
      <c r="A37" s="27">
        <f t="array" ref="A37">1+COUNT(_xlfn.UNIQUE(_xlfn._xlws.FILTER($F$5:$F$127, $F$5:$F$127 &gt; F37)))</f>
        <v>1</v>
      </c>
      <c r="B37" s="56" t="s">
        <v>38</v>
      </c>
      <c r="C37" s="27"/>
      <c r="D37" s="53"/>
      <c r="E37" s="59"/>
      <c r="F37" s="54"/>
      <c r="G37" s="28">
        <v>1</v>
      </c>
      <c r="H37" s="55"/>
    </row>
    <row r="38" spans="1:8" ht="15.75" x14ac:dyDescent="0.2">
      <c r="A38" s="27">
        <f t="array" ref="A38">1+COUNT(_xlfn.UNIQUE(_xlfn._xlws.FILTER($F$5:$F$127, $F$5:$F$127 &gt; F38)))</f>
        <v>1</v>
      </c>
      <c r="B38" s="56" t="s">
        <v>69</v>
      </c>
      <c r="C38" s="27"/>
      <c r="D38" s="53"/>
      <c r="E38" s="59"/>
      <c r="F38" s="54"/>
      <c r="G38" s="28">
        <v>1</v>
      </c>
      <c r="H38" s="55"/>
    </row>
    <row r="39" spans="1:8" ht="15.75" x14ac:dyDescent="0.2">
      <c r="A39" s="27">
        <f t="array" ref="A39">1+COUNT(_xlfn.UNIQUE(_xlfn._xlws.FILTER($F$5:$F$127, $F$5:$F$127 &gt; F39)))</f>
        <v>1</v>
      </c>
      <c r="B39" s="56" t="s">
        <v>93</v>
      </c>
      <c r="C39" s="27"/>
      <c r="D39" s="53"/>
      <c r="E39" s="59"/>
      <c r="F39" s="54"/>
      <c r="G39" s="28">
        <v>1</v>
      </c>
      <c r="H39" s="55"/>
    </row>
    <row r="40" spans="1:8" ht="15.75" x14ac:dyDescent="0.2">
      <c r="A40" s="27">
        <f t="array" ref="A40">1+COUNT(_xlfn.UNIQUE(_xlfn._xlws.FILTER($F$5:$F$127, $F$5:$F$127 &gt; F40)))</f>
        <v>1</v>
      </c>
      <c r="B40" s="56" t="s">
        <v>65</v>
      </c>
      <c r="C40" s="27"/>
      <c r="D40" s="53"/>
      <c r="E40" s="59"/>
      <c r="F40" s="54"/>
      <c r="G40" s="28">
        <v>1</v>
      </c>
      <c r="H40" s="55"/>
    </row>
    <row r="41" spans="1:8" ht="15.75" x14ac:dyDescent="0.2">
      <c r="A41" s="27">
        <f t="array" ref="A41">1+COUNT(_xlfn.UNIQUE(_xlfn._xlws.FILTER($F$5:$F$127, $F$5:$F$127 &gt; F41)))</f>
        <v>1</v>
      </c>
      <c r="B41" s="56" t="s">
        <v>35</v>
      </c>
      <c r="C41" s="27"/>
      <c r="D41" s="53"/>
      <c r="E41" s="59"/>
      <c r="F41" s="54"/>
      <c r="G41" s="28">
        <v>1</v>
      </c>
      <c r="H41" s="55"/>
    </row>
    <row r="42" spans="1:8" ht="15.75" x14ac:dyDescent="0.2">
      <c r="A42" s="27">
        <f t="array" ref="A42">1+COUNT(_xlfn.UNIQUE(_xlfn._xlws.FILTER($F$5:$F$127, $F$5:$F$127 &gt; F42)))</f>
        <v>1</v>
      </c>
      <c r="B42" s="56" t="s">
        <v>39</v>
      </c>
      <c r="C42" s="27"/>
      <c r="D42" s="53"/>
      <c r="E42" s="59"/>
      <c r="F42" s="54"/>
      <c r="G42" s="28">
        <v>1</v>
      </c>
      <c r="H42" s="55"/>
    </row>
    <row r="43" spans="1:8" ht="15.75" x14ac:dyDescent="0.2">
      <c r="A43" s="27">
        <f t="array" ref="A43">1+COUNT(_xlfn.UNIQUE(_xlfn._xlws.FILTER($F$5:$F$127, $F$5:$F$127 &gt; F43)))</f>
        <v>1</v>
      </c>
      <c r="B43" s="56" t="s">
        <v>49</v>
      </c>
      <c r="C43" s="27"/>
      <c r="D43" s="53"/>
      <c r="E43" s="59"/>
      <c r="F43" s="54"/>
      <c r="G43" s="28">
        <v>1</v>
      </c>
      <c r="H43" s="55"/>
    </row>
    <row r="44" spans="1:8" ht="15.75" x14ac:dyDescent="0.2">
      <c r="A44" s="27">
        <f t="array" ref="A44">1+COUNT(_xlfn.UNIQUE(_xlfn._xlws.FILTER($F$5:$F$127, $F$5:$F$127 &gt; F44)))</f>
        <v>1</v>
      </c>
      <c r="B44" s="56" t="s">
        <v>71</v>
      </c>
      <c r="C44" s="27"/>
      <c r="D44" s="53"/>
      <c r="E44" s="59"/>
      <c r="F44" s="54"/>
      <c r="G44" s="28">
        <v>1</v>
      </c>
      <c r="H44" s="55"/>
    </row>
    <row r="45" spans="1:8" ht="15.75" x14ac:dyDescent="0.2">
      <c r="A45" s="27">
        <f t="array" ref="A45">1+COUNT(_xlfn.UNIQUE(_xlfn._xlws.FILTER($F$5:$F$127, $F$5:$F$127 &gt; F45)))</f>
        <v>1</v>
      </c>
      <c r="B45" s="56" t="s">
        <v>3</v>
      </c>
      <c r="C45" s="27"/>
      <c r="D45" s="53"/>
      <c r="E45" s="59"/>
      <c r="F45" s="54"/>
      <c r="G45" s="28">
        <v>1</v>
      </c>
      <c r="H45" s="55"/>
    </row>
    <row r="46" spans="1:8" ht="15.75" x14ac:dyDescent="0.2">
      <c r="A46" s="27">
        <f t="array" ref="A46">1+COUNT(_xlfn.UNIQUE(_xlfn._xlws.FILTER($F$5:$F$127, $F$5:$F$127 &gt; F46)))</f>
        <v>1</v>
      </c>
      <c r="B46" s="56" t="s">
        <v>56</v>
      </c>
      <c r="C46" s="27"/>
      <c r="D46" s="53"/>
      <c r="E46" s="59"/>
      <c r="F46" s="54"/>
      <c r="G46" s="28">
        <v>1</v>
      </c>
      <c r="H46" s="55"/>
    </row>
    <row r="47" spans="1:8" ht="15.75" x14ac:dyDescent="0.2">
      <c r="A47" s="27">
        <f t="array" ref="A47">1+COUNT(_xlfn.UNIQUE(_xlfn._xlws.FILTER($F$5:$F$127, $F$5:$F$127 &gt; F47)))</f>
        <v>1</v>
      </c>
      <c r="B47" s="56" t="s">
        <v>26</v>
      </c>
      <c r="C47" s="27"/>
      <c r="D47" s="53"/>
      <c r="E47" s="59"/>
      <c r="F47" s="54"/>
      <c r="G47" s="28">
        <v>1</v>
      </c>
      <c r="H47" s="55"/>
    </row>
    <row r="48" spans="1:8" ht="15.75" x14ac:dyDescent="0.2">
      <c r="A48" s="27">
        <f t="array" ref="A48">1+COUNT(_xlfn.UNIQUE(_xlfn._xlws.FILTER($F$5:$F$127, $F$5:$F$127 &gt; F48)))</f>
        <v>1</v>
      </c>
      <c r="B48" s="56" t="s">
        <v>33</v>
      </c>
      <c r="C48" s="27"/>
      <c r="D48" s="53"/>
      <c r="E48" s="59"/>
      <c r="F48" s="54"/>
      <c r="G48" s="28">
        <v>1</v>
      </c>
      <c r="H48" s="55"/>
    </row>
    <row r="49" spans="1:8" ht="15.75" x14ac:dyDescent="0.2">
      <c r="A49" s="27">
        <f t="array" ref="A49">1+COUNT(_xlfn.UNIQUE(_xlfn._xlws.FILTER($F$5:$F$127, $F$5:$F$127 &gt; F49)))</f>
        <v>1</v>
      </c>
      <c r="B49" s="56" t="s">
        <v>89</v>
      </c>
      <c r="C49" s="27"/>
      <c r="D49" s="53"/>
      <c r="E49" s="59"/>
      <c r="F49" s="54"/>
      <c r="G49" s="28">
        <v>1</v>
      </c>
      <c r="H49" s="55"/>
    </row>
    <row r="50" spans="1:8" ht="15.75" x14ac:dyDescent="0.2">
      <c r="A50" s="27">
        <f t="array" ref="A50">1+COUNT(_xlfn.UNIQUE(_xlfn._xlws.FILTER($F$5:$F$127, $F$5:$F$127 &gt; F50)))</f>
        <v>1</v>
      </c>
      <c r="B50" s="56" t="s">
        <v>112</v>
      </c>
      <c r="C50" s="27"/>
      <c r="D50" s="53"/>
      <c r="E50" s="59"/>
      <c r="F50" s="54"/>
      <c r="G50" s="28">
        <v>1</v>
      </c>
      <c r="H50" s="55"/>
    </row>
    <row r="51" spans="1:8" ht="15.75" x14ac:dyDescent="0.2">
      <c r="A51" s="27">
        <f t="array" ref="A51">1+COUNT(_xlfn.UNIQUE(_xlfn._xlws.FILTER($F$5:$F$127, $F$5:$F$127 &gt; F51)))</f>
        <v>1</v>
      </c>
      <c r="B51" s="56" t="s">
        <v>123</v>
      </c>
      <c r="C51" s="27"/>
      <c r="D51" s="53"/>
      <c r="E51" s="59"/>
      <c r="F51" s="54"/>
      <c r="G51" s="28">
        <v>1</v>
      </c>
      <c r="H51" s="55"/>
    </row>
    <row r="52" spans="1:8" ht="15.75" x14ac:dyDescent="0.2">
      <c r="A52" s="27">
        <f t="array" ref="A52">1+COUNT(_xlfn.UNIQUE(_xlfn._xlws.FILTER($F$5:$F$127, $F$5:$F$127 &gt; F52)))</f>
        <v>1</v>
      </c>
      <c r="B52" s="56" t="s">
        <v>79</v>
      </c>
      <c r="C52" s="27"/>
      <c r="D52" s="53"/>
      <c r="E52" s="59"/>
      <c r="F52" s="54"/>
      <c r="G52" s="28">
        <v>1</v>
      </c>
      <c r="H52" s="55"/>
    </row>
    <row r="53" spans="1:8" ht="15.75" x14ac:dyDescent="0.2">
      <c r="A53" s="27">
        <f t="array" ref="A53">1+COUNT(_xlfn.UNIQUE(_xlfn._xlws.FILTER($F$5:$F$127, $F$5:$F$127 &gt; F53)))</f>
        <v>1</v>
      </c>
      <c r="B53" s="56" t="s">
        <v>96</v>
      </c>
      <c r="C53" s="27"/>
      <c r="D53" s="53"/>
      <c r="E53" s="59"/>
      <c r="F53" s="54"/>
      <c r="G53" s="28">
        <v>1</v>
      </c>
      <c r="H53" s="55"/>
    </row>
    <row r="54" spans="1:8" ht="15.75" x14ac:dyDescent="0.2">
      <c r="A54" s="27">
        <f t="array" ref="A54">1+COUNT(_xlfn.UNIQUE(_xlfn._xlws.FILTER($F$5:$F$127, $F$5:$F$127 &gt; F54)))</f>
        <v>1</v>
      </c>
      <c r="B54" s="56" t="s">
        <v>108</v>
      </c>
      <c r="C54" s="27"/>
      <c r="D54" s="53"/>
      <c r="E54" s="59"/>
      <c r="F54" s="54"/>
      <c r="G54" s="28">
        <v>1</v>
      </c>
      <c r="H54" s="55"/>
    </row>
    <row r="55" spans="1:8" ht="15.75" x14ac:dyDescent="0.2">
      <c r="A55" s="27">
        <f t="array" ref="A55">1+COUNT(_xlfn.UNIQUE(_xlfn._xlws.FILTER($F$5:$F$127, $F$5:$F$127 &gt; F55)))</f>
        <v>1</v>
      </c>
      <c r="B55" s="56" t="s">
        <v>104</v>
      </c>
      <c r="C55" s="27"/>
      <c r="D55" s="53"/>
      <c r="E55" s="59"/>
      <c r="F55" s="54"/>
      <c r="G55" s="28">
        <v>1</v>
      </c>
      <c r="H55" s="55"/>
    </row>
    <row r="56" spans="1:8" ht="15.75" x14ac:dyDescent="0.2">
      <c r="A56" s="27">
        <f t="array" ref="A56">1+COUNT(_xlfn.UNIQUE(_xlfn._xlws.FILTER($F$5:$F$127, $F$5:$F$127 &gt; F56)))</f>
        <v>1</v>
      </c>
      <c r="B56" s="56" t="s">
        <v>106</v>
      </c>
      <c r="C56" s="27"/>
      <c r="D56" s="53"/>
      <c r="E56" s="59"/>
      <c r="F56" s="54"/>
      <c r="G56" s="28">
        <v>1</v>
      </c>
      <c r="H56" s="55"/>
    </row>
    <row r="57" spans="1:8" ht="15.75" x14ac:dyDescent="0.2">
      <c r="A57" s="27">
        <f t="array" ref="A57">1+COUNT(_xlfn.UNIQUE(_xlfn._xlws.FILTER($F$5:$F$127, $F$5:$F$127 &gt; F57)))</f>
        <v>1</v>
      </c>
      <c r="B57" s="56" t="s">
        <v>7</v>
      </c>
      <c r="C57" s="27"/>
      <c r="D57" s="53"/>
      <c r="E57" s="59"/>
      <c r="F57" s="54"/>
      <c r="G57" s="28">
        <v>1</v>
      </c>
      <c r="H57" s="55"/>
    </row>
    <row r="58" spans="1:8" ht="15.75" x14ac:dyDescent="0.2">
      <c r="A58" s="27">
        <f t="array" ref="A58">1+COUNT(_xlfn.UNIQUE(_xlfn._xlws.FILTER($F$5:$F$127, $F$5:$F$127 &gt; F58)))</f>
        <v>1</v>
      </c>
      <c r="B58" s="56" t="s">
        <v>95</v>
      </c>
      <c r="C58" s="27"/>
      <c r="D58" s="53"/>
      <c r="E58" s="59"/>
      <c r="F58" s="54"/>
      <c r="G58" s="28">
        <v>1</v>
      </c>
      <c r="H58" s="55"/>
    </row>
    <row r="59" spans="1:8" ht="15.75" x14ac:dyDescent="0.2">
      <c r="A59" s="27">
        <f t="array" ref="A59">1+COUNT(_xlfn.UNIQUE(_xlfn._xlws.FILTER($F$5:$F$127, $F$5:$F$127 &gt; F59)))</f>
        <v>1</v>
      </c>
      <c r="B59" s="56" t="s">
        <v>30</v>
      </c>
      <c r="C59" s="27"/>
      <c r="D59" s="53"/>
      <c r="E59" s="59"/>
      <c r="F59" s="54"/>
      <c r="G59" s="28">
        <v>1</v>
      </c>
      <c r="H59" s="55"/>
    </row>
    <row r="60" spans="1:8" ht="15.75" x14ac:dyDescent="0.2">
      <c r="A60" s="27">
        <f t="array" ref="A60">1+COUNT(_xlfn.UNIQUE(_xlfn._xlws.FILTER($F$5:$F$127, $F$5:$F$127 &gt; F60)))</f>
        <v>1</v>
      </c>
      <c r="B60" s="56" t="s">
        <v>80</v>
      </c>
      <c r="C60" s="27"/>
      <c r="D60" s="53"/>
      <c r="E60" s="59"/>
      <c r="F60" s="54"/>
      <c r="G60" s="28">
        <v>1</v>
      </c>
      <c r="H60" s="55"/>
    </row>
    <row r="61" spans="1:8" ht="15.75" x14ac:dyDescent="0.2">
      <c r="A61" s="27">
        <f t="array" ref="A61">1+COUNT(_xlfn.UNIQUE(_xlfn._xlws.FILTER($F$5:$F$127, $F$5:$F$127 &gt; F61)))</f>
        <v>1</v>
      </c>
      <c r="B61" s="56" t="s">
        <v>82</v>
      </c>
      <c r="C61" s="27"/>
      <c r="D61" s="53"/>
      <c r="E61" s="59"/>
      <c r="F61" s="54"/>
      <c r="G61" s="28">
        <v>1</v>
      </c>
      <c r="H61" s="55"/>
    </row>
    <row r="62" spans="1:8" ht="15.75" x14ac:dyDescent="0.2">
      <c r="A62" s="27">
        <f t="array" ref="A62">1+COUNT(_xlfn.UNIQUE(_xlfn._xlws.FILTER($F$5:$F$127, $F$5:$F$127 &gt; F62)))</f>
        <v>1</v>
      </c>
      <c r="B62" s="56" t="s">
        <v>47</v>
      </c>
      <c r="C62" s="27"/>
      <c r="D62" s="53"/>
      <c r="E62" s="59"/>
      <c r="F62" s="54"/>
      <c r="G62" s="28">
        <v>1</v>
      </c>
      <c r="H62" s="55"/>
    </row>
    <row r="63" spans="1:8" ht="15.75" x14ac:dyDescent="0.2">
      <c r="A63" s="27">
        <f t="array" ref="A63">1+COUNT(_xlfn.UNIQUE(_xlfn._xlws.FILTER($F$5:$F$127, $F$5:$F$127 &gt; F63)))</f>
        <v>1</v>
      </c>
      <c r="B63" s="56" t="s">
        <v>28</v>
      </c>
      <c r="C63" s="27"/>
      <c r="D63" s="53"/>
      <c r="E63" s="59"/>
      <c r="F63" s="54"/>
      <c r="G63" s="28">
        <v>1</v>
      </c>
      <c r="H63" s="55"/>
    </row>
    <row r="64" spans="1:8" ht="15.75" x14ac:dyDescent="0.2">
      <c r="A64" s="27">
        <f t="array" ref="A64">1+COUNT(_xlfn.UNIQUE(_xlfn._xlws.FILTER($F$5:$F$127, $F$5:$F$127 &gt; F64)))</f>
        <v>1</v>
      </c>
      <c r="B64" s="56" t="s">
        <v>107</v>
      </c>
      <c r="C64" s="27"/>
      <c r="D64" s="53"/>
      <c r="E64" s="59"/>
      <c r="F64" s="54"/>
      <c r="G64" s="28">
        <v>1</v>
      </c>
      <c r="H64" s="55"/>
    </row>
    <row r="65" spans="1:8" ht="15.75" x14ac:dyDescent="0.2">
      <c r="A65" s="27">
        <f t="array" ref="A65">1+COUNT(_xlfn.UNIQUE(_xlfn._xlws.FILTER($F$5:$F$127, $F$5:$F$127 &gt; F65)))</f>
        <v>1</v>
      </c>
      <c r="B65" s="56" t="s">
        <v>105</v>
      </c>
      <c r="C65" s="27"/>
      <c r="D65" s="53"/>
      <c r="E65" s="59"/>
      <c r="F65" s="54"/>
      <c r="G65" s="28">
        <v>1</v>
      </c>
      <c r="H65" s="55"/>
    </row>
    <row r="66" spans="1:8" ht="15.75" x14ac:dyDescent="0.2">
      <c r="A66" s="27">
        <f t="array" ref="A66">1+COUNT(_xlfn.UNIQUE(_xlfn._xlws.FILTER($F$5:$F$127, $F$5:$F$127 &gt; F66)))</f>
        <v>1</v>
      </c>
      <c r="B66" s="56" t="s">
        <v>97</v>
      </c>
      <c r="C66" s="27"/>
      <c r="D66" s="53"/>
      <c r="E66" s="59"/>
      <c r="F66" s="54"/>
      <c r="G66" s="28">
        <v>1</v>
      </c>
      <c r="H66" s="55"/>
    </row>
    <row r="67" spans="1:8" ht="15.75" x14ac:dyDescent="0.2">
      <c r="A67" s="27">
        <f t="array" ref="A67">1+COUNT(_xlfn.UNIQUE(_xlfn._xlws.FILTER($F$5:$F$127, $F$5:$F$127 &gt; F67)))</f>
        <v>1</v>
      </c>
      <c r="B67" s="56" t="s">
        <v>76</v>
      </c>
      <c r="C67" s="27"/>
      <c r="D67" s="53"/>
      <c r="E67" s="59"/>
      <c r="F67" s="54"/>
      <c r="G67" s="28">
        <v>1</v>
      </c>
      <c r="H67" s="55"/>
    </row>
    <row r="68" spans="1:8" ht="15.75" x14ac:dyDescent="0.2">
      <c r="A68" s="27">
        <f t="array" ref="A68">1+COUNT(_xlfn.UNIQUE(_xlfn._xlws.FILTER($F$5:$F$127, $F$5:$F$127 &gt; F68)))</f>
        <v>1</v>
      </c>
      <c r="B68" s="56" t="s">
        <v>118</v>
      </c>
      <c r="C68" s="27"/>
      <c r="D68" s="53"/>
      <c r="E68" s="59"/>
      <c r="F68" s="54"/>
      <c r="G68" s="28">
        <v>1</v>
      </c>
      <c r="H68" s="55"/>
    </row>
    <row r="69" spans="1:8" ht="15.75" x14ac:dyDescent="0.2">
      <c r="A69" s="27">
        <f t="array" ref="A69">1+COUNT(_xlfn.UNIQUE(_xlfn._xlws.FILTER($F$5:$F$127, $F$5:$F$127 &gt; F69)))</f>
        <v>1</v>
      </c>
      <c r="B69" s="56" t="s">
        <v>43</v>
      </c>
      <c r="C69" s="27"/>
      <c r="D69" s="53"/>
      <c r="E69" s="59"/>
      <c r="F69" s="54"/>
      <c r="G69" s="28">
        <v>1</v>
      </c>
      <c r="H69" s="55"/>
    </row>
    <row r="70" spans="1:8" ht="15.75" x14ac:dyDescent="0.2">
      <c r="A70" s="27">
        <f t="array" ref="A70">1+COUNT(_xlfn.UNIQUE(_xlfn._xlws.FILTER($F$5:$F$127, $F$5:$F$127 &gt; F70)))</f>
        <v>1</v>
      </c>
      <c r="B70" s="56" t="s">
        <v>73</v>
      </c>
      <c r="C70" s="27"/>
      <c r="D70" s="53"/>
      <c r="E70" s="59"/>
      <c r="F70" s="54"/>
      <c r="G70" s="28">
        <v>1</v>
      </c>
      <c r="H70" s="55"/>
    </row>
    <row r="71" spans="1:8" ht="15.75" x14ac:dyDescent="0.2">
      <c r="A71" s="27">
        <f t="array" ref="A71">1+COUNT(_xlfn.UNIQUE(_xlfn._xlws.FILTER($F$5:$F$127, $F$5:$F$127 &gt; F71)))</f>
        <v>1</v>
      </c>
      <c r="B71" s="56" t="s">
        <v>23</v>
      </c>
      <c r="C71" s="27"/>
      <c r="D71" s="53"/>
      <c r="E71" s="59"/>
      <c r="F71" s="54"/>
      <c r="G71" s="28">
        <v>1</v>
      </c>
      <c r="H71" s="55"/>
    </row>
    <row r="72" spans="1:8" ht="15.75" x14ac:dyDescent="0.2">
      <c r="A72" s="27">
        <f t="array" ref="A72">1+COUNT(_xlfn.UNIQUE(_xlfn._xlws.FILTER($F$5:$F$127, $F$5:$F$127 &gt; F72)))</f>
        <v>1</v>
      </c>
      <c r="B72" s="56" t="s">
        <v>114</v>
      </c>
      <c r="C72" s="27"/>
      <c r="D72" s="53"/>
      <c r="E72" s="59"/>
      <c r="F72" s="54"/>
      <c r="G72" s="28">
        <v>1</v>
      </c>
      <c r="H72" s="55"/>
    </row>
    <row r="73" spans="1:8" ht="15.75" x14ac:dyDescent="0.2">
      <c r="A73" s="27">
        <f t="array" ref="A73">1+COUNT(_xlfn.UNIQUE(_xlfn._xlws.FILTER($F$5:$F$127, $F$5:$F$127 &gt; F73)))</f>
        <v>1</v>
      </c>
      <c r="B73" s="56" t="s">
        <v>85</v>
      </c>
      <c r="C73" s="27"/>
      <c r="D73" s="53"/>
      <c r="E73" s="59"/>
      <c r="F73" s="54"/>
      <c r="G73" s="28">
        <v>1</v>
      </c>
      <c r="H73" s="55"/>
    </row>
    <row r="74" spans="1:8" ht="15.75" x14ac:dyDescent="0.2">
      <c r="A74" s="27">
        <f t="array" ref="A74">1+COUNT(_xlfn.UNIQUE(_xlfn._xlws.FILTER($F$5:$F$127, $F$5:$F$127 &gt; F74)))</f>
        <v>1</v>
      </c>
      <c r="B74" s="56" t="s">
        <v>60</v>
      </c>
      <c r="C74" s="27"/>
      <c r="D74" s="53"/>
      <c r="E74" s="59"/>
      <c r="F74" s="54"/>
      <c r="G74" s="28">
        <v>1</v>
      </c>
      <c r="H74" s="55"/>
    </row>
    <row r="75" spans="1:8" ht="15.75" x14ac:dyDescent="0.2">
      <c r="A75" s="27">
        <f t="array" ref="A75">1+COUNT(_xlfn.UNIQUE(_xlfn._xlws.FILTER($F$5:$F$127, $F$5:$F$127 &gt; F75)))</f>
        <v>1</v>
      </c>
      <c r="B75" s="56" t="s">
        <v>44</v>
      </c>
      <c r="C75" s="27"/>
      <c r="D75" s="53"/>
      <c r="E75" s="59"/>
      <c r="F75" s="54"/>
      <c r="G75" s="28">
        <v>1</v>
      </c>
      <c r="H75" s="55"/>
    </row>
    <row r="76" spans="1:8" ht="15.75" x14ac:dyDescent="0.2">
      <c r="A76" s="27">
        <f t="array" ref="A76">1+COUNT(_xlfn.UNIQUE(_xlfn._xlws.FILTER($F$5:$F$127, $F$5:$F$127 &gt; F76)))</f>
        <v>1</v>
      </c>
      <c r="B76" s="56" t="s">
        <v>91</v>
      </c>
      <c r="C76" s="27"/>
      <c r="D76" s="53"/>
      <c r="E76" s="59"/>
      <c r="F76" s="54"/>
      <c r="G76" s="28">
        <v>1</v>
      </c>
      <c r="H76" s="55"/>
    </row>
    <row r="77" spans="1:8" ht="15.75" x14ac:dyDescent="0.2">
      <c r="A77" s="27">
        <f t="array" ref="A77">1+COUNT(_xlfn.UNIQUE(_xlfn._xlws.FILTER($F$5:$F$127, $F$5:$F$127 &gt; F77)))</f>
        <v>1</v>
      </c>
      <c r="B77" s="56" t="s">
        <v>10</v>
      </c>
      <c r="C77" s="27"/>
      <c r="D77" s="53"/>
      <c r="E77" s="59"/>
      <c r="F77" s="54"/>
      <c r="G77" s="28">
        <v>1</v>
      </c>
      <c r="H77" s="55"/>
    </row>
    <row r="78" spans="1:8" ht="15.75" x14ac:dyDescent="0.2">
      <c r="A78" s="27">
        <f t="array" ref="A78">1+COUNT(_xlfn.UNIQUE(_xlfn._xlws.FILTER($F$5:$F$127, $F$5:$F$127 &gt; F78)))</f>
        <v>1</v>
      </c>
      <c r="B78" s="56" t="s">
        <v>6</v>
      </c>
      <c r="C78" s="27"/>
      <c r="D78" s="53"/>
      <c r="E78" s="59"/>
      <c r="F78" s="54"/>
      <c r="G78" s="28">
        <v>1</v>
      </c>
      <c r="H78" s="55"/>
    </row>
    <row r="79" spans="1:8" ht="15.75" x14ac:dyDescent="0.2">
      <c r="A79" s="27">
        <f t="array" ref="A79">1+COUNT(_xlfn.UNIQUE(_xlfn._xlws.FILTER($F$5:$F$127, $F$5:$F$127 &gt; F79)))</f>
        <v>1</v>
      </c>
      <c r="B79" s="56" t="s">
        <v>67</v>
      </c>
      <c r="C79" s="27"/>
      <c r="D79" s="53"/>
      <c r="E79" s="59"/>
      <c r="F79" s="54"/>
      <c r="G79" s="28">
        <v>1</v>
      </c>
      <c r="H79" s="55"/>
    </row>
    <row r="80" spans="1:8" ht="15.75" x14ac:dyDescent="0.2">
      <c r="A80" s="27">
        <f t="array" ref="A80">1+COUNT(_xlfn.UNIQUE(_xlfn._xlws.FILTER($F$5:$F$127, $F$5:$F$127 &gt; F80)))</f>
        <v>1</v>
      </c>
      <c r="B80" s="56" t="s">
        <v>109</v>
      </c>
      <c r="C80" s="27"/>
      <c r="D80" s="53"/>
      <c r="E80" s="59"/>
      <c r="F80" s="54"/>
      <c r="G80" s="28">
        <v>1</v>
      </c>
      <c r="H80" s="55"/>
    </row>
    <row r="81" spans="1:8" ht="15.75" x14ac:dyDescent="0.2">
      <c r="A81" s="27">
        <f t="array" ref="A81">1+COUNT(_xlfn.UNIQUE(_xlfn._xlws.FILTER($F$5:$F$127, $F$5:$F$127 &gt; F81)))</f>
        <v>1</v>
      </c>
      <c r="B81" s="56" t="s">
        <v>32</v>
      </c>
      <c r="C81" s="27"/>
      <c r="D81" s="53"/>
      <c r="E81" s="59"/>
      <c r="F81" s="54"/>
      <c r="G81" s="28">
        <v>1</v>
      </c>
      <c r="H81" s="55"/>
    </row>
    <row r="82" spans="1:8" ht="15.75" x14ac:dyDescent="0.2">
      <c r="A82" s="27">
        <f t="array" ref="A82">1+COUNT(_xlfn.UNIQUE(_xlfn._xlws.FILTER($F$5:$F$127, $F$5:$F$127 &gt; F82)))</f>
        <v>1</v>
      </c>
      <c r="B82" s="56" t="s">
        <v>54</v>
      </c>
      <c r="C82" s="27"/>
      <c r="D82" s="53"/>
      <c r="E82" s="59"/>
      <c r="F82" s="54"/>
      <c r="G82" s="28">
        <v>1</v>
      </c>
      <c r="H82" s="55"/>
    </row>
    <row r="83" spans="1:8" ht="15.75" x14ac:dyDescent="0.2">
      <c r="A83" s="27">
        <f t="array" ref="A83">1+COUNT(_xlfn.UNIQUE(_xlfn._xlws.FILTER($F$5:$F$127, $F$5:$F$127 &gt; F83)))</f>
        <v>1</v>
      </c>
      <c r="B83" s="56" t="s">
        <v>62</v>
      </c>
      <c r="C83" s="27"/>
      <c r="D83" s="53"/>
      <c r="E83" s="59"/>
      <c r="F83" s="54"/>
      <c r="G83" s="28">
        <v>1</v>
      </c>
      <c r="H83" s="55"/>
    </row>
    <row r="84" spans="1:8" ht="15.75" x14ac:dyDescent="0.2">
      <c r="A84" s="27">
        <f t="array" ref="A84">1+COUNT(_xlfn.UNIQUE(_xlfn._xlws.FILTER($F$5:$F$127, $F$5:$F$127 &gt; F84)))</f>
        <v>1</v>
      </c>
      <c r="B84" s="56" t="s">
        <v>74</v>
      </c>
      <c r="C84" s="27"/>
      <c r="D84" s="53"/>
      <c r="E84" s="59"/>
      <c r="F84" s="54"/>
      <c r="G84" s="28">
        <v>1</v>
      </c>
      <c r="H84" s="55"/>
    </row>
    <row r="85" spans="1:8" ht="15.75" x14ac:dyDescent="0.2">
      <c r="A85" s="27">
        <f t="array" ref="A85">1+COUNT(_xlfn.UNIQUE(_xlfn._xlws.FILTER($F$5:$F$127, $F$5:$F$127 &gt; F85)))</f>
        <v>1</v>
      </c>
      <c r="B85" s="56" t="s">
        <v>42</v>
      </c>
      <c r="C85" s="27"/>
      <c r="D85" s="53"/>
      <c r="E85" s="59"/>
      <c r="F85" s="54"/>
      <c r="G85" s="28">
        <v>1</v>
      </c>
      <c r="H85" s="55"/>
    </row>
    <row r="86" spans="1:8" ht="15.75" x14ac:dyDescent="0.2">
      <c r="A86" s="27">
        <f t="array" ref="A86">1+COUNT(_xlfn.UNIQUE(_xlfn._xlws.FILTER($F$5:$F$127, $F$5:$F$127 &gt; F86)))</f>
        <v>1</v>
      </c>
      <c r="B86" s="56" t="s">
        <v>31</v>
      </c>
      <c r="C86" s="27"/>
      <c r="D86" s="53"/>
      <c r="E86" s="59"/>
      <c r="F86" s="54"/>
      <c r="G86" s="28">
        <v>1</v>
      </c>
      <c r="H86" s="55"/>
    </row>
    <row r="87" spans="1:8" ht="15.75" x14ac:dyDescent="0.2">
      <c r="A87" s="27">
        <f t="array" ref="A87">1+COUNT(_xlfn.UNIQUE(_xlfn._xlws.FILTER($F$5:$F$127, $F$5:$F$127 &gt; F87)))</f>
        <v>1</v>
      </c>
      <c r="B87" s="56" t="s">
        <v>16</v>
      </c>
      <c r="C87" s="27"/>
      <c r="D87" s="53"/>
      <c r="E87" s="59"/>
      <c r="F87" s="54"/>
      <c r="G87" s="28">
        <v>1</v>
      </c>
      <c r="H87" s="55"/>
    </row>
    <row r="88" spans="1:8" ht="15.75" x14ac:dyDescent="0.2">
      <c r="A88" s="27">
        <f t="array" ref="A88">1+COUNT(_xlfn.UNIQUE(_xlfn._xlws.FILTER($F$5:$F$127, $F$5:$F$127 &gt; F88)))</f>
        <v>1</v>
      </c>
      <c r="B88" s="56" t="s">
        <v>72</v>
      </c>
      <c r="C88" s="27"/>
      <c r="D88" s="53"/>
      <c r="E88" s="59"/>
      <c r="F88" s="54"/>
      <c r="G88" s="28">
        <v>1</v>
      </c>
      <c r="H88" s="55"/>
    </row>
    <row r="89" spans="1:8" ht="15.75" x14ac:dyDescent="0.2">
      <c r="A89" s="27">
        <f t="array" ref="A89">1+COUNT(_xlfn.UNIQUE(_xlfn._xlws.FILTER($F$5:$F$127, $F$5:$F$127 &gt; F89)))</f>
        <v>1</v>
      </c>
      <c r="B89" s="56" t="s">
        <v>63</v>
      </c>
      <c r="C89" s="27"/>
      <c r="D89" s="53"/>
      <c r="E89" s="59"/>
      <c r="F89" s="54"/>
      <c r="G89" s="28">
        <v>1</v>
      </c>
      <c r="H89" s="55"/>
    </row>
    <row r="90" spans="1:8" ht="15.75" x14ac:dyDescent="0.2">
      <c r="A90" s="27">
        <f t="array" ref="A90">1+COUNT(_xlfn.UNIQUE(_xlfn._xlws.FILTER($F$5:$F$127, $F$5:$F$127 &gt; F90)))</f>
        <v>1</v>
      </c>
      <c r="B90" s="56" t="s">
        <v>52</v>
      </c>
      <c r="C90" s="27"/>
      <c r="D90" s="53"/>
      <c r="E90" s="59"/>
      <c r="F90" s="54"/>
      <c r="G90" s="28">
        <v>1</v>
      </c>
      <c r="H90" s="55"/>
    </row>
    <row r="91" spans="1:8" ht="15.75" x14ac:dyDescent="0.2">
      <c r="A91" s="27">
        <f t="array" ref="A91">1+COUNT(_xlfn.UNIQUE(_xlfn._xlws.FILTER($F$5:$F$127, $F$5:$F$127 &gt; F91)))</f>
        <v>1</v>
      </c>
      <c r="B91" s="56" t="s">
        <v>9</v>
      </c>
      <c r="C91" s="27"/>
      <c r="D91" s="53"/>
      <c r="E91" s="59"/>
      <c r="F91" s="54"/>
      <c r="G91" s="28">
        <v>1</v>
      </c>
      <c r="H91" s="55"/>
    </row>
    <row r="92" spans="1:8" ht="15.75" x14ac:dyDescent="0.2">
      <c r="A92" s="27">
        <f t="array" ref="A92">1+COUNT(_xlfn.UNIQUE(_xlfn._xlws.FILTER($F$5:$F$127, $F$5:$F$127 &gt; F92)))</f>
        <v>1</v>
      </c>
      <c r="B92" s="56" t="s">
        <v>83</v>
      </c>
      <c r="C92" s="27"/>
      <c r="D92" s="53"/>
      <c r="E92" s="59"/>
      <c r="F92" s="54"/>
      <c r="G92" s="28">
        <v>1</v>
      </c>
      <c r="H92" s="55"/>
    </row>
    <row r="93" spans="1:8" ht="15.75" x14ac:dyDescent="0.2">
      <c r="A93" s="27">
        <f t="array" ref="A93">1+COUNT(_xlfn.UNIQUE(_xlfn._xlws.FILTER($F$5:$F$127, $F$5:$F$127 &gt; F93)))</f>
        <v>1</v>
      </c>
      <c r="B93" s="56" t="s">
        <v>117</v>
      </c>
      <c r="C93" s="27"/>
      <c r="D93" s="53"/>
      <c r="E93" s="59"/>
      <c r="F93" s="54"/>
      <c r="G93" s="28">
        <v>1</v>
      </c>
      <c r="H93" s="55"/>
    </row>
    <row r="94" spans="1:8" ht="15.75" x14ac:dyDescent="0.2">
      <c r="A94" s="27">
        <f t="array" ref="A94">1+COUNT(_xlfn.UNIQUE(_xlfn._xlws.FILTER($F$5:$F$127, $F$5:$F$127 &gt; F94)))</f>
        <v>1</v>
      </c>
      <c r="B94" s="56" t="s">
        <v>45</v>
      </c>
      <c r="C94" s="27"/>
      <c r="D94" s="53"/>
      <c r="E94" s="59"/>
      <c r="F94" s="54"/>
      <c r="G94" s="28">
        <v>1</v>
      </c>
      <c r="H94" s="55"/>
    </row>
    <row r="95" spans="1:8" ht="15.75" x14ac:dyDescent="0.2">
      <c r="A95" s="27">
        <f t="array" ref="A95">1+COUNT(_xlfn.UNIQUE(_xlfn._xlws.FILTER($F$5:$F$127, $F$5:$F$127 &gt; F95)))</f>
        <v>1</v>
      </c>
      <c r="B95" s="56" t="s">
        <v>51</v>
      </c>
      <c r="C95" s="27"/>
      <c r="D95" s="53"/>
      <c r="E95" s="59"/>
      <c r="F95" s="54"/>
      <c r="G95" s="28">
        <v>1</v>
      </c>
      <c r="H95" s="55"/>
    </row>
    <row r="96" spans="1:8" ht="15.75" x14ac:dyDescent="0.2">
      <c r="A96" s="27">
        <f t="array" ref="A96">1+COUNT(_xlfn.UNIQUE(_xlfn._xlws.FILTER($F$5:$F$127, $F$5:$F$127 &gt; F96)))</f>
        <v>1</v>
      </c>
      <c r="B96" s="56" t="s">
        <v>8</v>
      </c>
      <c r="C96" s="27"/>
      <c r="D96" s="53"/>
      <c r="E96" s="59"/>
      <c r="F96" s="54"/>
      <c r="G96" s="28">
        <v>1</v>
      </c>
      <c r="H96" s="55"/>
    </row>
    <row r="97" spans="1:8" ht="15.75" x14ac:dyDescent="0.2">
      <c r="A97" s="27">
        <f t="array" ref="A97">1+COUNT(_xlfn.UNIQUE(_xlfn._xlws.FILTER($F$5:$F$127, $F$5:$F$127 &gt; F97)))</f>
        <v>1</v>
      </c>
      <c r="B97" s="56" t="s">
        <v>86</v>
      </c>
      <c r="C97" s="27"/>
      <c r="D97" s="53"/>
      <c r="E97" s="59"/>
      <c r="F97" s="54"/>
      <c r="G97" s="28">
        <v>1</v>
      </c>
      <c r="H97" s="55"/>
    </row>
    <row r="98" spans="1:8" ht="15.75" x14ac:dyDescent="0.2">
      <c r="A98" s="27">
        <f t="array" ref="A98">1+COUNT(_xlfn.UNIQUE(_xlfn._xlws.FILTER($F$5:$F$127, $F$5:$F$127 &gt; F98)))</f>
        <v>1</v>
      </c>
      <c r="B98" s="56" t="s">
        <v>100</v>
      </c>
      <c r="C98" s="27"/>
      <c r="D98" s="53"/>
      <c r="E98" s="59"/>
      <c r="F98" s="54"/>
      <c r="G98" s="28">
        <v>1</v>
      </c>
      <c r="H98" s="55"/>
    </row>
    <row r="99" spans="1:8" ht="15.75" x14ac:dyDescent="0.2">
      <c r="A99" s="27">
        <f t="array" ref="A99">1+COUNT(_xlfn.UNIQUE(_xlfn._xlws.FILTER($F$5:$F$127, $F$5:$F$127 &gt; F99)))</f>
        <v>1</v>
      </c>
      <c r="B99" s="56" t="s">
        <v>122</v>
      </c>
      <c r="C99" s="27"/>
      <c r="D99" s="53"/>
      <c r="E99" s="59"/>
      <c r="F99" s="54"/>
      <c r="G99" s="28">
        <v>1</v>
      </c>
      <c r="H99" s="55"/>
    </row>
    <row r="100" spans="1:8" ht="15.75" x14ac:dyDescent="0.2">
      <c r="A100" s="27">
        <f t="array" ref="A100">1+COUNT(_xlfn.UNIQUE(_xlfn._xlws.FILTER($F$5:$F$127, $F$5:$F$127 &gt; F100)))</f>
        <v>1</v>
      </c>
      <c r="B100" s="56" t="s">
        <v>103</v>
      </c>
      <c r="C100" s="27"/>
      <c r="D100" s="53"/>
      <c r="E100" s="59"/>
      <c r="F100" s="54"/>
      <c r="G100" s="28">
        <v>1</v>
      </c>
      <c r="H100" s="55"/>
    </row>
    <row r="101" spans="1:8" ht="15.75" x14ac:dyDescent="0.2">
      <c r="A101" s="27">
        <f t="array" ref="A101">1+COUNT(_xlfn.UNIQUE(_xlfn._xlws.FILTER($F$5:$F$127, $F$5:$F$127 &gt; F101)))</f>
        <v>1</v>
      </c>
      <c r="B101" s="56" t="s">
        <v>115</v>
      </c>
      <c r="C101" s="27"/>
      <c r="D101" s="53"/>
      <c r="E101" s="59"/>
      <c r="F101" s="54"/>
      <c r="G101" s="28">
        <v>1</v>
      </c>
      <c r="H101" s="55"/>
    </row>
    <row r="102" spans="1:8" ht="15.75" x14ac:dyDescent="0.2">
      <c r="A102" s="27">
        <f t="array" ref="A102">1+COUNT(_xlfn.UNIQUE(_xlfn._xlws.FILTER($F$5:$F$127, $F$5:$F$127 &gt; F102)))</f>
        <v>1</v>
      </c>
      <c r="B102" s="56" t="s">
        <v>14</v>
      </c>
      <c r="C102" s="27"/>
      <c r="D102" s="53"/>
      <c r="E102" s="59"/>
      <c r="F102" s="54"/>
      <c r="G102" s="28">
        <v>1</v>
      </c>
      <c r="H102" s="55"/>
    </row>
    <row r="103" spans="1:8" ht="15.75" x14ac:dyDescent="0.2">
      <c r="A103" s="27">
        <f t="array" ref="A103">1+COUNT(_xlfn.UNIQUE(_xlfn._xlws.FILTER($F$5:$F$127, $F$5:$F$127 &gt; F103)))</f>
        <v>1</v>
      </c>
      <c r="B103" s="56" t="s">
        <v>90</v>
      </c>
      <c r="C103" s="27"/>
      <c r="D103" s="53"/>
      <c r="E103" s="59"/>
      <c r="F103" s="54"/>
      <c r="G103" s="28">
        <v>1</v>
      </c>
      <c r="H103" s="55"/>
    </row>
    <row r="104" spans="1:8" ht="15.75" x14ac:dyDescent="0.2">
      <c r="A104" s="27">
        <f t="array" ref="A104">1+COUNT(_xlfn.UNIQUE(_xlfn._xlws.FILTER($F$5:$F$127, $F$5:$F$127 &gt; F104)))</f>
        <v>1</v>
      </c>
      <c r="B104" s="56" t="s">
        <v>84</v>
      </c>
      <c r="C104" s="27"/>
      <c r="D104" s="53"/>
      <c r="E104" s="59"/>
      <c r="F104" s="54"/>
      <c r="G104" s="28">
        <v>1</v>
      </c>
      <c r="H104" s="55"/>
    </row>
    <row r="105" spans="1:8" ht="15.75" x14ac:dyDescent="0.2">
      <c r="A105" s="27">
        <f t="array" ref="A105">1+COUNT(_xlfn.UNIQUE(_xlfn._xlws.FILTER($F$5:$F$127, $F$5:$F$127 &gt; F105)))</f>
        <v>1</v>
      </c>
      <c r="B105" s="56" t="s">
        <v>101</v>
      </c>
      <c r="C105" s="27"/>
      <c r="D105" s="53"/>
      <c r="E105" s="59"/>
      <c r="F105" s="54"/>
      <c r="G105" s="28">
        <v>1</v>
      </c>
      <c r="H105" s="55"/>
    </row>
    <row r="106" spans="1:8" ht="15.75" x14ac:dyDescent="0.2">
      <c r="A106" s="27">
        <f t="array" ref="A106">1+COUNT(_xlfn.UNIQUE(_xlfn._xlws.FILTER($F$5:$F$127, $F$5:$F$127 &gt; F106)))</f>
        <v>1</v>
      </c>
      <c r="B106" s="56" t="s">
        <v>55</v>
      </c>
      <c r="C106" s="27"/>
      <c r="D106" s="53"/>
      <c r="E106" s="59"/>
      <c r="F106" s="54"/>
      <c r="G106" s="28">
        <v>1</v>
      </c>
      <c r="H106" s="55"/>
    </row>
    <row r="107" spans="1:8" ht="15.75" x14ac:dyDescent="0.2">
      <c r="A107" s="27">
        <f t="array" ref="A107">1+COUNT(_xlfn.UNIQUE(_xlfn._xlws.FILTER($F$5:$F$127, $F$5:$F$127 &gt; F107)))</f>
        <v>1</v>
      </c>
      <c r="B107" s="56" t="s">
        <v>48</v>
      </c>
      <c r="C107" s="27"/>
      <c r="D107" s="53"/>
      <c r="E107" s="59"/>
      <c r="F107" s="54"/>
      <c r="G107" s="28">
        <v>1</v>
      </c>
      <c r="H107" s="55"/>
    </row>
    <row r="108" spans="1:8" ht="15.75" x14ac:dyDescent="0.2">
      <c r="A108" s="27">
        <f t="array" ref="A108">1+COUNT(_xlfn.UNIQUE(_xlfn._xlws.FILTER($F$5:$F$127, $F$5:$F$127 &gt; F108)))</f>
        <v>1</v>
      </c>
      <c r="B108" s="56" t="s">
        <v>12</v>
      </c>
      <c r="C108" s="27"/>
      <c r="D108" s="53"/>
      <c r="E108" s="59"/>
      <c r="F108" s="54"/>
      <c r="G108" s="28">
        <v>1</v>
      </c>
      <c r="H108" s="55"/>
    </row>
    <row r="109" spans="1:8" ht="15.75" x14ac:dyDescent="0.2">
      <c r="A109" s="27">
        <f t="array" ref="A109">1+COUNT(_xlfn.UNIQUE(_xlfn._xlws.FILTER($F$5:$F$127, $F$5:$F$127 &gt; F109)))</f>
        <v>1</v>
      </c>
      <c r="B109" s="56" t="s">
        <v>34</v>
      </c>
      <c r="C109" s="27"/>
      <c r="D109" s="53"/>
      <c r="E109" s="59"/>
      <c r="F109" s="54"/>
      <c r="G109" s="28">
        <v>1</v>
      </c>
      <c r="H109" s="55"/>
    </row>
    <row r="110" spans="1:8" ht="15.75" x14ac:dyDescent="0.2">
      <c r="A110" s="27">
        <f t="array" ref="A110">1+COUNT(_xlfn.UNIQUE(_xlfn._xlws.FILTER($F$5:$F$127, $F$5:$F$127 &gt; F110)))</f>
        <v>1</v>
      </c>
      <c r="B110" s="56" t="s">
        <v>120</v>
      </c>
      <c r="C110" s="27"/>
      <c r="D110" s="53"/>
      <c r="E110" s="59"/>
      <c r="F110" s="54"/>
      <c r="G110" s="28">
        <v>1</v>
      </c>
      <c r="H110" s="55"/>
    </row>
    <row r="111" spans="1:8" ht="15.75" x14ac:dyDescent="0.2">
      <c r="A111" s="27">
        <f t="array" ref="A111">1+COUNT(_xlfn.UNIQUE(_xlfn._xlws.FILTER($F$5:$F$127, $F$5:$F$127 &gt; F111)))</f>
        <v>1</v>
      </c>
      <c r="B111" s="56" t="s">
        <v>61</v>
      </c>
      <c r="C111" s="27"/>
      <c r="D111" s="53"/>
      <c r="E111" s="59"/>
      <c r="F111" s="54"/>
      <c r="G111" s="28">
        <v>1</v>
      </c>
      <c r="H111" s="55"/>
    </row>
    <row r="112" spans="1:8" ht="15.75" x14ac:dyDescent="0.2">
      <c r="A112" s="27">
        <f t="array" ref="A112">1+COUNT(_xlfn.UNIQUE(_xlfn._xlws.FILTER($F$5:$F$127, $F$5:$F$127 &gt; F112)))</f>
        <v>1</v>
      </c>
      <c r="B112" s="56" t="s">
        <v>20</v>
      </c>
      <c r="C112" s="27"/>
      <c r="D112" s="53"/>
      <c r="E112" s="59"/>
      <c r="F112" s="54"/>
      <c r="G112" s="28">
        <v>1</v>
      </c>
      <c r="H112" s="55"/>
    </row>
    <row r="113" spans="1:8" ht="15.75" x14ac:dyDescent="0.2">
      <c r="A113" s="27">
        <f t="array" ref="A113">1+COUNT(_xlfn.UNIQUE(_xlfn._xlws.FILTER($F$5:$F$127, $F$5:$F$127 &gt; F113)))</f>
        <v>1</v>
      </c>
      <c r="B113" s="56" t="s">
        <v>113</v>
      </c>
      <c r="C113" s="27"/>
      <c r="D113" s="53"/>
      <c r="E113" s="59"/>
      <c r="F113" s="54"/>
      <c r="G113" s="28">
        <v>1</v>
      </c>
      <c r="H113" s="55"/>
    </row>
    <row r="114" spans="1:8" ht="15.75" x14ac:dyDescent="0.2">
      <c r="A114" s="27">
        <f t="array" ref="A114">1+COUNT(_xlfn.UNIQUE(_xlfn._xlws.FILTER($F$5:$F$127, $F$5:$F$127 &gt; F114)))</f>
        <v>1</v>
      </c>
      <c r="B114" s="56" t="s">
        <v>13</v>
      </c>
      <c r="C114" s="27"/>
      <c r="D114" s="53"/>
      <c r="E114" s="59"/>
      <c r="F114" s="54"/>
      <c r="G114" s="28">
        <v>1</v>
      </c>
      <c r="H114" s="55"/>
    </row>
    <row r="115" spans="1:8" ht="15.75" x14ac:dyDescent="0.2">
      <c r="A115" s="27">
        <f t="array" ref="A115">1+COUNT(_xlfn.UNIQUE(_xlfn._xlws.FILTER($F$5:$F$127, $F$5:$F$127 &gt; F115)))</f>
        <v>1</v>
      </c>
      <c r="B115" s="56" t="s">
        <v>18</v>
      </c>
      <c r="C115" s="27"/>
      <c r="D115" s="53"/>
      <c r="E115" s="59"/>
      <c r="F115" s="54"/>
      <c r="G115" s="28">
        <v>1</v>
      </c>
      <c r="H115" s="55"/>
    </row>
    <row r="116" spans="1:8" ht="15.75" x14ac:dyDescent="0.2">
      <c r="A116" s="27">
        <f t="array" ref="A116">1+COUNT(_xlfn.UNIQUE(_xlfn._xlws.FILTER($F$5:$F$127, $F$5:$F$127 &gt; F116)))</f>
        <v>1</v>
      </c>
      <c r="B116" s="56" t="s">
        <v>66</v>
      </c>
      <c r="C116" s="27"/>
      <c r="D116" s="53"/>
      <c r="E116" s="59"/>
      <c r="F116" s="54"/>
      <c r="G116" s="28">
        <v>1</v>
      </c>
      <c r="H116" s="55"/>
    </row>
    <row r="117" spans="1:8" ht="15.75" x14ac:dyDescent="0.2">
      <c r="A117" s="27">
        <f t="array" ref="A117">1+COUNT(_xlfn.UNIQUE(_xlfn._xlws.FILTER($F$5:$F$127, $F$5:$F$127 &gt; F117)))</f>
        <v>1</v>
      </c>
      <c r="B117" s="56" t="s">
        <v>98</v>
      </c>
      <c r="C117" s="27"/>
      <c r="D117" s="53"/>
      <c r="E117" s="59"/>
      <c r="F117" s="54"/>
      <c r="G117" s="28">
        <v>1</v>
      </c>
      <c r="H117" s="55"/>
    </row>
    <row r="118" spans="1:8" ht="15.75" x14ac:dyDescent="0.2">
      <c r="A118" s="27">
        <f t="array" ref="A118">1+COUNT(_xlfn.UNIQUE(_xlfn._xlws.FILTER($F$5:$F$127, $F$5:$F$127 &gt; F118)))</f>
        <v>1</v>
      </c>
      <c r="B118" s="56" t="s">
        <v>75</v>
      </c>
      <c r="C118" s="27"/>
      <c r="D118" s="53"/>
      <c r="E118" s="59"/>
      <c r="F118" s="54"/>
      <c r="G118" s="28">
        <v>1</v>
      </c>
      <c r="H118" s="55"/>
    </row>
    <row r="119" spans="1:8" ht="15.75" x14ac:dyDescent="0.2">
      <c r="A119" s="27">
        <f t="array" ref="A119">1+COUNT(_xlfn.UNIQUE(_xlfn._xlws.FILTER($F$5:$F$127, $F$5:$F$127 &gt; F119)))</f>
        <v>1</v>
      </c>
      <c r="B119" s="56" t="s">
        <v>19</v>
      </c>
      <c r="C119" s="27"/>
      <c r="D119" s="53"/>
      <c r="E119" s="59"/>
      <c r="F119" s="54"/>
      <c r="G119" s="28">
        <v>1</v>
      </c>
      <c r="H119" s="55"/>
    </row>
    <row r="120" spans="1:8" ht="15.75" x14ac:dyDescent="0.2">
      <c r="A120" s="27">
        <f t="array" ref="A120">1+COUNT(_xlfn.UNIQUE(_xlfn._xlws.FILTER($F$5:$F$127, $F$5:$F$127 &gt; F120)))</f>
        <v>1</v>
      </c>
      <c r="B120" s="56" t="s">
        <v>81</v>
      </c>
      <c r="C120" s="27"/>
      <c r="D120" s="53"/>
      <c r="E120" s="59"/>
      <c r="F120" s="54"/>
      <c r="G120" s="28">
        <v>1</v>
      </c>
      <c r="H120" s="55"/>
    </row>
    <row r="121" spans="1:8" ht="15.75" x14ac:dyDescent="0.2">
      <c r="A121" s="27">
        <f t="array" ref="A121">1+COUNT(_xlfn.UNIQUE(_xlfn._xlws.FILTER($F$5:$F$127, $F$5:$F$127 &gt; F121)))</f>
        <v>1</v>
      </c>
      <c r="B121" s="56" t="s">
        <v>88</v>
      </c>
      <c r="C121" s="27"/>
      <c r="D121" s="53"/>
      <c r="E121" s="59"/>
      <c r="F121" s="54"/>
      <c r="G121" s="28">
        <v>1</v>
      </c>
      <c r="H121" s="55"/>
    </row>
    <row r="122" spans="1:8" ht="15.75" x14ac:dyDescent="0.2">
      <c r="A122" s="27">
        <f t="array" ref="A122">1+COUNT(_xlfn.UNIQUE(_xlfn._xlws.FILTER($F$5:$F$127, $F$5:$F$127 &gt; F122)))</f>
        <v>1</v>
      </c>
      <c r="B122" s="56" t="s">
        <v>41</v>
      </c>
      <c r="C122" s="27"/>
      <c r="D122" s="53"/>
      <c r="E122" s="59"/>
      <c r="F122" s="54"/>
      <c r="G122" s="28">
        <v>1</v>
      </c>
      <c r="H122" s="55"/>
    </row>
    <row r="123" spans="1:8" ht="15.75" x14ac:dyDescent="0.2">
      <c r="A123" s="27">
        <f t="array" ref="A123">1+COUNT(_xlfn.UNIQUE(_xlfn._xlws.FILTER($F$5:$F$127, $F$5:$F$127 &gt; F123)))</f>
        <v>1</v>
      </c>
      <c r="B123" s="56" t="s">
        <v>53</v>
      </c>
      <c r="C123" s="27"/>
      <c r="D123" s="53"/>
      <c r="E123" s="59"/>
      <c r="F123" s="54"/>
      <c r="G123" s="28">
        <v>1</v>
      </c>
      <c r="H123" s="55"/>
    </row>
    <row r="124" spans="1:8" ht="15.75" x14ac:dyDescent="0.2">
      <c r="A124" s="27">
        <f t="array" ref="A124">1+COUNT(_xlfn.UNIQUE(_xlfn._xlws.FILTER($F$5:$F$127, $F$5:$F$127 &gt; F124)))</f>
        <v>1</v>
      </c>
      <c r="B124" s="56" t="s">
        <v>1</v>
      </c>
      <c r="C124" s="27"/>
      <c r="D124" s="53"/>
      <c r="E124" s="59"/>
      <c r="F124" s="54"/>
      <c r="G124" s="28">
        <v>1</v>
      </c>
      <c r="H124" s="55"/>
    </row>
    <row r="125" spans="1:8" ht="15.75" x14ac:dyDescent="0.2">
      <c r="A125" s="27">
        <f t="array" ref="A125">1+COUNT(_xlfn.UNIQUE(_xlfn._xlws.FILTER($F$5:$F$127, $F$5:$F$127 &gt; F125)))</f>
        <v>1</v>
      </c>
      <c r="B125" s="56" t="s">
        <v>99</v>
      </c>
      <c r="C125" s="27"/>
      <c r="D125" s="53"/>
      <c r="E125" s="59"/>
      <c r="F125" s="54"/>
      <c r="G125" s="28">
        <v>1</v>
      </c>
      <c r="H125" s="55"/>
    </row>
    <row r="126" spans="1:8" ht="15.75" x14ac:dyDescent="0.2">
      <c r="A126" s="27">
        <f t="array" ref="A126">1+COUNT(_xlfn.UNIQUE(_xlfn._xlws.FILTER($F$5:$F$127, $F$5:$F$127 &gt; F126)))</f>
        <v>1</v>
      </c>
      <c r="B126" s="56" t="s">
        <v>25</v>
      </c>
      <c r="C126" s="27"/>
      <c r="D126" s="53"/>
      <c r="E126" s="59"/>
      <c r="F126" s="54"/>
      <c r="G126" s="28">
        <v>1</v>
      </c>
      <c r="H126" s="55"/>
    </row>
    <row r="127" spans="1:8" ht="15.75" x14ac:dyDescent="0.2">
      <c r="A127" s="27">
        <f t="array" ref="A127">1+COUNT(_xlfn.UNIQUE(_xlfn._xlws.FILTER($F$5:$F$127, $F$5:$F$127 &gt; F127)))</f>
        <v>1</v>
      </c>
      <c r="B127" s="56" t="s">
        <v>121</v>
      </c>
      <c r="C127" s="27"/>
      <c r="D127" s="53"/>
      <c r="E127" s="59"/>
      <c r="F127" s="54"/>
      <c r="G127" s="28">
        <v>1</v>
      </c>
      <c r="H127" s="55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5FFB-E095-FC42-AB0B-071DCAD7DAFB}">
  <dimension ref="A1:K127"/>
  <sheetViews>
    <sheetView topLeftCell="D1" workbookViewId="0">
      <selection activeCell="E30" sqref="E30"/>
    </sheetView>
  </sheetViews>
  <sheetFormatPr defaultColWidth="8.85546875" defaultRowHeight="14.25" x14ac:dyDescent="0.2"/>
  <cols>
    <col min="1" max="1" width="7.140625" customWidth="1"/>
    <col min="2" max="2" width="24.140625" customWidth="1"/>
    <col min="3" max="3" width="15.140625" customWidth="1"/>
    <col min="4" max="4" width="14.85546875" customWidth="1"/>
    <col min="5" max="5" width="15.28515625" customWidth="1"/>
    <col min="6" max="8" width="19.42578125" style="61" customWidth="1"/>
    <col min="9" max="10" width="13.85546875" customWidth="1"/>
    <col min="11" max="11" width="12.140625" customWidth="1"/>
  </cols>
  <sheetData>
    <row r="1" spans="1:11" s="10" customFormat="1" ht="33" customHeight="1" x14ac:dyDescent="0.2">
      <c r="A1" s="128" t="s">
        <v>251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66" customHeight="1" x14ac:dyDescent="0.2">
      <c r="A2" s="23" t="s">
        <v>129</v>
      </c>
      <c r="B2" s="25" t="s">
        <v>221</v>
      </c>
      <c r="C2" s="25" t="s">
        <v>255</v>
      </c>
      <c r="D2" s="25" t="s">
        <v>252</v>
      </c>
      <c r="E2" s="62" t="s">
        <v>253</v>
      </c>
      <c r="F2" s="63" t="s">
        <v>254</v>
      </c>
      <c r="G2" s="58" t="s">
        <v>257</v>
      </c>
      <c r="H2" s="66" t="s">
        <v>258</v>
      </c>
      <c r="I2" s="66" t="s">
        <v>256</v>
      </c>
      <c r="J2" s="88" t="s">
        <v>126</v>
      </c>
      <c r="K2" s="51" t="s">
        <v>219</v>
      </c>
    </row>
    <row r="3" spans="1:11" ht="18" customHeight="1" x14ac:dyDescent="0.2">
      <c r="A3" s="57"/>
      <c r="B3" s="25" t="s">
        <v>124</v>
      </c>
      <c r="C3" s="58"/>
      <c r="D3" s="58"/>
      <c r="E3" s="66"/>
      <c r="F3" s="67">
        <f>SUM(F4:F127)</f>
        <v>0</v>
      </c>
      <c r="G3" s="67"/>
      <c r="H3" s="116"/>
      <c r="I3" s="92"/>
      <c r="J3" s="26"/>
      <c r="K3" s="51"/>
    </row>
    <row r="4" spans="1:11" ht="15.75" x14ac:dyDescent="0.2">
      <c r="A4" s="27">
        <f t="array" ref="A4">1+COUNT(_xlfn.UNIQUE(_xlfn._xlws.FILTER($I$5:$I$127, $I$5:$I$127 &gt; I4)))</f>
        <v>1</v>
      </c>
      <c r="B4" s="52" t="s">
        <v>24</v>
      </c>
      <c r="C4" s="52"/>
      <c r="D4" s="27"/>
      <c r="E4" s="64"/>
      <c r="F4" s="65"/>
      <c r="G4" s="59"/>
      <c r="H4" s="59"/>
      <c r="I4" s="115"/>
      <c r="J4" s="28">
        <v>0.92</v>
      </c>
      <c r="K4" s="55"/>
    </row>
    <row r="5" spans="1:11" ht="15.75" x14ac:dyDescent="0.2">
      <c r="A5" s="27">
        <f t="array" ref="A5">1+COUNT(_xlfn.UNIQUE(_xlfn._xlws.FILTER($I$5:$I$127, $I$5:$I$127 &gt; I5)))</f>
        <v>1</v>
      </c>
      <c r="B5" s="52" t="s">
        <v>17</v>
      </c>
      <c r="C5" s="52"/>
      <c r="D5" s="27"/>
      <c r="E5" s="53"/>
      <c r="F5" s="59"/>
      <c r="G5" s="59"/>
      <c r="H5" s="59"/>
      <c r="I5" s="115"/>
      <c r="J5" s="28">
        <v>0.92</v>
      </c>
      <c r="K5" s="55"/>
    </row>
    <row r="6" spans="1:11" ht="15.75" x14ac:dyDescent="0.2">
      <c r="A6" s="27">
        <f t="array" ref="A6">1+COUNT(_xlfn.UNIQUE(_xlfn._xlws.FILTER($I$5:$I$127, $I$5:$I$127 &gt; I6)))</f>
        <v>1</v>
      </c>
      <c r="B6" s="52" t="s">
        <v>5</v>
      </c>
      <c r="C6" s="52"/>
      <c r="D6" s="27"/>
      <c r="E6" s="53"/>
      <c r="F6" s="60"/>
      <c r="G6" s="60"/>
      <c r="H6" s="60"/>
      <c r="I6" s="115"/>
      <c r="J6" s="28">
        <v>0.92</v>
      </c>
      <c r="K6" s="55"/>
    </row>
    <row r="7" spans="1:11" ht="15.75" x14ac:dyDescent="0.2">
      <c r="A7" s="27">
        <f t="array" ref="A7">1+COUNT(_xlfn.UNIQUE(_xlfn._xlws.FILTER($I$5:$I$127, $I$5:$I$127 &gt; I7)))</f>
        <v>1</v>
      </c>
      <c r="B7" s="52" t="s">
        <v>2</v>
      </c>
      <c r="C7" s="52"/>
      <c r="D7" s="27"/>
      <c r="E7" s="53"/>
      <c r="F7" s="59"/>
      <c r="G7" s="59"/>
      <c r="H7" s="59"/>
      <c r="I7" s="115"/>
      <c r="J7" s="28">
        <v>0.92</v>
      </c>
      <c r="K7" s="55"/>
    </row>
    <row r="8" spans="1:11" ht="15.75" x14ac:dyDescent="0.2">
      <c r="A8" s="27">
        <f t="array" ref="A8">1+COUNT(_xlfn.UNIQUE(_xlfn._xlws.FILTER($I$5:$I$127, $I$5:$I$127 &gt; I8)))</f>
        <v>1</v>
      </c>
      <c r="B8" s="52" t="s">
        <v>11</v>
      </c>
      <c r="C8" s="52"/>
      <c r="D8" s="27"/>
      <c r="E8" s="53"/>
      <c r="F8" s="59"/>
      <c r="G8" s="59"/>
      <c r="H8" s="59"/>
      <c r="I8" s="115"/>
      <c r="J8" s="28">
        <v>0.92</v>
      </c>
      <c r="K8" s="55"/>
    </row>
    <row r="9" spans="1:11" ht="15.75" x14ac:dyDescent="0.2">
      <c r="A9" s="27">
        <f t="array" ref="A9">1+COUNT(_xlfn.UNIQUE(_xlfn._xlws.FILTER($I$5:$I$127, $I$5:$I$127 &gt; I9)))</f>
        <v>1</v>
      </c>
      <c r="B9" s="52" t="s">
        <v>59</v>
      </c>
      <c r="C9" s="52"/>
      <c r="D9" s="27"/>
      <c r="E9" s="53"/>
      <c r="F9" s="59"/>
      <c r="G9" s="59"/>
      <c r="H9" s="59"/>
      <c r="I9" s="115"/>
      <c r="J9" s="28">
        <v>0.92</v>
      </c>
      <c r="K9" s="55"/>
    </row>
    <row r="10" spans="1:11" ht="15.75" x14ac:dyDescent="0.2">
      <c r="A10" s="27">
        <f t="array" ref="A10">1+COUNT(_xlfn.UNIQUE(_xlfn._xlws.FILTER($I$5:$I$127, $I$5:$I$127 &gt; I10)))</f>
        <v>1</v>
      </c>
      <c r="B10" s="52" t="s">
        <v>37</v>
      </c>
      <c r="C10" s="52"/>
      <c r="D10" s="27"/>
      <c r="E10" s="53"/>
      <c r="F10" s="59"/>
      <c r="G10" s="59"/>
      <c r="H10" s="59"/>
      <c r="I10" s="115"/>
      <c r="J10" s="28">
        <v>0.92</v>
      </c>
      <c r="K10" s="55"/>
    </row>
    <row r="11" spans="1:11" ht="15.75" x14ac:dyDescent="0.2">
      <c r="A11" s="27">
        <f t="array" ref="A11">1+COUNT(_xlfn.UNIQUE(_xlfn._xlws.FILTER($I$5:$I$127, $I$5:$I$127 &gt; I11)))</f>
        <v>1</v>
      </c>
      <c r="B11" s="56" t="s">
        <v>15</v>
      </c>
      <c r="C11" s="56"/>
      <c r="D11" s="27"/>
      <c r="E11" s="53"/>
      <c r="F11" s="59"/>
      <c r="G11" s="59"/>
      <c r="H11" s="59"/>
      <c r="I11" s="115"/>
      <c r="J11" s="28">
        <v>0.87</v>
      </c>
      <c r="K11" s="55"/>
    </row>
    <row r="12" spans="1:11" ht="15.75" x14ac:dyDescent="0.2">
      <c r="A12" s="27">
        <f t="array" ref="A12">1+COUNT(_xlfn.UNIQUE(_xlfn._xlws.FILTER($I$5:$I$127, $I$5:$I$127 &gt; I12)))</f>
        <v>1</v>
      </c>
      <c r="B12" s="56" t="s">
        <v>50</v>
      </c>
      <c r="C12" s="56"/>
      <c r="D12" s="27"/>
      <c r="E12" s="53"/>
      <c r="F12" s="59"/>
      <c r="G12" s="59"/>
      <c r="H12" s="59"/>
      <c r="I12" s="115"/>
      <c r="J12" s="28">
        <v>0.87</v>
      </c>
      <c r="K12" s="55"/>
    </row>
    <row r="13" spans="1:11" ht="15.75" x14ac:dyDescent="0.2">
      <c r="A13" s="27">
        <f t="array" ref="A13">1+COUNT(_xlfn.UNIQUE(_xlfn._xlws.FILTER($I$5:$I$127, $I$5:$I$127 &gt; I13)))</f>
        <v>1</v>
      </c>
      <c r="B13" s="56" t="s">
        <v>57</v>
      </c>
      <c r="C13" s="56"/>
      <c r="D13" s="27"/>
      <c r="E13" s="53"/>
      <c r="F13" s="59"/>
      <c r="G13" s="59"/>
      <c r="H13" s="59"/>
      <c r="I13" s="115"/>
      <c r="J13" s="28">
        <v>0.82</v>
      </c>
      <c r="K13" s="55"/>
    </row>
    <row r="14" spans="1:11" ht="15.75" x14ac:dyDescent="0.2">
      <c r="A14" s="27">
        <f t="array" ref="A14">1+COUNT(_xlfn.UNIQUE(_xlfn._xlws.FILTER($I$5:$I$127, $I$5:$I$127 &gt; I14)))</f>
        <v>1</v>
      </c>
      <c r="B14" s="56" t="s">
        <v>94</v>
      </c>
      <c r="C14" s="56"/>
      <c r="D14" s="27"/>
      <c r="E14" s="53"/>
      <c r="F14" s="59"/>
      <c r="G14" s="59"/>
      <c r="H14" s="59"/>
      <c r="I14" s="115"/>
      <c r="J14" s="28">
        <v>0.82</v>
      </c>
      <c r="K14" s="55"/>
    </row>
    <row r="15" spans="1:11" ht="15.75" x14ac:dyDescent="0.2">
      <c r="A15" s="27">
        <f t="array" ref="A15">1+COUNT(_xlfn.UNIQUE(_xlfn._xlws.FILTER($I$5:$I$127, $I$5:$I$127 &gt; I15)))</f>
        <v>1</v>
      </c>
      <c r="B15" s="56" t="s">
        <v>40</v>
      </c>
      <c r="C15" s="56"/>
      <c r="D15" s="27"/>
      <c r="E15" s="53"/>
      <c r="F15" s="59"/>
      <c r="G15" s="59"/>
      <c r="H15" s="59"/>
      <c r="I15" s="115"/>
      <c r="J15" s="28">
        <v>0.82</v>
      </c>
      <c r="K15" s="55"/>
    </row>
    <row r="16" spans="1:11" ht="15.75" x14ac:dyDescent="0.2">
      <c r="A16" s="27">
        <f t="array" ref="A16">1+COUNT(_xlfn.UNIQUE(_xlfn._xlws.FILTER($I$5:$I$127, $I$5:$I$127 &gt; I16)))</f>
        <v>1</v>
      </c>
      <c r="B16" s="56" t="s">
        <v>111</v>
      </c>
      <c r="C16" s="56"/>
      <c r="D16" s="27"/>
      <c r="E16" s="53"/>
      <c r="F16" s="59"/>
      <c r="G16" s="59"/>
      <c r="H16" s="59"/>
      <c r="I16" s="115"/>
      <c r="J16" s="28">
        <v>0.82</v>
      </c>
      <c r="K16" s="55"/>
    </row>
    <row r="17" spans="1:11" ht="15.75" x14ac:dyDescent="0.2">
      <c r="A17" s="27">
        <f t="array" ref="A17">1+COUNT(_xlfn.UNIQUE(_xlfn._xlws.FILTER($I$5:$I$127, $I$5:$I$127 &gt; I17)))</f>
        <v>1</v>
      </c>
      <c r="B17" s="56" t="s">
        <v>87</v>
      </c>
      <c r="C17" s="56"/>
      <c r="D17" s="27"/>
      <c r="E17" s="53"/>
      <c r="F17" s="59"/>
      <c r="G17" s="59"/>
      <c r="H17" s="59"/>
      <c r="I17" s="115"/>
      <c r="J17" s="28">
        <v>0.82</v>
      </c>
      <c r="K17" s="55"/>
    </row>
    <row r="18" spans="1:11" ht="15.75" x14ac:dyDescent="0.2">
      <c r="A18" s="27">
        <f t="array" ref="A18">1+COUNT(_xlfn.UNIQUE(_xlfn._xlws.FILTER($I$5:$I$127, $I$5:$I$127 &gt; I18)))</f>
        <v>1</v>
      </c>
      <c r="B18" s="56" t="s">
        <v>77</v>
      </c>
      <c r="C18" s="56"/>
      <c r="D18" s="27"/>
      <c r="E18" s="53"/>
      <c r="F18" s="59"/>
      <c r="G18" s="59"/>
      <c r="H18" s="59"/>
      <c r="I18" s="115"/>
      <c r="J18" s="28">
        <v>0.82</v>
      </c>
      <c r="K18" s="55"/>
    </row>
    <row r="19" spans="1:11" ht="15.75" x14ac:dyDescent="0.2">
      <c r="A19" s="27">
        <f t="array" ref="A19">1+COUNT(_xlfn.UNIQUE(_xlfn._xlws.FILTER($I$5:$I$127, $I$5:$I$127 &gt; I19)))</f>
        <v>1</v>
      </c>
      <c r="B19" s="56" t="s">
        <v>46</v>
      </c>
      <c r="C19" s="56"/>
      <c r="D19" s="27"/>
      <c r="E19" s="53"/>
      <c r="F19" s="59"/>
      <c r="G19" s="59"/>
      <c r="H19" s="59"/>
      <c r="I19" s="115"/>
      <c r="J19" s="28">
        <v>0.82</v>
      </c>
      <c r="K19" s="55"/>
    </row>
    <row r="20" spans="1:11" ht="15.75" x14ac:dyDescent="0.2">
      <c r="A20" s="27">
        <f t="array" ref="A20">1+COUNT(_xlfn.UNIQUE(_xlfn._xlws.FILTER($I$5:$I$127, $I$5:$I$127 &gt; I20)))</f>
        <v>1</v>
      </c>
      <c r="B20" s="56" t="s">
        <v>64</v>
      </c>
      <c r="C20" s="56"/>
      <c r="D20" s="27"/>
      <c r="E20" s="53"/>
      <c r="F20" s="59"/>
      <c r="G20" s="59"/>
      <c r="H20" s="59"/>
      <c r="I20" s="115"/>
      <c r="J20" s="28">
        <v>0.82</v>
      </c>
      <c r="K20" s="55"/>
    </row>
    <row r="21" spans="1:11" ht="15.75" x14ac:dyDescent="0.2">
      <c r="A21" s="27">
        <f t="array" ref="A21">1+COUNT(_xlfn.UNIQUE(_xlfn._xlws.FILTER($I$5:$I$127, $I$5:$I$127 &gt; I21)))</f>
        <v>1</v>
      </c>
      <c r="B21" s="56" t="s">
        <v>27</v>
      </c>
      <c r="C21" s="56"/>
      <c r="D21" s="27"/>
      <c r="E21" s="53"/>
      <c r="F21" s="59"/>
      <c r="G21" s="59"/>
      <c r="H21" s="59"/>
      <c r="I21" s="115"/>
      <c r="J21" s="28">
        <v>0.82</v>
      </c>
      <c r="K21" s="55"/>
    </row>
    <row r="22" spans="1:11" ht="15.75" x14ac:dyDescent="0.2">
      <c r="A22" s="27">
        <f t="array" ref="A22">1+COUNT(_xlfn.UNIQUE(_xlfn._xlws.FILTER($I$5:$I$127, $I$5:$I$127 &gt; I22)))</f>
        <v>1</v>
      </c>
      <c r="B22" s="56" t="s">
        <v>110</v>
      </c>
      <c r="C22" s="56"/>
      <c r="D22" s="27"/>
      <c r="E22" s="53"/>
      <c r="F22" s="59"/>
      <c r="G22" s="59"/>
      <c r="H22" s="59"/>
      <c r="I22" s="115"/>
      <c r="J22" s="28">
        <v>0.82</v>
      </c>
      <c r="K22" s="55"/>
    </row>
    <row r="23" spans="1:11" ht="15.75" x14ac:dyDescent="0.2">
      <c r="A23" s="27">
        <f t="array" ref="A23">1+COUNT(_xlfn.UNIQUE(_xlfn._xlws.FILTER($I$5:$I$127, $I$5:$I$127 &gt; I23)))</f>
        <v>1</v>
      </c>
      <c r="B23" s="56" t="s">
        <v>92</v>
      </c>
      <c r="C23" s="56"/>
      <c r="D23" s="27"/>
      <c r="E23" s="53"/>
      <c r="F23" s="59"/>
      <c r="G23" s="59"/>
      <c r="H23" s="59"/>
      <c r="I23" s="115"/>
      <c r="J23" s="28">
        <v>0.82</v>
      </c>
      <c r="K23" s="55"/>
    </row>
    <row r="24" spans="1:11" ht="15.75" x14ac:dyDescent="0.2">
      <c r="A24" s="27">
        <f t="array" ref="A24">1+COUNT(_xlfn.UNIQUE(_xlfn._xlws.FILTER($I$5:$I$127, $I$5:$I$127 &gt; I24)))</f>
        <v>1</v>
      </c>
      <c r="B24" s="56" t="s">
        <v>22</v>
      </c>
      <c r="C24" s="56"/>
      <c r="D24" s="27"/>
      <c r="E24" s="53"/>
      <c r="F24" s="59"/>
      <c r="G24" s="59"/>
      <c r="H24" s="59"/>
      <c r="I24" s="115"/>
      <c r="J24" s="28">
        <v>0.87</v>
      </c>
      <c r="K24" s="55"/>
    </row>
    <row r="25" spans="1:11" ht="15.75" x14ac:dyDescent="0.2">
      <c r="A25" s="27">
        <f t="array" ref="A25">1+COUNT(_xlfn.UNIQUE(_xlfn._xlws.FILTER($I$5:$I$127, $I$5:$I$127 &gt; I25)))</f>
        <v>1</v>
      </c>
      <c r="B25" s="56" t="s">
        <v>70</v>
      </c>
      <c r="C25" s="56"/>
      <c r="D25" s="27"/>
      <c r="E25" s="53"/>
      <c r="F25" s="59"/>
      <c r="G25" s="59"/>
      <c r="H25" s="59"/>
      <c r="I25" s="115"/>
      <c r="J25" s="28">
        <v>0.82</v>
      </c>
      <c r="K25" s="55"/>
    </row>
    <row r="26" spans="1:11" ht="15.75" x14ac:dyDescent="0.2">
      <c r="A26" s="27">
        <f t="array" ref="A26">1+COUNT(_xlfn.UNIQUE(_xlfn._xlws.FILTER($I$5:$I$127, $I$5:$I$127 &gt; I26)))</f>
        <v>1</v>
      </c>
      <c r="B26" s="56" t="s">
        <v>116</v>
      </c>
      <c r="C26" s="56"/>
      <c r="D26" s="27"/>
      <c r="E26" s="53"/>
      <c r="F26" s="59"/>
      <c r="G26" s="59"/>
      <c r="H26" s="59"/>
      <c r="I26" s="115"/>
      <c r="J26" s="28">
        <v>0.82</v>
      </c>
      <c r="K26" s="55"/>
    </row>
    <row r="27" spans="1:11" ht="15.75" x14ac:dyDescent="0.2">
      <c r="A27" s="27">
        <f t="array" ref="A27">1+COUNT(_xlfn.UNIQUE(_xlfn._xlws.FILTER($I$5:$I$127, $I$5:$I$127 &gt; I27)))</f>
        <v>1</v>
      </c>
      <c r="B27" s="56" t="s">
        <v>4</v>
      </c>
      <c r="C27" s="56"/>
      <c r="D27" s="27"/>
      <c r="E27" s="53"/>
      <c r="F27" s="59"/>
      <c r="G27" s="59"/>
      <c r="H27" s="59"/>
      <c r="I27" s="115"/>
      <c r="J27" s="28">
        <v>0.82</v>
      </c>
      <c r="K27" s="55"/>
    </row>
    <row r="28" spans="1:11" ht="15.75" x14ac:dyDescent="0.2">
      <c r="A28" s="27">
        <f t="array" ref="A28">1+COUNT(_xlfn.UNIQUE(_xlfn._xlws.FILTER($I$5:$I$127, $I$5:$I$127 &gt; I28)))</f>
        <v>1</v>
      </c>
      <c r="B28" s="56" t="s">
        <v>58</v>
      </c>
      <c r="C28" s="56"/>
      <c r="D28" s="27"/>
      <c r="E28" s="53"/>
      <c r="F28" s="59"/>
      <c r="G28" s="59"/>
      <c r="H28" s="59"/>
      <c r="I28" s="115"/>
      <c r="J28" s="28">
        <v>0.87</v>
      </c>
      <c r="K28" s="55"/>
    </row>
    <row r="29" spans="1:11" ht="15.75" x14ac:dyDescent="0.2">
      <c r="A29" s="27">
        <f t="array" ref="A29">1+COUNT(_xlfn.UNIQUE(_xlfn._xlws.FILTER($I$5:$I$127, $I$5:$I$127 &gt; I29)))</f>
        <v>1</v>
      </c>
      <c r="B29" s="56" t="s">
        <v>36</v>
      </c>
      <c r="C29" s="56"/>
      <c r="D29" s="27"/>
      <c r="E29" s="53"/>
      <c r="F29" s="59"/>
      <c r="G29" s="59"/>
      <c r="H29" s="59"/>
      <c r="I29" s="115"/>
      <c r="J29" s="28">
        <v>0.82</v>
      </c>
      <c r="K29" s="55"/>
    </row>
    <row r="30" spans="1:11" ht="15.75" x14ac:dyDescent="0.2">
      <c r="A30" s="27">
        <f t="array" ref="A30">1+COUNT(_xlfn.UNIQUE(_xlfn._xlws.FILTER($I$5:$I$127, $I$5:$I$127 &gt; I30)))</f>
        <v>1</v>
      </c>
      <c r="B30" s="56" t="s">
        <v>78</v>
      </c>
      <c r="C30" s="56"/>
      <c r="D30" s="27"/>
      <c r="E30" s="53"/>
      <c r="F30" s="59"/>
      <c r="G30" s="59"/>
      <c r="H30" s="59"/>
      <c r="I30" s="115"/>
      <c r="J30" s="28">
        <v>0.82</v>
      </c>
      <c r="K30" s="55"/>
    </row>
    <row r="31" spans="1:11" ht="15.75" x14ac:dyDescent="0.2">
      <c r="A31" s="27">
        <f t="array" ref="A31">1+COUNT(_xlfn.UNIQUE(_xlfn._xlws.FILTER($I$5:$I$127, $I$5:$I$127 &gt; I31)))</f>
        <v>1</v>
      </c>
      <c r="B31" s="56" t="s">
        <v>119</v>
      </c>
      <c r="C31" s="56"/>
      <c r="D31" s="27"/>
      <c r="E31" s="53"/>
      <c r="F31" s="59"/>
      <c r="G31" s="59"/>
      <c r="H31" s="59"/>
      <c r="I31" s="115"/>
      <c r="J31" s="28">
        <v>0.82</v>
      </c>
      <c r="K31" s="55"/>
    </row>
    <row r="32" spans="1:11" ht="15.75" x14ac:dyDescent="0.2">
      <c r="A32" s="27">
        <f t="array" ref="A32">1+COUNT(_xlfn.UNIQUE(_xlfn._xlws.FILTER($I$5:$I$127, $I$5:$I$127 &gt; I32)))</f>
        <v>1</v>
      </c>
      <c r="B32" s="56" t="s">
        <v>68</v>
      </c>
      <c r="C32" s="56"/>
      <c r="D32" s="27"/>
      <c r="E32" s="53"/>
      <c r="F32" s="59"/>
      <c r="G32" s="59"/>
      <c r="H32" s="59"/>
      <c r="I32" s="115"/>
      <c r="J32" s="28">
        <v>0.82</v>
      </c>
      <c r="K32" s="55"/>
    </row>
    <row r="33" spans="1:11" ht="15.75" x14ac:dyDescent="0.2">
      <c r="A33" s="27">
        <f t="array" ref="A33">1+COUNT(_xlfn.UNIQUE(_xlfn._xlws.FILTER($I$5:$I$127, $I$5:$I$127 &gt; I33)))</f>
        <v>1</v>
      </c>
      <c r="B33" s="56" t="s">
        <v>0</v>
      </c>
      <c r="C33" s="56"/>
      <c r="D33" s="27"/>
      <c r="E33" s="53"/>
      <c r="F33" s="59"/>
      <c r="G33" s="59"/>
      <c r="H33" s="59"/>
      <c r="I33" s="115"/>
      <c r="J33" s="28">
        <v>0.82</v>
      </c>
      <c r="K33" s="55"/>
    </row>
    <row r="34" spans="1:11" ht="15.75" x14ac:dyDescent="0.2">
      <c r="A34" s="27">
        <f t="array" ref="A34">1+COUNT(_xlfn.UNIQUE(_xlfn._xlws.FILTER($I$5:$I$127, $I$5:$I$127 &gt; I34)))</f>
        <v>1</v>
      </c>
      <c r="B34" s="56" t="s">
        <v>21</v>
      </c>
      <c r="C34" s="56"/>
      <c r="D34" s="27"/>
      <c r="E34" s="53"/>
      <c r="F34" s="59"/>
      <c r="G34" s="59"/>
      <c r="H34" s="59"/>
      <c r="I34" s="115"/>
      <c r="J34" s="28">
        <v>0.87</v>
      </c>
      <c r="K34" s="55"/>
    </row>
    <row r="35" spans="1:11" ht="15.75" x14ac:dyDescent="0.2">
      <c r="A35" s="27">
        <f t="array" ref="A35">1+COUNT(_xlfn.UNIQUE(_xlfn._xlws.FILTER($I$5:$I$127, $I$5:$I$127 &gt; I35)))</f>
        <v>1</v>
      </c>
      <c r="B35" s="56" t="s">
        <v>102</v>
      </c>
      <c r="C35" s="56"/>
      <c r="D35" s="27"/>
      <c r="E35" s="53"/>
      <c r="F35" s="59"/>
      <c r="G35" s="59"/>
      <c r="H35" s="59"/>
      <c r="I35" s="115"/>
      <c r="J35" s="28">
        <v>0.82</v>
      </c>
      <c r="K35" s="55"/>
    </row>
    <row r="36" spans="1:11" ht="15.75" x14ac:dyDescent="0.2">
      <c r="A36" s="27">
        <f t="array" ref="A36">1+COUNT(_xlfn.UNIQUE(_xlfn._xlws.FILTER($I$5:$I$127, $I$5:$I$127 &gt; I36)))</f>
        <v>1</v>
      </c>
      <c r="B36" s="56" t="s">
        <v>29</v>
      </c>
      <c r="C36" s="56"/>
      <c r="D36" s="27"/>
      <c r="E36" s="53"/>
      <c r="F36" s="59"/>
      <c r="G36" s="59"/>
      <c r="H36" s="59"/>
      <c r="I36" s="115"/>
      <c r="J36" s="28">
        <v>0.82</v>
      </c>
      <c r="K36" s="55"/>
    </row>
    <row r="37" spans="1:11" ht="15.75" x14ac:dyDescent="0.2">
      <c r="A37" s="27">
        <f t="array" ref="A37">1+COUNT(_xlfn.UNIQUE(_xlfn._xlws.FILTER($I$5:$I$127, $I$5:$I$127 &gt; I37)))</f>
        <v>1</v>
      </c>
      <c r="B37" s="56" t="s">
        <v>38</v>
      </c>
      <c r="C37" s="56"/>
      <c r="D37" s="27"/>
      <c r="E37" s="53"/>
      <c r="F37" s="59"/>
      <c r="G37" s="59"/>
      <c r="H37" s="59"/>
      <c r="I37" s="115"/>
      <c r="J37" s="28">
        <v>0.87</v>
      </c>
      <c r="K37" s="55"/>
    </row>
    <row r="38" spans="1:11" ht="15.75" x14ac:dyDescent="0.2">
      <c r="A38" s="27">
        <f t="array" ref="A38">1+COUNT(_xlfn.UNIQUE(_xlfn._xlws.FILTER($I$5:$I$127, $I$5:$I$127 &gt; I38)))</f>
        <v>1</v>
      </c>
      <c r="B38" s="56" t="s">
        <v>69</v>
      </c>
      <c r="C38" s="56"/>
      <c r="D38" s="27"/>
      <c r="E38" s="53"/>
      <c r="F38" s="59"/>
      <c r="G38" s="59"/>
      <c r="H38" s="59"/>
      <c r="I38" s="115"/>
      <c r="J38" s="28">
        <v>0.82</v>
      </c>
      <c r="K38" s="55"/>
    </row>
    <row r="39" spans="1:11" ht="15.75" x14ac:dyDescent="0.2">
      <c r="A39" s="27">
        <f t="array" ref="A39">1+COUNT(_xlfn.UNIQUE(_xlfn._xlws.FILTER($I$5:$I$127, $I$5:$I$127 &gt; I39)))</f>
        <v>1</v>
      </c>
      <c r="B39" s="56" t="s">
        <v>93</v>
      </c>
      <c r="C39" s="56"/>
      <c r="D39" s="27"/>
      <c r="E39" s="53"/>
      <c r="F39" s="59"/>
      <c r="G39" s="59"/>
      <c r="H39" s="59"/>
      <c r="I39" s="115"/>
      <c r="J39" s="28">
        <v>0.82</v>
      </c>
      <c r="K39" s="55"/>
    </row>
    <row r="40" spans="1:11" ht="15.75" x14ac:dyDescent="0.2">
      <c r="A40" s="27">
        <f t="array" ref="A40">1+COUNT(_xlfn.UNIQUE(_xlfn._xlws.FILTER($I$5:$I$127, $I$5:$I$127 &gt; I40)))</f>
        <v>1</v>
      </c>
      <c r="B40" s="56" t="s">
        <v>65</v>
      </c>
      <c r="C40" s="56"/>
      <c r="D40" s="27"/>
      <c r="E40" s="53"/>
      <c r="F40" s="59"/>
      <c r="G40" s="59"/>
      <c r="H40" s="59"/>
      <c r="I40" s="115"/>
      <c r="J40" s="28">
        <v>0.82</v>
      </c>
      <c r="K40" s="55"/>
    </row>
    <row r="41" spans="1:11" ht="15.75" x14ac:dyDescent="0.2">
      <c r="A41" s="27">
        <f t="array" ref="A41">1+COUNT(_xlfn.UNIQUE(_xlfn._xlws.FILTER($I$5:$I$127, $I$5:$I$127 &gt; I41)))</f>
        <v>1</v>
      </c>
      <c r="B41" s="56" t="s">
        <v>35</v>
      </c>
      <c r="C41" s="56"/>
      <c r="D41" s="27"/>
      <c r="E41" s="53"/>
      <c r="F41" s="59"/>
      <c r="G41" s="59"/>
      <c r="H41" s="59"/>
      <c r="I41" s="115"/>
      <c r="J41" s="28">
        <v>0.82</v>
      </c>
      <c r="K41" s="55"/>
    </row>
    <row r="42" spans="1:11" ht="15.75" x14ac:dyDescent="0.2">
      <c r="A42" s="27">
        <f t="array" ref="A42">1+COUNT(_xlfn.UNIQUE(_xlfn._xlws.FILTER($I$5:$I$127, $I$5:$I$127 &gt; I42)))</f>
        <v>1</v>
      </c>
      <c r="B42" s="56" t="s">
        <v>39</v>
      </c>
      <c r="C42" s="56"/>
      <c r="D42" s="27"/>
      <c r="E42" s="53"/>
      <c r="F42" s="59"/>
      <c r="G42" s="59"/>
      <c r="H42" s="59"/>
      <c r="I42" s="115"/>
      <c r="J42" s="28">
        <v>0.82</v>
      </c>
      <c r="K42" s="55"/>
    </row>
    <row r="43" spans="1:11" ht="15.75" x14ac:dyDescent="0.2">
      <c r="A43" s="27">
        <f t="array" ref="A43">1+COUNT(_xlfn.UNIQUE(_xlfn._xlws.FILTER($I$5:$I$127, $I$5:$I$127 &gt; I43)))</f>
        <v>1</v>
      </c>
      <c r="B43" s="56" t="s">
        <v>49</v>
      </c>
      <c r="C43" s="56"/>
      <c r="D43" s="27"/>
      <c r="E43" s="53"/>
      <c r="F43" s="59"/>
      <c r="G43" s="59"/>
      <c r="H43" s="59"/>
      <c r="I43" s="115"/>
      <c r="J43" s="28">
        <v>0.82</v>
      </c>
      <c r="K43" s="55"/>
    </row>
    <row r="44" spans="1:11" ht="15.75" x14ac:dyDescent="0.2">
      <c r="A44" s="27">
        <f t="array" ref="A44">1+COUNT(_xlfn.UNIQUE(_xlfn._xlws.FILTER($I$5:$I$127, $I$5:$I$127 &gt; I44)))</f>
        <v>1</v>
      </c>
      <c r="B44" s="56" t="s">
        <v>71</v>
      </c>
      <c r="C44" s="56"/>
      <c r="D44" s="27"/>
      <c r="E44" s="53"/>
      <c r="F44" s="59"/>
      <c r="G44" s="59"/>
      <c r="H44" s="59"/>
      <c r="I44" s="115"/>
      <c r="J44" s="28">
        <v>0.82</v>
      </c>
      <c r="K44" s="55"/>
    </row>
    <row r="45" spans="1:11" ht="15.75" x14ac:dyDescent="0.2">
      <c r="A45" s="27">
        <f t="array" ref="A45">1+COUNT(_xlfn.UNIQUE(_xlfn._xlws.FILTER($I$5:$I$127, $I$5:$I$127 &gt; I45)))</f>
        <v>1</v>
      </c>
      <c r="B45" s="56" t="s">
        <v>3</v>
      </c>
      <c r="C45" s="56"/>
      <c r="D45" s="27"/>
      <c r="E45" s="53"/>
      <c r="F45" s="59"/>
      <c r="G45" s="59"/>
      <c r="H45" s="59"/>
      <c r="I45" s="115"/>
      <c r="J45" s="28">
        <v>0.82</v>
      </c>
      <c r="K45" s="55"/>
    </row>
    <row r="46" spans="1:11" ht="15.75" x14ac:dyDescent="0.2">
      <c r="A46" s="27">
        <f t="array" ref="A46">1+COUNT(_xlfn.UNIQUE(_xlfn._xlws.FILTER($I$5:$I$127, $I$5:$I$127 &gt; I46)))</f>
        <v>1</v>
      </c>
      <c r="B46" s="56" t="s">
        <v>56</v>
      </c>
      <c r="C46" s="56"/>
      <c r="D46" s="27"/>
      <c r="E46" s="53"/>
      <c r="F46" s="59"/>
      <c r="G46" s="59"/>
      <c r="H46" s="59"/>
      <c r="I46" s="115"/>
      <c r="J46" s="28">
        <v>0.82</v>
      </c>
      <c r="K46" s="55"/>
    </row>
    <row r="47" spans="1:11" ht="15.75" x14ac:dyDescent="0.2">
      <c r="A47" s="27">
        <f t="array" ref="A47">1+COUNT(_xlfn.UNIQUE(_xlfn._xlws.FILTER($I$5:$I$127, $I$5:$I$127 &gt; I47)))</f>
        <v>1</v>
      </c>
      <c r="B47" s="56" t="s">
        <v>26</v>
      </c>
      <c r="C47" s="56"/>
      <c r="D47" s="27"/>
      <c r="E47" s="53"/>
      <c r="F47" s="59"/>
      <c r="G47" s="59"/>
      <c r="H47" s="59"/>
      <c r="I47" s="115"/>
      <c r="J47" s="28">
        <v>0.82</v>
      </c>
      <c r="K47" s="55"/>
    </row>
    <row r="48" spans="1:11" ht="15.75" x14ac:dyDescent="0.2">
      <c r="A48" s="27">
        <f t="array" ref="A48">1+COUNT(_xlfn.UNIQUE(_xlfn._xlws.FILTER($I$5:$I$127, $I$5:$I$127 &gt; I48)))</f>
        <v>1</v>
      </c>
      <c r="B48" s="56" t="s">
        <v>33</v>
      </c>
      <c r="C48" s="56"/>
      <c r="D48" s="27"/>
      <c r="E48" s="53"/>
      <c r="F48" s="59"/>
      <c r="G48" s="59"/>
      <c r="H48" s="59"/>
      <c r="I48" s="115"/>
      <c r="J48" s="28">
        <v>0.87</v>
      </c>
      <c r="K48" s="55"/>
    </row>
    <row r="49" spans="1:11" ht="15.75" x14ac:dyDescent="0.2">
      <c r="A49" s="27">
        <f t="array" ref="A49">1+COUNT(_xlfn.UNIQUE(_xlfn._xlws.FILTER($I$5:$I$127, $I$5:$I$127 &gt; I49)))</f>
        <v>1</v>
      </c>
      <c r="B49" s="56" t="s">
        <v>89</v>
      </c>
      <c r="C49" s="56"/>
      <c r="D49" s="27"/>
      <c r="E49" s="53"/>
      <c r="F49" s="59"/>
      <c r="G49" s="59"/>
      <c r="H49" s="59"/>
      <c r="I49" s="115"/>
      <c r="J49" s="28">
        <v>0.82</v>
      </c>
      <c r="K49" s="55"/>
    </row>
    <row r="50" spans="1:11" ht="15.75" x14ac:dyDescent="0.2">
      <c r="A50" s="27">
        <f t="array" ref="A50">1+COUNT(_xlfn.UNIQUE(_xlfn._xlws.FILTER($I$5:$I$127, $I$5:$I$127 &gt; I50)))</f>
        <v>1</v>
      </c>
      <c r="B50" s="56" t="s">
        <v>112</v>
      </c>
      <c r="C50" s="56"/>
      <c r="D50" s="27"/>
      <c r="E50" s="53"/>
      <c r="F50" s="59"/>
      <c r="G50" s="59"/>
      <c r="H50" s="59"/>
      <c r="I50" s="115"/>
      <c r="J50" s="28">
        <v>0.82</v>
      </c>
      <c r="K50" s="55"/>
    </row>
    <row r="51" spans="1:11" ht="15.75" x14ac:dyDescent="0.2">
      <c r="A51" s="27">
        <f t="array" ref="A51">1+COUNT(_xlfn.UNIQUE(_xlfn._xlws.FILTER($I$5:$I$127, $I$5:$I$127 &gt; I51)))</f>
        <v>1</v>
      </c>
      <c r="B51" s="56" t="s">
        <v>123</v>
      </c>
      <c r="C51" s="56"/>
      <c r="D51" s="27"/>
      <c r="E51" s="53"/>
      <c r="F51" s="59"/>
      <c r="G51" s="59"/>
      <c r="H51" s="59"/>
      <c r="I51" s="115"/>
      <c r="J51" s="28">
        <v>0.82</v>
      </c>
      <c r="K51" s="55"/>
    </row>
    <row r="52" spans="1:11" ht="15.75" x14ac:dyDescent="0.2">
      <c r="A52" s="27">
        <f t="array" ref="A52">1+COUNT(_xlfn.UNIQUE(_xlfn._xlws.FILTER($I$5:$I$127, $I$5:$I$127 &gt; I52)))</f>
        <v>1</v>
      </c>
      <c r="B52" s="56" t="s">
        <v>79</v>
      </c>
      <c r="C52" s="56"/>
      <c r="D52" s="27"/>
      <c r="E52" s="53"/>
      <c r="F52" s="59"/>
      <c r="G52" s="59"/>
      <c r="H52" s="59"/>
      <c r="I52" s="115"/>
      <c r="J52" s="28">
        <v>0.82</v>
      </c>
      <c r="K52" s="55"/>
    </row>
    <row r="53" spans="1:11" ht="15.75" x14ac:dyDescent="0.2">
      <c r="A53" s="27">
        <f t="array" ref="A53">1+COUNT(_xlfn.UNIQUE(_xlfn._xlws.FILTER($I$5:$I$127, $I$5:$I$127 &gt; I53)))</f>
        <v>1</v>
      </c>
      <c r="B53" s="56" t="s">
        <v>96</v>
      </c>
      <c r="C53" s="56"/>
      <c r="D53" s="27"/>
      <c r="E53" s="53"/>
      <c r="F53" s="59"/>
      <c r="G53" s="59"/>
      <c r="H53" s="59"/>
      <c r="I53" s="115"/>
      <c r="J53" s="28">
        <v>0.82</v>
      </c>
      <c r="K53" s="55"/>
    </row>
    <row r="54" spans="1:11" ht="15.75" x14ac:dyDescent="0.2">
      <c r="A54" s="27">
        <f t="array" ref="A54">1+COUNT(_xlfn.UNIQUE(_xlfn._xlws.FILTER($I$5:$I$127, $I$5:$I$127 &gt; I54)))</f>
        <v>1</v>
      </c>
      <c r="B54" s="56" t="s">
        <v>108</v>
      </c>
      <c r="C54" s="56"/>
      <c r="D54" s="27"/>
      <c r="E54" s="53"/>
      <c r="F54" s="59"/>
      <c r="G54" s="59"/>
      <c r="H54" s="59"/>
      <c r="I54" s="115"/>
      <c r="J54" s="28">
        <v>0.82</v>
      </c>
      <c r="K54" s="55"/>
    </row>
    <row r="55" spans="1:11" ht="15.75" x14ac:dyDescent="0.2">
      <c r="A55" s="27">
        <f t="array" ref="A55">1+COUNT(_xlfn.UNIQUE(_xlfn._xlws.FILTER($I$5:$I$127, $I$5:$I$127 &gt; I55)))</f>
        <v>1</v>
      </c>
      <c r="B55" s="56" t="s">
        <v>104</v>
      </c>
      <c r="C55" s="56"/>
      <c r="D55" s="27"/>
      <c r="E55" s="53"/>
      <c r="F55" s="59"/>
      <c r="G55" s="59"/>
      <c r="H55" s="59"/>
      <c r="I55" s="115"/>
      <c r="J55" s="28">
        <v>0.82</v>
      </c>
      <c r="K55" s="55"/>
    </row>
    <row r="56" spans="1:11" ht="15.75" x14ac:dyDescent="0.2">
      <c r="A56" s="27">
        <f t="array" ref="A56">1+COUNT(_xlfn.UNIQUE(_xlfn._xlws.FILTER($I$5:$I$127, $I$5:$I$127 &gt; I56)))</f>
        <v>1</v>
      </c>
      <c r="B56" s="56" t="s">
        <v>106</v>
      </c>
      <c r="C56" s="56"/>
      <c r="D56" s="27"/>
      <c r="E56" s="53"/>
      <c r="F56" s="59"/>
      <c r="G56" s="59"/>
      <c r="H56" s="59"/>
      <c r="I56" s="115"/>
      <c r="J56" s="28">
        <v>0.82</v>
      </c>
      <c r="K56" s="55"/>
    </row>
    <row r="57" spans="1:11" ht="15.75" x14ac:dyDescent="0.2">
      <c r="A57" s="27">
        <f t="array" ref="A57">1+COUNT(_xlfn.UNIQUE(_xlfn._xlws.FILTER($I$5:$I$127, $I$5:$I$127 &gt; I57)))</f>
        <v>1</v>
      </c>
      <c r="B57" s="56" t="s">
        <v>7</v>
      </c>
      <c r="C57" s="56"/>
      <c r="D57" s="27"/>
      <c r="E57" s="53"/>
      <c r="F57" s="59"/>
      <c r="G57" s="59"/>
      <c r="H57" s="59"/>
      <c r="I57" s="115"/>
      <c r="J57" s="28">
        <v>0.87</v>
      </c>
      <c r="K57" s="55"/>
    </row>
    <row r="58" spans="1:11" ht="15.75" x14ac:dyDescent="0.2">
      <c r="A58" s="27">
        <f t="array" ref="A58">1+COUNT(_xlfn.UNIQUE(_xlfn._xlws.FILTER($I$5:$I$127, $I$5:$I$127 &gt; I58)))</f>
        <v>1</v>
      </c>
      <c r="B58" s="56" t="s">
        <v>95</v>
      </c>
      <c r="C58" s="56"/>
      <c r="D58" s="27"/>
      <c r="E58" s="53"/>
      <c r="F58" s="59"/>
      <c r="G58" s="59"/>
      <c r="H58" s="59"/>
      <c r="I58" s="115"/>
      <c r="J58" s="28">
        <v>0.82</v>
      </c>
      <c r="K58" s="55"/>
    </row>
    <row r="59" spans="1:11" ht="15.75" x14ac:dyDescent="0.2">
      <c r="A59" s="27">
        <f t="array" ref="A59">1+COUNT(_xlfn.UNIQUE(_xlfn._xlws.FILTER($I$5:$I$127, $I$5:$I$127 &gt; I59)))</f>
        <v>1</v>
      </c>
      <c r="B59" s="56" t="s">
        <v>30</v>
      </c>
      <c r="C59" s="56"/>
      <c r="D59" s="27"/>
      <c r="E59" s="53"/>
      <c r="F59" s="59"/>
      <c r="G59" s="59"/>
      <c r="H59" s="59"/>
      <c r="I59" s="115"/>
      <c r="J59" s="28">
        <v>0.82</v>
      </c>
      <c r="K59" s="55"/>
    </row>
    <row r="60" spans="1:11" ht="15.75" x14ac:dyDescent="0.2">
      <c r="A60" s="27">
        <f t="array" ref="A60">1+COUNT(_xlfn.UNIQUE(_xlfn._xlws.FILTER($I$5:$I$127, $I$5:$I$127 &gt; I60)))</f>
        <v>1</v>
      </c>
      <c r="B60" s="56" t="s">
        <v>80</v>
      </c>
      <c r="C60" s="56"/>
      <c r="D60" s="27"/>
      <c r="E60" s="53"/>
      <c r="F60" s="59"/>
      <c r="G60" s="59"/>
      <c r="H60" s="59"/>
      <c r="I60" s="115"/>
      <c r="J60" s="28">
        <v>0.82</v>
      </c>
      <c r="K60" s="55"/>
    </row>
    <row r="61" spans="1:11" ht="15.75" x14ac:dyDescent="0.2">
      <c r="A61" s="27">
        <f t="array" ref="A61">1+COUNT(_xlfn.UNIQUE(_xlfn._xlws.FILTER($I$5:$I$127, $I$5:$I$127 &gt; I61)))</f>
        <v>1</v>
      </c>
      <c r="B61" s="56" t="s">
        <v>82</v>
      </c>
      <c r="C61" s="56"/>
      <c r="D61" s="27"/>
      <c r="E61" s="53"/>
      <c r="F61" s="59"/>
      <c r="G61" s="59"/>
      <c r="H61" s="59"/>
      <c r="I61" s="115"/>
      <c r="J61" s="28">
        <v>0.82</v>
      </c>
      <c r="K61" s="55"/>
    </row>
    <row r="62" spans="1:11" ht="15.75" x14ac:dyDescent="0.2">
      <c r="A62" s="27">
        <f t="array" ref="A62">1+COUNT(_xlfn.UNIQUE(_xlfn._xlws.FILTER($I$5:$I$127, $I$5:$I$127 &gt; I62)))</f>
        <v>1</v>
      </c>
      <c r="B62" s="56" t="s">
        <v>47</v>
      </c>
      <c r="C62" s="56"/>
      <c r="D62" s="27"/>
      <c r="E62" s="53"/>
      <c r="F62" s="59"/>
      <c r="G62" s="59"/>
      <c r="H62" s="59"/>
      <c r="I62" s="115"/>
      <c r="J62" s="28">
        <v>0.82</v>
      </c>
      <c r="K62" s="55"/>
    </row>
    <row r="63" spans="1:11" ht="15.75" x14ac:dyDescent="0.2">
      <c r="A63" s="27">
        <f t="array" ref="A63">1+COUNT(_xlfn.UNIQUE(_xlfn._xlws.FILTER($I$5:$I$127, $I$5:$I$127 &gt; I63)))</f>
        <v>1</v>
      </c>
      <c r="B63" s="56" t="s">
        <v>28</v>
      </c>
      <c r="C63" s="56"/>
      <c r="D63" s="27"/>
      <c r="E63" s="53"/>
      <c r="F63" s="59"/>
      <c r="G63" s="59"/>
      <c r="H63" s="59"/>
      <c r="I63" s="115"/>
      <c r="J63" s="28">
        <v>0.87</v>
      </c>
      <c r="K63" s="55"/>
    </row>
    <row r="64" spans="1:11" ht="15.75" x14ac:dyDescent="0.2">
      <c r="A64" s="27">
        <f t="array" ref="A64">1+COUNT(_xlfn.UNIQUE(_xlfn._xlws.FILTER($I$5:$I$127, $I$5:$I$127 &gt; I64)))</f>
        <v>1</v>
      </c>
      <c r="B64" s="56" t="s">
        <v>107</v>
      </c>
      <c r="C64" s="56"/>
      <c r="D64" s="27"/>
      <c r="E64" s="53"/>
      <c r="F64" s="59"/>
      <c r="G64" s="59"/>
      <c r="H64" s="59"/>
      <c r="I64" s="115"/>
      <c r="J64" s="28">
        <v>0.82</v>
      </c>
      <c r="K64" s="55"/>
    </row>
    <row r="65" spans="1:11" ht="15.75" x14ac:dyDescent="0.2">
      <c r="A65" s="27">
        <f t="array" ref="A65">1+COUNT(_xlfn.UNIQUE(_xlfn._xlws.FILTER($I$5:$I$127, $I$5:$I$127 &gt; I65)))</f>
        <v>1</v>
      </c>
      <c r="B65" s="56" t="s">
        <v>105</v>
      </c>
      <c r="C65" s="56"/>
      <c r="D65" s="27"/>
      <c r="E65" s="53"/>
      <c r="F65" s="59"/>
      <c r="G65" s="59"/>
      <c r="H65" s="59"/>
      <c r="I65" s="115"/>
      <c r="J65" s="28">
        <v>0.82</v>
      </c>
      <c r="K65" s="55"/>
    </row>
    <row r="66" spans="1:11" ht="15.75" x14ac:dyDescent="0.2">
      <c r="A66" s="27">
        <f t="array" ref="A66">1+COUNT(_xlfn.UNIQUE(_xlfn._xlws.FILTER($I$5:$I$127, $I$5:$I$127 &gt; I66)))</f>
        <v>1</v>
      </c>
      <c r="B66" s="56" t="s">
        <v>97</v>
      </c>
      <c r="C66" s="56"/>
      <c r="D66" s="27"/>
      <c r="E66" s="53"/>
      <c r="F66" s="59"/>
      <c r="G66" s="59"/>
      <c r="H66" s="59"/>
      <c r="I66" s="115"/>
      <c r="J66" s="28">
        <v>0.82</v>
      </c>
      <c r="K66" s="55"/>
    </row>
    <row r="67" spans="1:11" ht="15.75" x14ac:dyDescent="0.2">
      <c r="A67" s="27">
        <f t="array" ref="A67">1+COUNT(_xlfn.UNIQUE(_xlfn._xlws.FILTER($I$5:$I$127, $I$5:$I$127 &gt; I67)))</f>
        <v>1</v>
      </c>
      <c r="B67" s="56" t="s">
        <v>76</v>
      </c>
      <c r="C67" s="56"/>
      <c r="D67" s="27"/>
      <c r="E67" s="53"/>
      <c r="F67" s="59"/>
      <c r="G67" s="59"/>
      <c r="H67" s="59"/>
      <c r="I67" s="115"/>
      <c r="J67" s="28">
        <v>0.82</v>
      </c>
      <c r="K67" s="55"/>
    </row>
    <row r="68" spans="1:11" ht="15.75" x14ac:dyDescent="0.2">
      <c r="A68" s="27">
        <f t="array" ref="A68">1+COUNT(_xlfn.UNIQUE(_xlfn._xlws.FILTER($I$5:$I$127, $I$5:$I$127 &gt; I68)))</f>
        <v>1</v>
      </c>
      <c r="B68" s="56" t="s">
        <v>118</v>
      </c>
      <c r="C68" s="56"/>
      <c r="D68" s="27"/>
      <c r="E68" s="53"/>
      <c r="F68" s="59"/>
      <c r="G68" s="59"/>
      <c r="H68" s="59"/>
      <c r="I68" s="115"/>
      <c r="J68" s="28">
        <v>0.82</v>
      </c>
      <c r="K68" s="55"/>
    </row>
    <row r="69" spans="1:11" ht="15.75" x14ac:dyDescent="0.2">
      <c r="A69" s="27">
        <f t="array" ref="A69">1+COUNT(_xlfn.UNIQUE(_xlfn._xlws.FILTER($I$5:$I$127, $I$5:$I$127 &gt; I69)))</f>
        <v>1</v>
      </c>
      <c r="B69" s="56" t="s">
        <v>43</v>
      </c>
      <c r="C69" s="56"/>
      <c r="D69" s="27"/>
      <c r="E69" s="53"/>
      <c r="F69" s="59"/>
      <c r="G69" s="59"/>
      <c r="H69" s="59"/>
      <c r="I69" s="115"/>
      <c r="J69" s="28">
        <v>0.82</v>
      </c>
      <c r="K69" s="55"/>
    </row>
    <row r="70" spans="1:11" ht="15.75" x14ac:dyDescent="0.2">
      <c r="A70" s="27">
        <f t="array" ref="A70">1+COUNT(_xlfn.UNIQUE(_xlfn._xlws.FILTER($I$5:$I$127, $I$5:$I$127 &gt; I70)))</f>
        <v>1</v>
      </c>
      <c r="B70" s="56" t="s">
        <v>73</v>
      </c>
      <c r="C70" s="56"/>
      <c r="D70" s="27"/>
      <c r="E70" s="53"/>
      <c r="F70" s="59"/>
      <c r="G70" s="59"/>
      <c r="H70" s="59"/>
      <c r="I70" s="115"/>
      <c r="J70" s="28">
        <v>0.82</v>
      </c>
      <c r="K70" s="55"/>
    </row>
    <row r="71" spans="1:11" ht="15.75" x14ac:dyDescent="0.2">
      <c r="A71" s="27">
        <f t="array" ref="A71">1+COUNT(_xlfn.UNIQUE(_xlfn._xlws.FILTER($I$5:$I$127, $I$5:$I$127 &gt; I71)))</f>
        <v>1</v>
      </c>
      <c r="B71" s="56" t="s">
        <v>23</v>
      </c>
      <c r="C71" s="56"/>
      <c r="D71" s="27"/>
      <c r="E71" s="53"/>
      <c r="F71" s="59"/>
      <c r="G71" s="59"/>
      <c r="H71" s="59"/>
      <c r="I71" s="115"/>
      <c r="J71" s="28">
        <v>0.82</v>
      </c>
      <c r="K71" s="55"/>
    </row>
    <row r="72" spans="1:11" ht="15.75" x14ac:dyDescent="0.2">
      <c r="A72" s="27">
        <f t="array" ref="A72">1+COUNT(_xlfn.UNIQUE(_xlfn._xlws.FILTER($I$5:$I$127, $I$5:$I$127 &gt; I72)))</f>
        <v>1</v>
      </c>
      <c r="B72" s="56" t="s">
        <v>114</v>
      </c>
      <c r="C72" s="56"/>
      <c r="D72" s="27"/>
      <c r="E72" s="53"/>
      <c r="F72" s="59"/>
      <c r="G72" s="59"/>
      <c r="H72" s="59"/>
      <c r="I72" s="115"/>
      <c r="J72" s="28">
        <v>0.82</v>
      </c>
      <c r="K72" s="55"/>
    </row>
    <row r="73" spans="1:11" ht="15.75" x14ac:dyDescent="0.2">
      <c r="A73" s="27">
        <f t="array" ref="A73">1+COUNT(_xlfn.UNIQUE(_xlfn._xlws.FILTER($I$5:$I$127, $I$5:$I$127 &gt; I73)))</f>
        <v>1</v>
      </c>
      <c r="B73" s="56" t="s">
        <v>85</v>
      </c>
      <c r="C73" s="56"/>
      <c r="D73" s="27"/>
      <c r="E73" s="53"/>
      <c r="F73" s="59"/>
      <c r="G73" s="59"/>
      <c r="H73" s="59"/>
      <c r="I73" s="115"/>
      <c r="J73" s="28">
        <v>0.82</v>
      </c>
      <c r="K73" s="55"/>
    </row>
    <row r="74" spans="1:11" ht="15.75" x14ac:dyDescent="0.2">
      <c r="A74" s="27">
        <f t="array" ref="A74">1+COUNT(_xlfn.UNIQUE(_xlfn._xlws.FILTER($I$5:$I$127, $I$5:$I$127 &gt; I74)))</f>
        <v>1</v>
      </c>
      <c r="B74" s="56" t="s">
        <v>60</v>
      </c>
      <c r="C74" s="56"/>
      <c r="D74" s="27"/>
      <c r="E74" s="53"/>
      <c r="F74" s="59"/>
      <c r="G74" s="59"/>
      <c r="H74" s="59"/>
      <c r="I74" s="115"/>
      <c r="J74" s="28">
        <v>0.82</v>
      </c>
      <c r="K74" s="55"/>
    </row>
    <row r="75" spans="1:11" ht="15.75" x14ac:dyDescent="0.2">
      <c r="A75" s="27">
        <f t="array" ref="A75">1+COUNT(_xlfn.UNIQUE(_xlfn._xlws.FILTER($I$5:$I$127, $I$5:$I$127 &gt; I75)))</f>
        <v>1</v>
      </c>
      <c r="B75" s="56" t="s">
        <v>44</v>
      </c>
      <c r="C75" s="56"/>
      <c r="D75" s="27"/>
      <c r="E75" s="53"/>
      <c r="F75" s="59"/>
      <c r="G75" s="59"/>
      <c r="H75" s="59"/>
      <c r="I75" s="115"/>
      <c r="J75" s="28">
        <v>0.82</v>
      </c>
      <c r="K75" s="55"/>
    </row>
    <row r="76" spans="1:11" ht="15.75" x14ac:dyDescent="0.2">
      <c r="A76" s="27">
        <f t="array" ref="A76">1+COUNT(_xlfn.UNIQUE(_xlfn._xlws.FILTER($I$5:$I$127, $I$5:$I$127 &gt; I76)))</f>
        <v>1</v>
      </c>
      <c r="B76" s="56" t="s">
        <v>91</v>
      </c>
      <c r="C76" s="56"/>
      <c r="D76" s="27"/>
      <c r="E76" s="53"/>
      <c r="F76" s="59"/>
      <c r="G76" s="59"/>
      <c r="H76" s="59"/>
      <c r="I76" s="115"/>
      <c r="J76" s="28">
        <v>0.82</v>
      </c>
      <c r="K76" s="55"/>
    </row>
    <row r="77" spans="1:11" ht="15.75" x14ac:dyDescent="0.2">
      <c r="A77" s="27">
        <f t="array" ref="A77">1+COUNT(_xlfn.UNIQUE(_xlfn._xlws.FILTER($I$5:$I$127, $I$5:$I$127 &gt; I77)))</f>
        <v>1</v>
      </c>
      <c r="B77" s="56" t="s">
        <v>10</v>
      </c>
      <c r="C77" s="56"/>
      <c r="D77" s="27"/>
      <c r="E77" s="53"/>
      <c r="F77" s="59"/>
      <c r="G77" s="59"/>
      <c r="H77" s="59"/>
      <c r="I77" s="115"/>
      <c r="J77" s="28">
        <v>0.87</v>
      </c>
      <c r="K77" s="55"/>
    </row>
    <row r="78" spans="1:11" ht="15.75" x14ac:dyDescent="0.2">
      <c r="A78" s="27">
        <f t="array" ref="A78">1+COUNT(_xlfn.UNIQUE(_xlfn._xlws.FILTER($I$5:$I$127, $I$5:$I$127 &gt; I78)))</f>
        <v>1</v>
      </c>
      <c r="B78" s="56" t="s">
        <v>6</v>
      </c>
      <c r="C78" s="56"/>
      <c r="D78" s="27"/>
      <c r="E78" s="53"/>
      <c r="F78" s="59"/>
      <c r="G78" s="59"/>
      <c r="H78" s="59"/>
      <c r="I78" s="115"/>
      <c r="J78" s="28">
        <v>0.87</v>
      </c>
      <c r="K78" s="55"/>
    </row>
    <row r="79" spans="1:11" ht="15.75" x14ac:dyDescent="0.2">
      <c r="A79" s="27">
        <f t="array" ref="A79">1+COUNT(_xlfn.UNIQUE(_xlfn._xlws.FILTER($I$5:$I$127, $I$5:$I$127 &gt; I79)))</f>
        <v>1</v>
      </c>
      <c r="B79" s="56" t="s">
        <v>67</v>
      </c>
      <c r="C79" s="56"/>
      <c r="D79" s="27"/>
      <c r="E79" s="53"/>
      <c r="F79" s="59"/>
      <c r="G79" s="59"/>
      <c r="H79" s="59"/>
      <c r="I79" s="115"/>
      <c r="J79" s="28">
        <v>0.82</v>
      </c>
      <c r="K79" s="55"/>
    </row>
    <row r="80" spans="1:11" ht="15.75" x14ac:dyDescent="0.2">
      <c r="A80" s="27">
        <f t="array" ref="A80">1+COUNT(_xlfn.UNIQUE(_xlfn._xlws.FILTER($I$5:$I$127, $I$5:$I$127 &gt; I80)))</f>
        <v>1</v>
      </c>
      <c r="B80" s="56" t="s">
        <v>109</v>
      </c>
      <c r="C80" s="56"/>
      <c r="D80" s="27"/>
      <c r="E80" s="53"/>
      <c r="F80" s="59"/>
      <c r="G80" s="59"/>
      <c r="H80" s="59"/>
      <c r="I80" s="115"/>
      <c r="J80" s="28">
        <v>0.82</v>
      </c>
      <c r="K80" s="55"/>
    </row>
    <row r="81" spans="1:11" ht="15.75" x14ac:dyDescent="0.2">
      <c r="A81" s="27">
        <f t="array" ref="A81">1+COUNT(_xlfn.UNIQUE(_xlfn._xlws.FILTER($I$5:$I$127, $I$5:$I$127 &gt; I81)))</f>
        <v>1</v>
      </c>
      <c r="B81" s="56" t="s">
        <v>32</v>
      </c>
      <c r="C81" s="56"/>
      <c r="D81" s="27"/>
      <c r="E81" s="53"/>
      <c r="F81" s="59"/>
      <c r="G81" s="59"/>
      <c r="H81" s="59"/>
      <c r="I81" s="115"/>
      <c r="J81" s="28">
        <v>0.87</v>
      </c>
      <c r="K81" s="55"/>
    </row>
    <row r="82" spans="1:11" ht="15.75" x14ac:dyDescent="0.2">
      <c r="A82" s="27">
        <f t="array" ref="A82">1+COUNT(_xlfn.UNIQUE(_xlfn._xlws.FILTER($I$5:$I$127, $I$5:$I$127 &gt; I82)))</f>
        <v>1</v>
      </c>
      <c r="B82" s="56" t="s">
        <v>54</v>
      </c>
      <c r="C82" s="56"/>
      <c r="D82" s="27"/>
      <c r="E82" s="53"/>
      <c r="F82" s="59"/>
      <c r="G82" s="59"/>
      <c r="H82" s="59"/>
      <c r="I82" s="115"/>
      <c r="J82" s="28">
        <v>0.82</v>
      </c>
      <c r="K82" s="55"/>
    </row>
    <row r="83" spans="1:11" ht="15.75" x14ac:dyDescent="0.2">
      <c r="A83" s="27">
        <f t="array" ref="A83">1+COUNT(_xlfn.UNIQUE(_xlfn._xlws.FILTER($I$5:$I$127, $I$5:$I$127 &gt; I83)))</f>
        <v>1</v>
      </c>
      <c r="B83" s="56" t="s">
        <v>62</v>
      </c>
      <c r="C83" s="56"/>
      <c r="D83" s="27"/>
      <c r="E83" s="53"/>
      <c r="F83" s="59"/>
      <c r="G83" s="59"/>
      <c r="H83" s="59"/>
      <c r="I83" s="115"/>
      <c r="J83" s="28">
        <v>0.82</v>
      </c>
      <c r="K83" s="55"/>
    </row>
    <row r="84" spans="1:11" ht="15.75" x14ac:dyDescent="0.2">
      <c r="A84" s="27">
        <f t="array" ref="A84">1+COUNT(_xlfn.UNIQUE(_xlfn._xlws.FILTER($I$5:$I$127, $I$5:$I$127 &gt; I84)))</f>
        <v>1</v>
      </c>
      <c r="B84" s="56" t="s">
        <v>74</v>
      </c>
      <c r="C84" s="56"/>
      <c r="D84" s="27"/>
      <c r="E84" s="53"/>
      <c r="F84" s="59"/>
      <c r="G84" s="59"/>
      <c r="H84" s="59"/>
      <c r="I84" s="115"/>
      <c r="J84" s="28">
        <v>0.82</v>
      </c>
      <c r="K84" s="55"/>
    </row>
    <row r="85" spans="1:11" ht="15.75" x14ac:dyDescent="0.2">
      <c r="A85" s="27">
        <f t="array" ref="A85">1+COUNT(_xlfn.UNIQUE(_xlfn._xlws.FILTER($I$5:$I$127, $I$5:$I$127 &gt; I85)))</f>
        <v>1</v>
      </c>
      <c r="B85" s="56" t="s">
        <v>42</v>
      </c>
      <c r="C85" s="56"/>
      <c r="D85" s="27"/>
      <c r="E85" s="53"/>
      <c r="F85" s="59"/>
      <c r="G85" s="59"/>
      <c r="H85" s="59"/>
      <c r="I85" s="115"/>
      <c r="J85" s="28">
        <v>0.82</v>
      </c>
      <c r="K85" s="55"/>
    </row>
    <row r="86" spans="1:11" ht="15.75" x14ac:dyDescent="0.2">
      <c r="A86" s="27">
        <f t="array" ref="A86">1+COUNT(_xlfn.UNIQUE(_xlfn._xlws.FILTER($I$5:$I$127, $I$5:$I$127 &gt; I86)))</f>
        <v>1</v>
      </c>
      <c r="B86" s="56" t="s">
        <v>31</v>
      </c>
      <c r="C86" s="56"/>
      <c r="D86" s="27"/>
      <c r="E86" s="53"/>
      <c r="F86" s="59"/>
      <c r="G86" s="59"/>
      <c r="H86" s="59"/>
      <c r="I86" s="115"/>
      <c r="J86" s="28">
        <v>0.82</v>
      </c>
      <c r="K86" s="55"/>
    </row>
    <row r="87" spans="1:11" ht="15.75" x14ac:dyDescent="0.2">
      <c r="A87" s="27">
        <f t="array" ref="A87">1+COUNT(_xlfn.UNIQUE(_xlfn._xlws.FILTER($I$5:$I$127, $I$5:$I$127 &gt; I87)))</f>
        <v>1</v>
      </c>
      <c r="B87" s="56" t="s">
        <v>16</v>
      </c>
      <c r="C87" s="56"/>
      <c r="D87" s="27"/>
      <c r="E87" s="53"/>
      <c r="F87" s="59"/>
      <c r="G87" s="59"/>
      <c r="H87" s="59"/>
      <c r="I87" s="115"/>
      <c r="J87" s="28">
        <v>0.82</v>
      </c>
      <c r="K87" s="55"/>
    </row>
    <row r="88" spans="1:11" ht="15.75" x14ac:dyDescent="0.2">
      <c r="A88" s="27">
        <f t="array" ref="A88">1+COUNT(_xlfn.UNIQUE(_xlfn._xlws.FILTER($I$5:$I$127, $I$5:$I$127 &gt; I88)))</f>
        <v>1</v>
      </c>
      <c r="B88" s="56" t="s">
        <v>72</v>
      </c>
      <c r="C88" s="56"/>
      <c r="D88" s="27"/>
      <c r="E88" s="53"/>
      <c r="F88" s="59"/>
      <c r="G88" s="59"/>
      <c r="H88" s="59"/>
      <c r="I88" s="115"/>
      <c r="J88" s="28">
        <v>0.82</v>
      </c>
      <c r="K88" s="55"/>
    </row>
    <row r="89" spans="1:11" ht="15.75" x14ac:dyDescent="0.2">
      <c r="A89" s="27">
        <f t="array" ref="A89">1+COUNT(_xlfn.UNIQUE(_xlfn._xlws.FILTER($I$5:$I$127, $I$5:$I$127 &gt; I89)))</f>
        <v>1</v>
      </c>
      <c r="B89" s="56" t="s">
        <v>63</v>
      </c>
      <c r="C89" s="56"/>
      <c r="D89" s="27"/>
      <c r="E89" s="53"/>
      <c r="F89" s="59"/>
      <c r="G89" s="59"/>
      <c r="H89" s="59"/>
      <c r="I89" s="115"/>
      <c r="J89" s="28">
        <v>0.82</v>
      </c>
      <c r="K89" s="55"/>
    </row>
    <row r="90" spans="1:11" ht="15.75" x14ac:dyDescent="0.2">
      <c r="A90" s="27">
        <f t="array" ref="A90">1+COUNT(_xlfn.UNIQUE(_xlfn._xlws.FILTER($I$5:$I$127, $I$5:$I$127 &gt; I90)))</f>
        <v>1</v>
      </c>
      <c r="B90" s="56" t="s">
        <v>52</v>
      </c>
      <c r="C90" s="56"/>
      <c r="D90" s="27"/>
      <c r="E90" s="53"/>
      <c r="F90" s="59"/>
      <c r="G90" s="59"/>
      <c r="H90" s="59"/>
      <c r="I90" s="115"/>
      <c r="J90" s="28">
        <v>0.82</v>
      </c>
      <c r="K90" s="55"/>
    </row>
    <row r="91" spans="1:11" ht="15.75" x14ac:dyDescent="0.2">
      <c r="A91" s="27">
        <f t="array" ref="A91">1+COUNT(_xlfn.UNIQUE(_xlfn._xlws.FILTER($I$5:$I$127, $I$5:$I$127 &gt; I91)))</f>
        <v>1</v>
      </c>
      <c r="B91" s="56" t="s">
        <v>9</v>
      </c>
      <c r="C91" s="56"/>
      <c r="D91" s="27"/>
      <c r="E91" s="53"/>
      <c r="F91" s="59"/>
      <c r="G91" s="59"/>
      <c r="H91" s="59"/>
      <c r="I91" s="115"/>
      <c r="J91" s="28">
        <v>0.82</v>
      </c>
      <c r="K91" s="55"/>
    </row>
    <row r="92" spans="1:11" ht="15.75" x14ac:dyDescent="0.2">
      <c r="A92" s="27">
        <f t="array" ref="A92">1+COUNT(_xlfn.UNIQUE(_xlfn._xlws.FILTER($I$5:$I$127, $I$5:$I$127 &gt; I92)))</f>
        <v>1</v>
      </c>
      <c r="B92" s="56" t="s">
        <v>83</v>
      </c>
      <c r="C92" s="56"/>
      <c r="D92" s="27"/>
      <c r="E92" s="53"/>
      <c r="F92" s="59"/>
      <c r="G92" s="59"/>
      <c r="H92" s="59"/>
      <c r="I92" s="115"/>
      <c r="J92" s="28">
        <v>0.82</v>
      </c>
      <c r="K92" s="55"/>
    </row>
    <row r="93" spans="1:11" ht="15.75" x14ac:dyDescent="0.2">
      <c r="A93" s="27">
        <f t="array" ref="A93">1+COUNT(_xlfn.UNIQUE(_xlfn._xlws.FILTER($I$5:$I$127, $I$5:$I$127 &gt; I93)))</f>
        <v>1</v>
      </c>
      <c r="B93" s="56" t="s">
        <v>117</v>
      </c>
      <c r="C93" s="56"/>
      <c r="D93" s="27"/>
      <c r="E93" s="53"/>
      <c r="F93" s="59"/>
      <c r="G93" s="59"/>
      <c r="H93" s="59"/>
      <c r="I93" s="115"/>
      <c r="J93" s="28">
        <v>0.82</v>
      </c>
      <c r="K93" s="55"/>
    </row>
    <row r="94" spans="1:11" ht="15.75" x14ac:dyDescent="0.2">
      <c r="A94" s="27">
        <f t="array" ref="A94">1+COUNT(_xlfn.UNIQUE(_xlfn._xlws.FILTER($I$5:$I$127, $I$5:$I$127 &gt; I94)))</f>
        <v>1</v>
      </c>
      <c r="B94" s="56" t="s">
        <v>45</v>
      </c>
      <c r="C94" s="56"/>
      <c r="D94" s="27"/>
      <c r="E94" s="53"/>
      <c r="F94" s="59"/>
      <c r="G94" s="59"/>
      <c r="H94" s="59"/>
      <c r="I94" s="115"/>
      <c r="J94" s="28">
        <v>0.82</v>
      </c>
      <c r="K94" s="55"/>
    </row>
    <row r="95" spans="1:11" ht="15.75" x14ac:dyDescent="0.2">
      <c r="A95" s="27">
        <f t="array" ref="A95">1+COUNT(_xlfn.UNIQUE(_xlfn._xlws.FILTER($I$5:$I$127, $I$5:$I$127 &gt; I95)))</f>
        <v>1</v>
      </c>
      <c r="B95" s="56" t="s">
        <v>51</v>
      </c>
      <c r="C95" s="56"/>
      <c r="D95" s="27"/>
      <c r="E95" s="53"/>
      <c r="F95" s="59"/>
      <c r="G95" s="59"/>
      <c r="H95" s="59"/>
      <c r="I95" s="115"/>
      <c r="J95" s="28">
        <v>0.82</v>
      </c>
      <c r="K95" s="55"/>
    </row>
    <row r="96" spans="1:11" ht="15.75" x14ac:dyDescent="0.2">
      <c r="A96" s="27">
        <f t="array" ref="A96">1+COUNT(_xlfn.UNIQUE(_xlfn._xlws.FILTER($I$5:$I$127, $I$5:$I$127 &gt; I96)))</f>
        <v>1</v>
      </c>
      <c r="B96" s="56" t="s">
        <v>8</v>
      </c>
      <c r="C96" s="56"/>
      <c r="D96" s="27"/>
      <c r="E96" s="53"/>
      <c r="F96" s="59"/>
      <c r="G96" s="59"/>
      <c r="H96" s="59"/>
      <c r="I96" s="115"/>
      <c r="J96" s="28">
        <v>0.82</v>
      </c>
      <c r="K96" s="55"/>
    </row>
    <row r="97" spans="1:11" ht="15.75" x14ac:dyDescent="0.2">
      <c r="A97" s="27">
        <f t="array" ref="A97">1+COUNT(_xlfn.UNIQUE(_xlfn._xlws.FILTER($I$5:$I$127, $I$5:$I$127 &gt; I97)))</f>
        <v>1</v>
      </c>
      <c r="B97" s="56" t="s">
        <v>86</v>
      </c>
      <c r="C97" s="56"/>
      <c r="D97" s="27"/>
      <c r="E97" s="53"/>
      <c r="F97" s="59"/>
      <c r="G97" s="59"/>
      <c r="H97" s="59"/>
      <c r="I97" s="115"/>
      <c r="J97" s="28">
        <v>0.82</v>
      </c>
      <c r="K97" s="55"/>
    </row>
    <row r="98" spans="1:11" ht="15.75" x14ac:dyDescent="0.2">
      <c r="A98" s="27">
        <f t="array" ref="A98">1+COUNT(_xlfn.UNIQUE(_xlfn._xlws.FILTER($I$5:$I$127, $I$5:$I$127 &gt; I98)))</f>
        <v>1</v>
      </c>
      <c r="B98" s="56" t="s">
        <v>100</v>
      </c>
      <c r="C98" s="56"/>
      <c r="D98" s="27"/>
      <c r="E98" s="53"/>
      <c r="F98" s="59"/>
      <c r="G98" s="59"/>
      <c r="H98" s="59"/>
      <c r="I98" s="115"/>
      <c r="J98" s="28">
        <v>0.82</v>
      </c>
      <c r="K98" s="55"/>
    </row>
    <row r="99" spans="1:11" ht="15.75" x14ac:dyDescent="0.2">
      <c r="A99" s="27">
        <f t="array" ref="A99">1+COUNT(_xlfn.UNIQUE(_xlfn._xlws.FILTER($I$5:$I$127, $I$5:$I$127 &gt; I99)))</f>
        <v>1</v>
      </c>
      <c r="B99" s="56" t="s">
        <v>122</v>
      </c>
      <c r="C99" s="56"/>
      <c r="D99" s="27"/>
      <c r="E99" s="53"/>
      <c r="F99" s="59"/>
      <c r="G99" s="59"/>
      <c r="H99" s="59"/>
      <c r="I99" s="115"/>
      <c r="J99" s="28">
        <v>0.82</v>
      </c>
      <c r="K99" s="55"/>
    </row>
    <row r="100" spans="1:11" ht="15.75" x14ac:dyDescent="0.2">
      <c r="A100" s="27">
        <f t="array" ref="A100">1+COUNT(_xlfn.UNIQUE(_xlfn._xlws.FILTER($I$5:$I$127, $I$5:$I$127 &gt; I100)))</f>
        <v>1</v>
      </c>
      <c r="B100" s="56" t="s">
        <v>103</v>
      </c>
      <c r="C100" s="56"/>
      <c r="D100" s="27"/>
      <c r="E100" s="53"/>
      <c r="F100" s="59"/>
      <c r="G100" s="59"/>
      <c r="H100" s="59"/>
      <c r="I100" s="115"/>
      <c r="J100" s="28">
        <v>0.82</v>
      </c>
      <c r="K100" s="55"/>
    </row>
    <row r="101" spans="1:11" ht="15.75" x14ac:dyDescent="0.2">
      <c r="A101" s="27">
        <f t="array" ref="A101">1+COUNT(_xlfn.UNIQUE(_xlfn._xlws.FILTER($I$5:$I$127, $I$5:$I$127 &gt; I101)))</f>
        <v>1</v>
      </c>
      <c r="B101" s="56" t="s">
        <v>115</v>
      </c>
      <c r="C101" s="56"/>
      <c r="D101" s="27"/>
      <c r="E101" s="53"/>
      <c r="F101" s="59"/>
      <c r="G101" s="59"/>
      <c r="H101" s="59"/>
      <c r="I101" s="115"/>
      <c r="J101" s="28">
        <v>0.82</v>
      </c>
      <c r="K101" s="55"/>
    </row>
    <row r="102" spans="1:11" ht="15.75" x14ac:dyDescent="0.2">
      <c r="A102" s="27">
        <f t="array" ref="A102">1+COUNT(_xlfn.UNIQUE(_xlfn._xlws.FILTER($I$5:$I$127, $I$5:$I$127 &gt; I102)))</f>
        <v>1</v>
      </c>
      <c r="B102" s="56" t="s">
        <v>14</v>
      </c>
      <c r="C102" s="56"/>
      <c r="D102" s="27"/>
      <c r="E102" s="53"/>
      <c r="F102" s="59"/>
      <c r="G102" s="59"/>
      <c r="H102" s="59"/>
      <c r="I102" s="115"/>
      <c r="J102" s="28">
        <v>0.82</v>
      </c>
      <c r="K102" s="55"/>
    </row>
    <row r="103" spans="1:11" ht="15.75" x14ac:dyDescent="0.2">
      <c r="A103" s="27">
        <f t="array" ref="A103">1+COUNT(_xlfn.UNIQUE(_xlfn._xlws.FILTER($I$5:$I$127, $I$5:$I$127 &gt; I103)))</f>
        <v>1</v>
      </c>
      <c r="B103" s="56" t="s">
        <v>90</v>
      </c>
      <c r="C103" s="56"/>
      <c r="D103" s="27"/>
      <c r="E103" s="53"/>
      <c r="F103" s="59"/>
      <c r="G103" s="59"/>
      <c r="H103" s="59"/>
      <c r="I103" s="115"/>
      <c r="J103" s="28">
        <v>0.82</v>
      </c>
      <c r="K103" s="55"/>
    </row>
    <row r="104" spans="1:11" ht="15.75" x14ac:dyDescent="0.2">
      <c r="A104" s="27">
        <f t="array" ref="A104">1+COUNT(_xlfn.UNIQUE(_xlfn._xlws.FILTER($I$5:$I$127, $I$5:$I$127 &gt; I104)))</f>
        <v>1</v>
      </c>
      <c r="B104" s="56" t="s">
        <v>84</v>
      </c>
      <c r="C104" s="56"/>
      <c r="D104" s="27"/>
      <c r="E104" s="53"/>
      <c r="F104" s="59"/>
      <c r="G104" s="59"/>
      <c r="H104" s="59"/>
      <c r="I104" s="115"/>
      <c r="J104" s="28">
        <v>0.82</v>
      </c>
      <c r="K104" s="55"/>
    </row>
    <row r="105" spans="1:11" ht="15.75" x14ac:dyDescent="0.2">
      <c r="A105" s="27">
        <f t="array" ref="A105">1+COUNT(_xlfn.UNIQUE(_xlfn._xlws.FILTER($I$5:$I$127, $I$5:$I$127 &gt; I105)))</f>
        <v>1</v>
      </c>
      <c r="B105" s="56" t="s">
        <v>101</v>
      </c>
      <c r="C105" s="56"/>
      <c r="D105" s="27"/>
      <c r="E105" s="53"/>
      <c r="F105" s="59"/>
      <c r="G105" s="59"/>
      <c r="H105" s="59"/>
      <c r="I105" s="115"/>
      <c r="J105" s="28">
        <v>0.82</v>
      </c>
      <c r="K105" s="55"/>
    </row>
    <row r="106" spans="1:11" ht="15.75" x14ac:dyDescent="0.2">
      <c r="A106" s="27">
        <f t="array" ref="A106">1+COUNT(_xlfn.UNIQUE(_xlfn._xlws.FILTER($I$5:$I$127, $I$5:$I$127 &gt; I106)))</f>
        <v>1</v>
      </c>
      <c r="B106" s="56" t="s">
        <v>55</v>
      </c>
      <c r="C106" s="56"/>
      <c r="D106" s="27"/>
      <c r="E106" s="53"/>
      <c r="F106" s="59"/>
      <c r="G106" s="59"/>
      <c r="H106" s="59"/>
      <c r="I106" s="115"/>
      <c r="J106" s="28">
        <v>0.82</v>
      </c>
      <c r="K106" s="55"/>
    </row>
    <row r="107" spans="1:11" ht="15.75" x14ac:dyDescent="0.2">
      <c r="A107" s="27">
        <f t="array" ref="A107">1+COUNT(_xlfn.UNIQUE(_xlfn._xlws.FILTER($I$5:$I$127, $I$5:$I$127 &gt; I107)))</f>
        <v>1</v>
      </c>
      <c r="B107" s="56" t="s">
        <v>48</v>
      </c>
      <c r="C107" s="56"/>
      <c r="D107" s="27"/>
      <c r="E107" s="53"/>
      <c r="F107" s="59"/>
      <c r="G107" s="59"/>
      <c r="H107" s="59"/>
      <c r="I107" s="115"/>
      <c r="J107" s="28">
        <v>0.82</v>
      </c>
      <c r="K107" s="55"/>
    </row>
    <row r="108" spans="1:11" ht="15.75" x14ac:dyDescent="0.2">
      <c r="A108" s="27">
        <f t="array" ref="A108">1+COUNT(_xlfn.UNIQUE(_xlfn._xlws.FILTER($I$5:$I$127, $I$5:$I$127 &gt; I108)))</f>
        <v>1</v>
      </c>
      <c r="B108" s="56" t="s">
        <v>12</v>
      </c>
      <c r="C108" s="56"/>
      <c r="D108" s="27"/>
      <c r="E108" s="53"/>
      <c r="F108" s="59"/>
      <c r="G108" s="59"/>
      <c r="H108" s="59"/>
      <c r="I108" s="115"/>
      <c r="J108" s="28">
        <v>0.82</v>
      </c>
      <c r="K108" s="55"/>
    </row>
    <row r="109" spans="1:11" ht="15.75" x14ac:dyDescent="0.2">
      <c r="A109" s="27">
        <f t="array" ref="A109">1+COUNT(_xlfn.UNIQUE(_xlfn._xlws.FILTER($I$5:$I$127, $I$5:$I$127 &gt; I109)))</f>
        <v>1</v>
      </c>
      <c r="B109" s="56" t="s">
        <v>34</v>
      </c>
      <c r="C109" s="56"/>
      <c r="D109" s="27"/>
      <c r="E109" s="53"/>
      <c r="F109" s="59"/>
      <c r="G109" s="59"/>
      <c r="H109" s="59"/>
      <c r="I109" s="115"/>
      <c r="J109" s="28">
        <v>0.82</v>
      </c>
      <c r="K109" s="55"/>
    </row>
    <row r="110" spans="1:11" ht="15.75" x14ac:dyDescent="0.2">
      <c r="A110" s="27">
        <f t="array" ref="A110">1+COUNT(_xlfn.UNIQUE(_xlfn._xlws.FILTER($I$5:$I$127, $I$5:$I$127 &gt; I110)))</f>
        <v>1</v>
      </c>
      <c r="B110" s="56" t="s">
        <v>120</v>
      </c>
      <c r="C110" s="56"/>
      <c r="D110" s="27"/>
      <c r="E110" s="53"/>
      <c r="F110" s="59"/>
      <c r="G110" s="59"/>
      <c r="H110" s="59"/>
      <c r="I110" s="115"/>
      <c r="J110" s="28">
        <v>0.82</v>
      </c>
      <c r="K110" s="55"/>
    </row>
    <row r="111" spans="1:11" ht="15.75" x14ac:dyDescent="0.2">
      <c r="A111" s="27">
        <f t="array" ref="A111">1+COUNT(_xlfn.UNIQUE(_xlfn._xlws.FILTER($I$5:$I$127, $I$5:$I$127 &gt; I111)))</f>
        <v>1</v>
      </c>
      <c r="B111" s="56" t="s">
        <v>61</v>
      </c>
      <c r="C111" s="56"/>
      <c r="D111" s="27"/>
      <c r="E111" s="53"/>
      <c r="F111" s="59"/>
      <c r="G111" s="59"/>
      <c r="H111" s="59"/>
      <c r="I111" s="115"/>
      <c r="J111" s="28">
        <v>0.82</v>
      </c>
      <c r="K111" s="55"/>
    </row>
    <row r="112" spans="1:11" ht="15.75" x14ac:dyDescent="0.2">
      <c r="A112" s="27">
        <f t="array" ref="A112">1+COUNT(_xlfn.UNIQUE(_xlfn._xlws.FILTER($I$5:$I$127, $I$5:$I$127 &gt; I112)))</f>
        <v>1</v>
      </c>
      <c r="B112" s="56" t="s">
        <v>20</v>
      </c>
      <c r="C112" s="56"/>
      <c r="D112" s="27"/>
      <c r="E112" s="53"/>
      <c r="F112" s="59"/>
      <c r="G112" s="59"/>
      <c r="H112" s="59"/>
      <c r="I112" s="115"/>
      <c r="J112" s="28">
        <v>0.82</v>
      </c>
      <c r="K112" s="55"/>
    </row>
    <row r="113" spans="1:11" ht="15.75" x14ac:dyDescent="0.2">
      <c r="A113" s="27">
        <f t="array" ref="A113">1+COUNT(_xlfn.UNIQUE(_xlfn._xlws.FILTER($I$5:$I$127, $I$5:$I$127 &gt; I113)))</f>
        <v>1</v>
      </c>
      <c r="B113" s="56" t="s">
        <v>113</v>
      </c>
      <c r="C113" s="56"/>
      <c r="D113" s="27"/>
      <c r="E113" s="53"/>
      <c r="F113" s="59"/>
      <c r="G113" s="59"/>
      <c r="H113" s="59"/>
      <c r="I113" s="115"/>
      <c r="J113" s="28">
        <v>0.82</v>
      </c>
      <c r="K113" s="55"/>
    </row>
    <row r="114" spans="1:11" ht="15.75" x14ac:dyDescent="0.2">
      <c r="A114" s="27">
        <f t="array" ref="A114">1+COUNT(_xlfn.UNIQUE(_xlfn._xlws.FILTER($I$5:$I$127, $I$5:$I$127 &gt; I114)))</f>
        <v>1</v>
      </c>
      <c r="B114" s="56" t="s">
        <v>13</v>
      </c>
      <c r="C114" s="56"/>
      <c r="D114" s="27"/>
      <c r="E114" s="53"/>
      <c r="F114" s="59"/>
      <c r="G114" s="59"/>
      <c r="H114" s="59"/>
      <c r="I114" s="115"/>
      <c r="J114" s="28">
        <v>0.87</v>
      </c>
      <c r="K114" s="55"/>
    </row>
    <row r="115" spans="1:11" ht="15.75" x14ac:dyDescent="0.2">
      <c r="A115" s="27">
        <f t="array" ref="A115">1+COUNT(_xlfn.UNIQUE(_xlfn._xlws.FILTER($I$5:$I$127, $I$5:$I$127 &gt; I115)))</f>
        <v>1</v>
      </c>
      <c r="B115" s="56" t="s">
        <v>18</v>
      </c>
      <c r="C115" s="56"/>
      <c r="D115" s="27"/>
      <c r="E115" s="53"/>
      <c r="F115" s="59"/>
      <c r="G115" s="59"/>
      <c r="H115" s="59"/>
      <c r="I115" s="115"/>
      <c r="J115" s="28">
        <v>0.82</v>
      </c>
      <c r="K115" s="55"/>
    </row>
    <row r="116" spans="1:11" ht="15.75" x14ac:dyDescent="0.2">
      <c r="A116" s="27">
        <f t="array" ref="A116">1+COUNT(_xlfn.UNIQUE(_xlfn._xlws.FILTER($I$5:$I$127, $I$5:$I$127 &gt; I116)))</f>
        <v>1</v>
      </c>
      <c r="B116" s="56" t="s">
        <v>66</v>
      </c>
      <c r="C116" s="56"/>
      <c r="D116" s="27"/>
      <c r="E116" s="53"/>
      <c r="F116" s="59"/>
      <c r="G116" s="59"/>
      <c r="H116" s="59"/>
      <c r="I116" s="115"/>
      <c r="J116" s="28">
        <v>0.82</v>
      </c>
      <c r="K116" s="55"/>
    </row>
    <row r="117" spans="1:11" ht="15.75" x14ac:dyDescent="0.2">
      <c r="A117" s="27">
        <f t="array" ref="A117">1+COUNT(_xlfn.UNIQUE(_xlfn._xlws.FILTER($I$5:$I$127, $I$5:$I$127 &gt; I117)))</f>
        <v>1</v>
      </c>
      <c r="B117" s="56" t="s">
        <v>98</v>
      </c>
      <c r="C117" s="56"/>
      <c r="D117" s="27"/>
      <c r="E117" s="53"/>
      <c r="F117" s="59"/>
      <c r="G117" s="59"/>
      <c r="H117" s="59"/>
      <c r="I117" s="115"/>
      <c r="J117" s="28">
        <v>0.87</v>
      </c>
      <c r="K117" s="55"/>
    </row>
    <row r="118" spans="1:11" ht="15.75" x14ac:dyDescent="0.2">
      <c r="A118" s="27">
        <f t="array" ref="A118">1+COUNT(_xlfn.UNIQUE(_xlfn._xlws.FILTER($I$5:$I$127, $I$5:$I$127 &gt; I118)))</f>
        <v>1</v>
      </c>
      <c r="B118" s="56" t="s">
        <v>75</v>
      </c>
      <c r="C118" s="56"/>
      <c r="D118" s="27"/>
      <c r="E118" s="53"/>
      <c r="F118" s="59"/>
      <c r="G118" s="59"/>
      <c r="H118" s="59"/>
      <c r="I118" s="115"/>
      <c r="J118" s="28">
        <v>0.82</v>
      </c>
      <c r="K118" s="55"/>
    </row>
    <row r="119" spans="1:11" ht="15.75" x14ac:dyDescent="0.2">
      <c r="A119" s="27">
        <f t="array" ref="A119">1+COUNT(_xlfn.UNIQUE(_xlfn._xlws.FILTER($I$5:$I$127, $I$5:$I$127 &gt; I119)))</f>
        <v>1</v>
      </c>
      <c r="B119" s="56" t="s">
        <v>19</v>
      </c>
      <c r="C119" s="56"/>
      <c r="D119" s="27"/>
      <c r="E119" s="53"/>
      <c r="F119" s="59"/>
      <c r="G119" s="59"/>
      <c r="H119" s="59"/>
      <c r="I119" s="115"/>
      <c r="J119" s="28">
        <v>0.82</v>
      </c>
      <c r="K119" s="55"/>
    </row>
    <row r="120" spans="1:11" ht="15.75" x14ac:dyDescent="0.2">
      <c r="A120" s="27">
        <f t="array" ref="A120">1+COUNT(_xlfn.UNIQUE(_xlfn._xlws.FILTER($I$5:$I$127, $I$5:$I$127 &gt; I120)))</f>
        <v>1</v>
      </c>
      <c r="B120" s="56" t="s">
        <v>81</v>
      </c>
      <c r="C120" s="56"/>
      <c r="D120" s="27"/>
      <c r="E120" s="53"/>
      <c r="F120" s="59"/>
      <c r="G120" s="59"/>
      <c r="H120" s="59"/>
      <c r="I120" s="115"/>
      <c r="J120" s="28">
        <v>0.82</v>
      </c>
      <c r="K120" s="55"/>
    </row>
    <row r="121" spans="1:11" ht="15.75" x14ac:dyDescent="0.2">
      <c r="A121" s="27">
        <f t="array" ref="A121">1+COUNT(_xlfn.UNIQUE(_xlfn._xlws.FILTER($I$5:$I$127, $I$5:$I$127 &gt; I121)))</f>
        <v>1</v>
      </c>
      <c r="B121" s="56" t="s">
        <v>88</v>
      </c>
      <c r="C121" s="56"/>
      <c r="D121" s="27"/>
      <c r="E121" s="53"/>
      <c r="F121" s="59"/>
      <c r="G121" s="59"/>
      <c r="H121" s="59"/>
      <c r="I121" s="115"/>
      <c r="J121" s="28">
        <v>0.82</v>
      </c>
      <c r="K121" s="55"/>
    </row>
    <row r="122" spans="1:11" ht="15.75" x14ac:dyDescent="0.2">
      <c r="A122" s="27">
        <f t="array" ref="A122">1+COUNT(_xlfn.UNIQUE(_xlfn._xlws.FILTER($I$5:$I$127, $I$5:$I$127 &gt; I122)))</f>
        <v>1</v>
      </c>
      <c r="B122" s="56" t="s">
        <v>41</v>
      </c>
      <c r="C122" s="56"/>
      <c r="D122" s="27"/>
      <c r="E122" s="53"/>
      <c r="F122" s="59"/>
      <c r="G122" s="59"/>
      <c r="H122" s="59"/>
      <c r="I122" s="115"/>
      <c r="J122" s="28">
        <v>0.82</v>
      </c>
      <c r="K122" s="55"/>
    </row>
    <row r="123" spans="1:11" ht="15.75" x14ac:dyDescent="0.2">
      <c r="A123" s="27">
        <f t="array" ref="A123">1+COUNT(_xlfn.UNIQUE(_xlfn._xlws.FILTER($I$5:$I$127, $I$5:$I$127 &gt; I123)))</f>
        <v>1</v>
      </c>
      <c r="B123" s="56" t="s">
        <v>53</v>
      </c>
      <c r="C123" s="56"/>
      <c r="D123" s="27"/>
      <c r="E123" s="53"/>
      <c r="F123" s="59"/>
      <c r="G123" s="59"/>
      <c r="H123" s="59"/>
      <c r="I123" s="115"/>
      <c r="J123" s="28">
        <v>0.87</v>
      </c>
      <c r="K123" s="55"/>
    </row>
    <row r="124" spans="1:11" ht="15.75" x14ac:dyDescent="0.2">
      <c r="A124" s="27">
        <f t="array" ref="A124">1+COUNT(_xlfn.UNIQUE(_xlfn._xlws.FILTER($I$5:$I$127, $I$5:$I$127 &gt; I124)))</f>
        <v>1</v>
      </c>
      <c r="B124" s="56" t="s">
        <v>1</v>
      </c>
      <c r="C124" s="56"/>
      <c r="D124" s="27"/>
      <c r="E124" s="53"/>
      <c r="F124" s="59"/>
      <c r="G124" s="59"/>
      <c r="H124" s="59"/>
      <c r="I124" s="115"/>
      <c r="J124" s="28">
        <v>0.82</v>
      </c>
      <c r="K124" s="55"/>
    </row>
    <row r="125" spans="1:11" ht="15.75" x14ac:dyDescent="0.2">
      <c r="A125" s="27">
        <f t="array" ref="A125">1+COUNT(_xlfn.UNIQUE(_xlfn._xlws.FILTER($I$5:$I$127, $I$5:$I$127 &gt; I125)))</f>
        <v>1</v>
      </c>
      <c r="B125" s="56" t="s">
        <v>99</v>
      </c>
      <c r="C125" s="56"/>
      <c r="D125" s="27"/>
      <c r="E125" s="53"/>
      <c r="F125" s="59"/>
      <c r="G125" s="59"/>
      <c r="H125" s="59"/>
      <c r="I125" s="115"/>
      <c r="J125" s="28">
        <v>0.82</v>
      </c>
      <c r="K125" s="55"/>
    </row>
    <row r="126" spans="1:11" ht="15.75" x14ac:dyDescent="0.2">
      <c r="A126" s="27">
        <f t="array" ref="A126">1+COUNT(_xlfn.UNIQUE(_xlfn._xlws.FILTER($I$5:$I$127, $I$5:$I$127 &gt; I126)))</f>
        <v>1</v>
      </c>
      <c r="B126" s="56" t="s">
        <v>25</v>
      </c>
      <c r="C126" s="56"/>
      <c r="D126" s="27"/>
      <c r="E126" s="53"/>
      <c r="F126" s="59"/>
      <c r="G126" s="59"/>
      <c r="H126" s="59"/>
      <c r="I126" s="115"/>
      <c r="J126" s="28">
        <v>0.87</v>
      </c>
      <c r="K126" s="55"/>
    </row>
    <row r="127" spans="1:11" ht="15.75" x14ac:dyDescent="0.2">
      <c r="A127" s="27">
        <f t="array" ref="A127">1+COUNT(_xlfn.UNIQUE(_xlfn._xlws.FILTER($I$5:$I$127, $I$5:$I$127 &gt; I127)))</f>
        <v>1</v>
      </c>
      <c r="B127" s="56" t="s">
        <v>121</v>
      </c>
      <c r="C127" s="56"/>
      <c r="D127" s="27"/>
      <c r="E127" s="53"/>
      <c r="F127" s="59"/>
      <c r="G127" s="59"/>
      <c r="H127" s="59"/>
      <c r="I127" s="115"/>
      <c r="J127" s="28">
        <v>0.82</v>
      </c>
      <c r="K127" s="55"/>
    </row>
  </sheetData>
  <mergeCells count="1"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Y1001"/>
  <sheetViews>
    <sheetView workbookViewId="0">
      <pane ySplit="3" topLeftCell="A70" activePane="bottomLeft" state="frozen"/>
      <selection pane="bottomLeft" activeCell="B80" sqref="B80"/>
    </sheetView>
  </sheetViews>
  <sheetFormatPr defaultColWidth="12.7109375" defaultRowHeight="15.75" customHeight="1" x14ac:dyDescent="0.3"/>
  <cols>
    <col min="1" max="1" width="12" style="50" customWidth="1"/>
    <col min="2" max="2" width="25.140625" style="5" customWidth="1"/>
    <col min="3" max="3" width="20.140625" style="5" customWidth="1"/>
    <col min="4" max="4" width="18.42578125" style="5" customWidth="1"/>
    <col min="5" max="5" width="22.85546875" style="5" customWidth="1"/>
    <col min="6" max="7" width="18.42578125" style="5" customWidth="1"/>
    <col min="8" max="8" width="17.28515625" style="41" customWidth="1"/>
    <col min="9" max="16384" width="12.7109375" style="4"/>
  </cols>
  <sheetData>
    <row r="1" spans="1:25" s="11" customFormat="1" ht="35.1" customHeight="1" x14ac:dyDescent="0.2">
      <c r="A1" s="132" t="s">
        <v>208</v>
      </c>
      <c r="B1" s="132"/>
      <c r="C1" s="132"/>
      <c r="D1" s="132"/>
      <c r="E1" s="132"/>
      <c r="F1" s="132"/>
      <c r="G1" s="132"/>
      <c r="H1" s="8"/>
    </row>
    <row r="2" spans="1:25" s="10" customFormat="1" ht="60" customHeight="1" x14ac:dyDescent="0.2">
      <c r="A2" s="133" t="s">
        <v>129</v>
      </c>
      <c r="B2" s="6" t="s">
        <v>151</v>
      </c>
      <c r="C2" s="1" t="s">
        <v>152</v>
      </c>
      <c r="D2" s="1" t="s">
        <v>153</v>
      </c>
      <c r="E2" s="1" t="s">
        <v>154</v>
      </c>
      <c r="F2" s="12" t="s">
        <v>156</v>
      </c>
      <c r="G2" s="1" t="s">
        <v>205</v>
      </c>
      <c r="H2" s="48" t="s">
        <v>207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ht="27.95" customHeight="1" x14ac:dyDescent="0.3">
      <c r="A3" s="134"/>
      <c r="B3" s="49" t="s">
        <v>127</v>
      </c>
      <c r="C3" s="14"/>
      <c r="D3" s="14"/>
      <c r="E3" s="14"/>
      <c r="F3" s="15" t="e">
        <f t="shared" ref="F3" si="0">E3/D3</f>
        <v>#DIV/0!</v>
      </c>
      <c r="G3" s="16">
        <v>0.8</v>
      </c>
      <c r="H3" s="17" t="e">
        <f t="shared" ref="H3" si="1">F3/G3</f>
        <v>#DIV/0!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21" customHeight="1" x14ac:dyDescent="0.3">
      <c r="A4" s="21" cm="1">
        <f t="array" ref="A4">1+COUNT(_xlfn.UNIQUE(_xlfn._xlws.FILTER($H$4:$H$127, $H$4:$H$127 &gt; H4)))</f>
        <v>1</v>
      </c>
      <c r="B4" s="2" t="s">
        <v>24</v>
      </c>
      <c r="C4" s="2"/>
      <c r="D4" s="2"/>
      <c r="E4" s="2"/>
      <c r="F4" s="15" t="e">
        <f t="shared" ref="F4:F35" si="2">E4/D4</f>
        <v>#DIV/0!</v>
      </c>
      <c r="G4" s="19">
        <v>0.85</v>
      </c>
      <c r="H4" s="17" t="e">
        <f t="shared" ref="H4:H35" si="3">F4/G4</f>
        <v>#DIV/0!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21" customHeight="1" x14ac:dyDescent="0.3">
      <c r="A5" s="21" cm="1">
        <f t="array" ref="A5">1+COUNT(_xlfn.UNIQUE(_xlfn._xlws.FILTER($F$4:$F$127, $F$4:$F$127 &gt; F5)))</f>
        <v>1</v>
      </c>
      <c r="B5" s="2" t="s">
        <v>17</v>
      </c>
      <c r="C5" s="2"/>
      <c r="D5" s="2"/>
      <c r="E5" s="2"/>
      <c r="F5" s="15" t="e">
        <f t="shared" si="2"/>
        <v>#DIV/0!</v>
      </c>
      <c r="G5" s="19">
        <v>0.85</v>
      </c>
      <c r="H5" s="17" t="e">
        <f t="shared" si="3"/>
        <v>#DIV/0!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ht="21" customHeight="1" x14ac:dyDescent="0.3">
      <c r="A6" s="21" cm="1">
        <f t="array" ref="A6">1+COUNT(_xlfn.UNIQUE(_xlfn._xlws.FILTER($F$4:$F$127, $F$4:$F$127 &gt; F6)))</f>
        <v>1</v>
      </c>
      <c r="B6" s="2" t="s">
        <v>5</v>
      </c>
      <c r="C6" s="2"/>
      <c r="D6" s="2"/>
      <c r="E6" s="2"/>
      <c r="F6" s="15" t="e">
        <f t="shared" si="2"/>
        <v>#DIV/0!</v>
      </c>
      <c r="G6" s="19">
        <v>0.85</v>
      </c>
      <c r="H6" s="17" t="e">
        <f t="shared" si="3"/>
        <v>#DIV/0!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ht="21" customHeight="1" x14ac:dyDescent="0.3">
      <c r="A7" s="21" cm="1">
        <f t="array" ref="A7">1+COUNT(_xlfn.UNIQUE(_xlfn._xlws.FILTER($F$4:$F$127, $F$4:$F$127 &gt; F7)))</f>
        <v>1</v>
      </c>
      <c r="B7" s="2" t="s">
        <v>2</v>
      </c>
      <c r="C7" s="2"/>
      <c r="D7" s="2"/>
      <c r="E7" s="2"/>
      <c r="F7" s="15" t="e">
        <f t="shared" si="2"/>
        <v>#DIV/0!</v>
      </c>
      <c r="G7" s="19">
        <v>0.85</v>
      </c>
      <c r="H7" s="17" t="e">
        <f t="shared" si="3"/>
        <v>#DIV/0!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ht="21" customHeight="1" x14ac:dyDescent="0.3">
      <c r="A8" s="21" cm="1">
        <f t="array" ref="A8">1+COUNT(_xlfn.UNIQUE(_xlfn._xlws.FILTER($F$4:$F$127, $F$4:$F$127 &gt; F8)))</f>
        <v>1</v>
      </c>
      <c r="B8" s="2" t="s">
        <v>11</v>
      </c>
      <c r="C8" s="2"/>
      <c r="D8" s="2"/>
      <c r="E8" s="2"/>
      <c r="F8" s="15" t="e">
        <f t="shared" si="2"/>
        <v>#DIV/0!</v>
      </c>
      <c r="G8" s="19">
        <v>0.85</v>
      </c>
      <c r="H8" s="17" t="e">
        <f t="shared" si="3"/>
        <v>#DIV/0!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ht="21" customHeight="1" x14ac:dyDescent="0.3">
      <c r="A9" s="21" cm="1">
        <f t="array" ref="A9">1+COUNT(_xlfn.UNIQUE(_xlfn._xlws.FILTER($F$4:$F$127, $F$4:$F$127 &gt; F9)))</f>
        <v>1</v>
      </c>
      <c r="B9" s="2" t="s">
        <v>59</v>
      </c>
      <c r="C9" s="2"/>
      <c r="D9" s="2"/>
      <c r="E9" s="2"/>
      <c r="F9" s="15" t="e">
        <f t="shared" si="2"/>
        <v>#DIV/0!</v>
      </c>
      <c r="G9" s="19">
        <v>0.85</v>
      </c>
      <c r="H9" s="17" t="e">
        <f t="shared" si="3"/>
        <v>#DIV/0!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ht="21" customHeight="1" x14ac:dyDescent="0.3">
      <c r="A10" s="21" cm="1">
        <f t="array" ref="A10">1+COUNT(_xlfn.UNIQUE(_xlfn._xlws.FILTER($F$4:$F$127, $F$4:$F$127 &gt; F10)))</f>
        <v>1</v>
      </c>
      <c r="B10" s="2" t="s">
        <v>37</v>
      </c>
      <c r="C10" s="2"/>
      <c r="D10" s="2"/>
      <c r="E10" s="2"/>
      <c r="F10" s="15" t="e">
        <f t="shared" si="2"/>
        <v>#DIV/0!</v>
      </c>
      <c r="G10" s="19">
        <v>0.85</v>
      </c>
      <c r="H10" s="17" t="e">
        <f t="shared" si="3"/>
        <v>#DIV/0!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ht="21" customHeight="1" x14ac:dyDescent="0.3">
      <c r="A11" s="21" cm="1">
        <f t="array" ref="A11">1+COUNT(_xlfn.UNIQUE(_xlfn._xlws.FILTER($F$4:$F$127, $F$4:$F$127 &gt; F11)))</f>
        <v>1</v>
      </c>
      <c r="B11" s="2" t="s">
        <v>15</v>
      </c>
      <c r="C11" s="2"/>
      <c r="D11" s="2"/>
      <c r="E11" s="2"/>
      <c r="F11" s="15" t="e">
        <f t="shared" si="2"/>
        <v>#DIV/0!</v>
      </c>
      <c r="G11" s="19">
        <v>0.82</v>
      </c>
      <c r="H11" s="17" t="e">
        <f t="shared" si="3"/>
        <v>#DIV/0!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21" customHeight="1" x14ac:dyDescent="0.3">
      <c r="A12" s="21" cm="1">
        <f t="array" ref="A12">1+COUNT(_xlfn.UNIQUE(_xlfn._xlws.FILTER($F$4:$F$127, $F$4:$F$127 &gt; F12)))</f>
        <v>1</v>
      </c>
      <c r="B12" s="2" t="s">
        <v>50</v>
      </c>
      <c r="C12" s="2"/>
      <c r="D12" s="2"/>
      <c r="E12" s="2"/>
      <c r="F12" s="15" t="e">
        <f t="shared" si="2"/>
        <v>#DIV/0!</v>
      </c>
      <c r="G12" s="19">
        <v>0.82</v>
      </c>
      <c r="H12" s="17" t="e">
        <f t="shared" si="3"/>
        <v>#DIV/0!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21" customHeight="1" x14ac:dyDescent="0.3">
      <c r="A13" s="21" cm="1">
        <f t="array" ref="A13">1+COUNT(_xlfn.UNIQUE(_xlfn._xlws.FILTER($F$4:$F$127, $F$4:$F$127 &gt; F13)))</f>
        <v>1</v>
      </c>
      <c r="B13" s="2" t="s">
        <v>57</v>
      </c>
      <c r="C13" s="2"/>
      <c r="D13" s="2"/>
      <c r="E13" s="2"/>
      <c r="F13" s="15" t="e">
        <f t="shared" si="2"/>
        <v>#DIV/0!</v>
      </c>
      <c r="G13" s="19">
        <v>0.8</v>
      </c>
      <c r="H13" s="17" t="e">
        <f t="shared" si="3"/>
        <v>#DIV/0!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21" customHeight="1" x14ac:dyDescent="0.3">
      <c r="A14" s="21" cm="1">
        <f t="array" ref="A14">1+COUNT(_xlfn.UNIQUE(_xlfn._xlws.FILTER($F$4:$F$127, $F$4:$F$127 &gt; F14)))</f>
        <v>1</v>
      </c>
      <c r="B14" s="2" t="s">
        <v>94</v>
      </c>
      <c r="C14" s="2"/>
      <c r="D14" s="2"/>
      <c r="E14" s="2"/>
      <c r="F14" s="15" t="e">
        <f t="shared" si="2"/>
        <v>#DIV/0!</v>
      </c>
      <c r="G14" s="19">
        <v>0.8</v>
      </c>
      <c r="H14" s="17" t="e">
        <f t="shared" si="3"/>
        <v>#DIV/0!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21" customHeight="1" x14ac:dyDescent="0.3">
      <c r="A15" s="21" cm="1">
        <f t="array" ref="A15">1+COUNT(_xlfn.UNIQUE(_xlfn._xlws.FILTER($F$4:$F$127, $F$4:$F$127 &gt; F15)))</f>
        <v>1</v>
      </c>
      <c r="B15" s="2" t="s">
        <v>40</v>
      </c>
      <c r="C15" s="2"/>
      <c r="D15" s="2"/>
      <c r="E15" s="2"/>
      <c r="F15" s="15" t="e">
        <f t="shared" si="2"/>
        <v>#DIV/0!</v>
      </c>
      <c r="G15" s="19">
        <v>0.8</v>
      </c>
      <c r="H15" s="17" t="e">
        <f t="shared" si="3"/>
        <v>#DIV/0!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21" customHeight="1" x14ac:dyDescent="0.3">
      <c r="A16" s="21" cm="1">
        <f t="array" ref="A16">1+COUNT(_xlfn.UNIQUE(_xlfn._xlws.FILTER($F$4:$F$127, $F$4:$F$127 &gt; F16)))</f>
        <v>1</v>
      </c>
      <c r="B16" s="2" t="s">
        <v>111</v>
      </c>
      <c r="C16" s="2"/>
      <c r="D16" s="2"/>
      <c r="E16" s="2"/>
      <c r="F16" s="15" t="e">
        <f t="shared" si="2"/>
        <v>#DIV/0!</v>
      </c>
      <c r="G16" s="19">
        <v>0.8</v>
      </c>
      <c r="H16" s="17" t="e">
        <f t="shared" si="3"/>
        <v>#DIV/0!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21" customHeight="1" x14ac:dyDescent="0.3">
      <c r="A17" s="21" cm="1">
        <f t="array" ref="A17">1+COUNT(_xlfn.UNIQUE(_xlfn._xlws.FILTER($F$4:$F$127, $F$4:$F$127 &gt; F17)))</f>
        <v>1</v>
      </c>
      <c r="B17" s="2" t="s">
        <v>87</v>
      </c>
      <c r="C17" s="2"/>
      <c r="D17" s="2"/>
      <c r="E17" s="2"/>
      <c r="F17" s="15" t="e">
        <f t="shared" si="2"/>
        <v>#DIV/0!</v>
      </c>
      <c r="G17" s="19">
        <v>0.8</v>
      </c>
      <c r="H17" s="17" t="e">
        <f t="shared" si="3"/>
        <v>#DIV/0!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21" customHeight="1" x14ac:dyDescent="0.3">
      <c r="A18" s="21" cm="1">
        <f t="array" ref="A18">1+COUNT(_xlfn.UNIQUE(_xlfn._xlws.FILTER($F$4:$F$127, $F$4:$F$127 &gt; F18)))</f>
        <v>1</v>
      </c>
      <c r="B18" s="2" t="s">
        <v>77</v>
      </c>
      <c r="C18" s="2"/>
      <c r="D18" s="2"/>
      <c r="E18" s="2"/>
      <c r="F18" s="15" t="e">
        <f t="shared" si="2"/>
        <v>#DIV/0!</v>
      </c>
      <c r="G18" s="19">
        <v>0.8</v>
      </c>
      <c r="H18" s="17" t="e">
        <f t="shared" si="3"/>
        <v>#DIV/0!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21" customHeight="1" x14ac:dyDescent="0.3">
      <c r="A19" s="21" cm="1">
        <f t="array" ref="A19">1+COUNT(_xlfn.UNIQUE(_xlfn._xlws.FILTER($F$4:$F$127, $F$4:$F$127 &gt; F19)))</f>
        <v>1</v>
      </c>
      <c r="B19" s="2" t="s">
        <v>46</v>
      </c>
      <c r="C19" s="2"/>
      <c r="D19" s="2"/>
      <c r="E19" s="2"/>
      <c r="F19" s="15" t="e">
        <f t="shared" si="2"/>
        <v>#DIV/0!</v>
      </c>
      <c r="G19" s="19">
        <v>0.8</v>
      </c>
      <c r="H19" s="17" t="e">
        <f t="shared" si="3"/>
        <v>#DIV/0!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ht="21" customHeight="1" x14ac:dyDescent="0.3">
      <c r="A20" s="21" cm="1">
        <f t="array" ref="A20">1+COUNT(_xlfn.UNIQUE(_xlfn._xlws.FILTER($F$4:$F$127, $F$4:$F$127 &gt; F20)))</f>
        <v>1</v>
      </c>
      <c r="B20" s="2" t="s">
        <v>64</v>
      </c>
      <c r="C20" s="2"/>
      <c r="D20" s="2"/>
      <c r="E20" s="2"/>
      <c r="F20" s="15" t="e">
        <f t="shared" si="2"/>
        <v>#DIV/0!</v>
      </c>
      <c r="G20" s="19">
        <v>0.8</v>
      </c>
      <c r="H20" s="17" t="e">
        <f t="shared" si="3"/>
        <v>#DIV/0!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ht="21" customHeight="1" x14ac:dyDescent="0.3">
      <c r="A21" s="21" cm="1">
        <f t="array" ref="A21">1+COUNT(_xlfn.UNIQUE(_xlfn._xlws.FILTER($F$4:$F$127, $F$4:$F$127 &gt; F21)))</f>
        <v>1</v>
      </c>
      <c r="B21" s="2" t="s">
        <v>27</v>
      </c>
      <c r="C21" s="2"/>
      <c r="D21" s="2"/>
      <c r="E21" s="2"/>
      <c r="F21" s="15" t="e">
        <f t="shared" si="2"/>
        <v>#DIV/0!</v>
      </c>
      <c r="G21" s="19">
        <v>0.8</v>
      </c>
      <c r="H21" s="17" t="e">
        <f t="shared" si="3"/>
        <v>#DIV/0!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ht="21" customHeight="1" x14ac:dyDescent="0.3">
      <c r="A22" s="21" cm="1">
        <f t="array" ref="A22">1+COUNT(_xlfn.UNIQUE(_xlfn._xlws.FILTER($F$4:$F$127, $F$4:$F$127 &gt; F22)))</f>
        <v>1</v>
      </c>
      <c r="B22" s="2" t="s">
        <v>110</v>
      </c>
      <c r="C22" s="2"/>
      <c r="D22" s="2"/>
      <c r="E22" s="2"/>
      <c r="F22" s="15" t="e">
        <f t="shared" si="2"/>
        <v>#DIV/0!</v>
      </c>
      <c r="G22" s="19">
        <v>0.8</v>
      </c>
      <c r="H22" s="17" t="e">
        <f t="shared" si="3"/>
        <v>#DIV/0!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21" customHeight="1" x14ac:dyDescent="0.3">
      <c r="A23" s="21" cm="1">
        <f t="array" ref="A23">1+COUNT(_xlfn.UNIQUE(_xlfn._xlws.FILTER($F$4:$F$127, $F$4:$F$127 &gt; F23)))</f>
        <v>1</v>
      </c>
      <c r="B23" s="2" t="s">
        <v>92</v>
      </c>
      <c r="C23" s="2"/>
      <c r="D23" s="2"/>
      <c r="E23" s="2"/>
      <c r="F23" s="15" t="e">
        <f t="shared" si="2"/>
        <v>#DIV/0!</v>
      </c>
      <c r="G23" s="19">
        <v>0.8</v>
      </c>
      <c r="H23" s="17" t="e">
        <f t="shared" si="3"/>
        <v>#DIV/0!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21" customHeight="1" x14ac:dyDescent="0.3">
      <c r="A24" s="21" cm="1">
        <f t="array" ref="A24">1+COUNT(_xlfn.UNIQUE(_xlfn._xlws.FILTER($F$4:$F$127, $F$4:$F$127 &gt; F24)))</f>
        <v>1</v>
      </c>
      <c r="B24" s="2" t="s">
        <v>22</v>
      </c>
      <c r="C24" s="2"/>
      <c r="D24" s="2"/>
      <c r="E24" s="2"/>
      <c r="F24" s="15" t="e">
        <f t="shared" si="2"/>
        <v>#DIV/0!</v>
      </c>
      <c r="G24" s="19">
        <v>0.82</v>
      </c>
      <c r="H24" s="17" t="e">
        <f t="shared" si="3"/>
        <v>#DIV/0!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21" customHeight="1" x14ac:dyDescent="0.3">
      <c r="A25" s="21" cm="1">
        <f t="array" ref="A25">1+COUNT(_xlfn.UNIQUE(_xlfn._xlws.FILTER($F$4:$F$127, $F$4:$F$127 &gt; F25)))</f>
        <v>1</v>
      </c>
      <c r="B25" s="2" t="s">
        <v>70</v>
      </c>
      <c r="C25" s="2"/>
      <c r="D25" s="2"/>
      <c r="E25" s="2"/>
      <c r="F25" s="15" t="e">
        <f t="shared" si="2"/>
        <v>#DIV/0!</v>
      </c>
      <c r="G25" s="19">
        <v>0.8</v>
      </c>
      <c r="H25" s="17" t="e">
        <f t="shared" si="3"/>
        <v>#DIV/0!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21" customHeight="1" x14ac:dyDescent="0.3">
      <c r="A26" s="21" cm="1">
        <f t="array" ref="A26">1+COUNT(_xlfn.UNIQUE(_xlfn._xlws.FILTER($F$4:$F$127, $F$4:$F$127 &gt; F26)))</f>
        <v>1</v>
      </c>
      <c r="B26" s="2" t="s">
        <v>116</v>
      </c>
      <c r="C26" s="2"/>
      <c r="D26" s="2"/>
      <c r="E26" s="2"/>
      <c r="F26" s="15" t="e">
        <f t="shared" si="2"/>
        <v>#DIV/0!</v>
      </c>
      <c r="G26" s="19">
        <v>0.8</v>
      </c>
      <c r="H26" s="17" t="e">
        <f t="shared" si="3"/>
        <v>#DIV/0!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ht="21" customHeight="1" x14ac:dyDescent="0.3">
      <c r="A27" s="21" cm="1">
        <f t="array" ref="A27">1+COUNT(_xlfn.UNIQUE(_xlfn._xlws.FILTER($F$4:$F$127, $F$4:$F$127 &gt; F27)))</f>
        <v>1</v>
      </c>
      <c r="B27" s="2" t="s">
        <v>4</v>
      </c>
      <c r="C27" s="2"/>
      <c r="D27" s="2"/>
      <c r="E27" s="2"/>
      <c r="F27" s="15" t="e">
        <f t="shared" si="2"/>
        <v>#DIV/0!</v>
      </c>
      <c r="G27" s="19">
        <v>0.8</v>
      </c>
      <c r="H27" s="17" t="e">
        <f t="shared" si="3"/>
        <v>#DIV/0!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ht="21" customHeight="1" x14ac:dyDescent="0.3">
      <c r="A28" s="21" cm="1">
        <f t="array" ref="A28">1+COUNT(_xlfn.UNIQUE(_xlfn._xlws.FILTER($F$4:$F$127, $F$4:$F$127 &gt; F28)))</f>
        <v>1</v>
      </c>
      <c r="B28" s="2" t="s">
        <v>58</v>
      </c>
      <c r="C28" s="2"/>
      <c r="D28" s="2"/>
      <c r="E28" s="2"/>
      <c r="F28" s="15" t="e">
        <f t="shared" si="2"/>
        <v>#DIV/0!</v>
      </c>
      <c r="G28" s="19">
        <v>0.82</v>
      </c>
      <c r="H28" s="17" t="e">
        <f t="shared" si="3"/>
        <v>#DIV/0!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21" customHeight="1" x14ac:dyDescent="0.3">
      <c r="A29" s="21" cm="1">
        <f t="array" ref="A29">1+COUNT(_xlfn.UNIQUE(_xlfn._xlws.FILTER($F$4:$F$127, $F$4:$F$127 &gt; F29)))</f>
        <v>1</v>
      </c>
      <c r="B29" s="2" t="s">
        <v>36</v>
      </c>
      <c r="C29" s="2"/>
      <c r="D29" s="2"/>
      <c r="E29" s="2"/>
      <c r="F29" s="15" t="e">
        <f t="shared" si="2"/>
        <v>#DIV/0!</v>
      </c>
      <c r="G29" s="19">
        <v>0.8</v>
      </c>
      <c r="H29" s="17" t="e">
        <f t="shared" si="3"/>
        <v>#DIV/0!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ht="21" customHeight="1" x14ac:dyDescent="0.3">
      <c r="A30" s="21" cm="1">
        <f t="array" ref="A30">1+COUNT(_xlfn.UNIQUE(_xlfn._xlws.FILTER($F$4:$F$127, $F$4:$F$127 &gt; F30)))</f>
        <v>1</v>
      </c>
      <c r="B30" s="2" t="s">
        <v>78</v>
      </c>
      <c r="C30" s="2"/>
      <c r="D30" s="2"/>
      <c r="E30" s="2"/>
      <c r="F30" s="15" t="e">
        <f t="shared" si="2"/>
        <v>#DIV/0!</v>
      </c>
      <c r="G30" s="19">
        <v>0.8</v>
      </c>
      <c r="H30" s="17" t="e">
        <f t="shared" si="3"/>
        <v>#DIV/0!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ht="21" customHeight="1" x14ac:dyDescent="0.3">
      <c r="A31" s="21" cm="1">
        <f t="array" ref="A31">1+COUNT(_xlfn.UNIQUE(_xlfn._xlws.FILTER($F$4:$F$127, $F$4:$F$127 &gt; F31)))</f>
        <v>1</v>
      </c>
      <c r="B31" s="2" t="s">
        <v>119</v>
      </c>
      <c r="C31" s="2"/>
      <c r="D31" s="2"/>
      <c r="E31" s="2"/>
      <c r="F31" s="15" t="e">
        <f t="shared" si="2"/>
        <v>#DIV/0!</v>
      </c>
      <c r="G31" s="19">
        <v>0.8</v>
      </c>
      <c r="H31" s="17" t="e">
        <f t="shared" si="3"/>
        <v>#DIV/0!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ht="21" customHeight="1" x14ac:dyDescent="0.3">
      <c r="A32" s="21" cm="1">
        <f t="array" ref="A32">1+COUNT(_xlfn.UNIQUE(_xlfn._xlws.FILTER($F$4:$F$127, $F$4:$F$127 &gt; F32)))</f>
        <v>1</v>
      </c>
      <c r="B32" s="2" t="s">
        <v>68</v>
      </c>
      <c r="C32" s="2"/>
      <c r="D32" s="2"/>
      <c r="E32" s="2"/>
      <c r="F32" s="15" t="e">
        <f t="shared" si="2"/>
        <v>#DIV/0!</v>
      </c>
      <c r="G32" s="19">
        <v>0.8</v>
      </c>
      <c r="H32" s="17" t="e">
        <f t="shared" si="3"/>
        <v>#DIV/0!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ht="21" customHeight="1" x14ac:dyDescent="0.3">
      <c r="A33" s="21" cm="1">
        <f t="array" ref="A33">1+COUNT(_xlfn.UNIQUE(_xlfn._xlws.FILTER($F$4:$F$127, $F$4:$F$127 &gt; F33)))</f>
        <v>1</v>
      </c>
      <c r="B33" s="2" t="s">
        <v>0</v>
      </c>
      <c r="C33" s="2"/>
      <c r="D33" s="2"/>
      <c r="E33" s="2"/>
      <c r="F33" s="15" t="e">
        <f t="shared" si="2"/>
        <v>#DIV/0!</v>
      </c>
      <c r="G33" s="19">
        <v>0.8</v>
      </c>
      <c r="H33" s="17" t="e">
        <f t="shared" si="3"/>
        <v>#DIV/0!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21" customHeight="1" x14ac:dyDescent="0.3">
      <c r="A34" s="21" cm="1">
        <f t="array" ref="A34">1+COUNT(_xlfn.UNIQUE(_xlfn._xlws.FILTER($F$4:$F$127, $F$4:$F$127 &gt; F34)))</f>
        <v>1</v>
      </c>
      <c r="B34" s="2" t="s">
        <v>21</v>
      </c>
      <c r="C34" s="2"/>
      <c r="D34" s="2"/>
      <c r="E34" s="2"/>
      <c r="F34" s="15" t="e">
        <f t="shared" si="2"/>
        <v>#DIV/0!</v>
      </c>
      <c r="G34" s="19">
        <v>0.82</v>
      </c>
      <c r="H34" s="17" t="e">
        <f t="shared" si="3"/>
        <v>#DIV/0!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21" customHeight="1" x14ac:dyDescent="0.3">
      <c r="A35" s="21" cm="1">
        <f t="array" ref="A35">1+COUNT(_xlfn.UNIQUE(_xlfn._xlws.FILTER($F$4:$F$127, $F$4:$F$127 &gt; F35)))</f>
        <v>1</v>
      </c>
      <c r="B35" s="2" t="s">
        <v>102</v>
      </c>
      <c r="C35" s="2"/>
      <c r="D35" s="2"/>
      <c r="E35" s="2"/>
      <c r="F35" s="15" t="e">
        <f t="shared" si="2"/>
        <v>#DIV/0!</v>
      </c>
      <c r="G35" s="19">
        <v>0.8</v>
      </c>
      <c r="H35" s="17" t="e">
        <f t="shared" si="3"/>
        <v>#DIV/0!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21" customHeight="1" x14ac:dyDescent="0.3">
      <c r="A36" s="21" cm="1">
        <f t="array" ref="A36">1+COUNT(_xlfn.UNIQUE(_xlfn._xlws.FILTER($F$4:$F$127, $F$4:$F$127 &gt; F36)))</f>
        <v>1</v>
      </c>
      <c r="B36" s="2" t="s">
        <v>29</v>
      </c>
      <c r="C36" s="2"/>
      <c r="D36" s="2"/>
      <c r="E36" s="2"/>
      <c r="F36" s="15" t="e">
        <f t="shared" ref="F36:F67" si="4">E36/D36</f>
        <v>#DIV/0!</v>
      </c>
      <c r="G36" s="19">
        <v>0.8</v>
      </c>
      <c r="H36" s="17" t="e">
        <f t="shared" ref="H36:H67" si="5">F36/G36</f>
        <v>#DIV/0!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ht="21" customHeight="1" x14ac:dyDescent="0.3">
      <c r="A37" s="21" cm="1">
        <f t="array" ref="A37">1+COUNT(_xlfn.UNIQUE(_xlfn._xlws.FILTER($F$4:$F$127, $F$4:$F$127 &gt; F37)))</f>
        <v>1</v>
      </c>
      <c r="B37" s="2" t="s">
        <v>38</v>
      </c>
      <c r="C37" s="2"/>
      <c r="D37" s="2"/>
      <c r="E37" s="2"/>
      <c r="F37" s="15" t="e">
        <f t="shared" si="4"/>
        <v>#DIV/0!</v>
      </c>
      <c r="G37" s="19">
        <v>0.82</v>
      </c>
      <c r="H37" s="17" t="e">
        <f t="shared" si="5"/>
        <v>#DIV/0!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21" customHeight="1" x14ac:dyDescent="0.3">
      <c r="A38" s="21" cm="1">
        <f t="array" ref="A38">1+COUNT(_xlfn.UNIQUE(_xlfn._xlws.FILTER($F$4:$F$127, $F$4:$F$127 &gt; F38)))</f>
        <v>1</v>
      </c>
      <c r="B38" s="2" t="s">
        <v>69</v>
      </c>
      <c r="C38" s="2"/>
      <c r="D38" s="2"/>
      <c r="E38" s="2"/>
      <c r="F38" s="15" t="e">
        <f t="shared" si="4"/>
        <v>#DIV/0!</v>
      </c>
      <c r="G38" s="19">
        <v>0.8</v>
      </c>
      <c r="H38" s="17" t="e">
        <f t="shared" si="5"/>
        <v>#DIV/0!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21" customHeight="1" x14ac:dyDescent="0.3">
      <c r="A39" s="21" cm="1">
        <f t="array" ref="A39">1+COUNT(_xlfn.UNIQUE(_xlfn._xlws.FILTER($F$4:$F$127, $F$4:$F$127 &gt; F39)))</f>
        <v>1</v>
      </c>
      <c r="B39" s="2" t="s">
        <v>93</v>
      </c>
      <c r="C39" s="2"/>
      <c r="D39" s="2"/>
      <c r="E39" s="2"/>
      <c r="F39" s="15" t="e">
        <f t="shared" si="4"/>
        <v>#DIV/0!</v>
      </c>
      <c r="G39" s="19">
        <v>0.8</v>
      </c>
      <c r="H39" s="17" t="e">
        <f t="shared" si="5"/>
        <v>#DIV/0!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21" customHeight="1" x14ac:dyDescent="0.3">
      <c r="A40" s="21" cm="1">
        <f t="array" ref="A40">1+COUNT(_xlfn.UNIQUE(_xlfn._xlws.FILTER($F$4:$F$127, $F$4:$F$127 &gt; F40)))</f>
        <v>1</v>
      </c>
      <c r="B40" s="2" t="s">
        <v>65</v>
      </c>
      <c r="C40" s="2"/>
      <c r="D40" s="2"/>
      <c r="E40" s="2"/>
      <c r="F40" s="15" t="e">
        <f t="shared" si="4"/>
        <v>#DIV/0!</v>
      </c>
      <c r="G40" s="19">
        <v>0.8</v>
      </c>
      <c r="H40" s="17" t="e">
        <f t="shared" si="5"/>
        <v>#DIV/0!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21" customHeight="1" x14ac:dyDescent="0.3">
      <c r="A41" s="21" cm="1">
        <f t="array" ref="A41">1+COUNT(_xlfn.UNIQUE(_xlfn._xlws.FILTER($F$4:$F$127, $F$4:$F$127 &gt; F41)))</f>
        <v>1</v>
      </c>
      <c r="B41" s="2" t="s">
        <v>35</v>
      </c>
      <c r="C41" s="2"/>
      <c r="D41" s="2"/>
      <c r="E41" s="2"/>
      <c r="F41" s="15" t="e">
        <f t="shared" si="4"/>
        <v>#DIV/0!</v>
      </c>
      <c r="G41" s="19">
        <v>0.8</v>
      </c>
      <c r="H41" s="17" t="e">
        <f t="shared" si="5"/>
        <v>#DIV/0!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21" customHeight="1" x14ac:dyDescent="0.3">
      <c r="A42" s="21" cm="1">
        <f t="array" ref="A42">1+COUNT(_xlfn.UNIQUE(_xlfn._xlws.FILTER($F$4:$F$127, $F$4:$F$127 &gt; F42)))</f>
        <v>1</v>
      </c>
      <c r="B42" s="2" t="s">
        <v>39</v>
      </c>
      <c r="C42" s="2"/>
      <c r="D42" s="2"/>
      <c r="E42" s="2"/>
      <c r="F42" s="15" t="e">
        <f t="shared" si="4"/>
        <v>#DIV/0!</v>
      </c>
      <c r="G42" s="19">
        <v>0.8</v>
      </c>
      <c r="H42" s="17" t="e">
        <f t="shared" si="5"/>
        <v>#DIV/0!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21" customHeight="1" x14ac:dyDescent="0.3">
      <c r="A43" s="21" cm="1">
        <f t="array" ref="A43">1+COUNT(_xlfn.UNIQUE(_xlfn._xlws.FILTER($F$4:$F$127, $F$4:$F$127 &gt; F43)))</f>
        <v>1</v>
      </c>
      <c r="B43" s="2" t="s">
        <v>49</v>
      </c>
      <c r="C43" s="2"/>
      <c r="D43" s="2"/>
      <c r="E43" s="2"/>
      <c r="F43" s="15" t="e">
        <f t="shared" si="4"/>
        <v>#DIV/0!</v>
      </c>
      <c r="G43" s="19">
        <v>0.8</v>
      </c>
      <c r="H43" s="17" t="e">
        <f t="shared" si="5"/>
        <v>#DIV/0!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21" customHeight="1" x14ac:dyDescent="0.3">
      <c r="A44" s="21" cm="1">
        <f t="array" ref="A44">1+COUNT(_xlfn.UNIQUE(_xlfn._xlws.FILTER($F$4:$F$127, $F$4:$F$127 &gt; F44)))</f>
        <v>1</v>
      </c>
      <c r="B44" s="2" t="s">
        <v>71</v>
      </c>
      <c r="C44" s="2"/>
      <c r="D44" s="2"/>
      <c r="E44" s="2"/>
      <c r="F44" s="15" t="e">
        <f t="shared" si="4"/>
        <v>#DIV/0!</v>
      </c>
      <c r="G44" s="19">
        <v>0.8</v>
      </c>
      <c r="H44" s="17" t="e">
        <f t="shared" si="5"/>
        <v>#DIV/0!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21" customHeight="1" x14ac:dyDescent="0.3">
      <c r="A45" s="21" cm="1">
        <f t="array" ref="A45">1+COUNT(_xlfn.UNIQUE(_xlfn._xlws.FILTER($F$4:$F$127, $F$4:$F$127 &gt; F45)))</f>
        <v>1</v>
      </c>
      <c r="B45" s="2" t="s">
        <v>3</v>
      </c>
      <c r="C45" s="2"/>
      <c r="D45" s="2"/>
      <c r="E45" s="2"/>
      <c r="F45" s="15" t="e">
        <f t="shared" si="4"/>
        <v>#DIV/0!</v>
      </c>
      <c r="G45" s="19">
        <v>0.8</v>
      </c>
      <c r="H45" s="17" t="e">
        <f t="shared" si="5"/>
        <v>#DIV/0!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21" customHeight="1" x14ac:dyDescent="0.3">
      <c r="A46" s="21" cm="1">
        <f t="array" ref="A46">1+COUNT(_xlfn.UNIQUE(_xlfn._xlws.FILTER($F$4:$F$127, $F$4:$F$127 &gt; F46)))</f>
        <v>1</v>
      </c>
      <c r="B46" s="2" t="s">
        <v>56</v>
      </c>
      <c r="C46" s="2"/>
      <c r="D46" s="2"/>
      <c r="E46" s="2"/>
      <c r="F46" s="15" t="e">
        <f t="shared" si="4"/>
        <v>#DIV/0!</v>
      </c>
      <c r="G46" s="19">
        <v>0.8</v>
      </c>
      <c r="H46" s="17" t="e">
        <f t="shared" si="5"/>
        <v>#DIV/0!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21" customHeight="1" x14ac:dyDescent="0.3">
      <c r="A47" s="21" cm="1">
        <f t="array" ref="A47">1+COUNT(_xlfn.UNIQUE(_xlfn._xlws.FILTER($F$4:$F$127, $F$4:$F$127 &gt; F47)))</f>
        <v>1</v>
      </c>
      <c r="B47" s="2" t="s">
        <v>26</v>
      </c>
      <c r="C47" s="2"/>
      <c r="D47" s="2"/>
      <c r="E47" s="2"/>
      <c r="F47" s="15" t="e">
        <f t="shared" si="4"/>
        <v>#DIV/0!</v>
      </c>
      <c r="G47" s="19">
        <v>0.8</v>
      </c>
      <c r="H47" s="17" t="e">
        <f t="shared" si="5"/>
        <v>#DIV/0!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ht="21" customHeight="1" x14ac:dyDescent="0.3">
      <c r="A48" s="21" cm="1">
        <f t="array" ref="A48">1+COUNT(_xlfn.UNIQUE(_xlfn._xlws.FILTER($F$4:$F$127, $F$4:$F$127 &gt; F48)))</f>
        <v>1</v>
      </c>
      <c r="B48" s="2" t="s">
        <v>33</v>
      </c>
      <c r="C48" s="2"/>
      <c r="D48" s="2"/>
      <c r="E48" s="2"/>
      <c r="F48" s="15" t="e">
        <f t="shared" si="4"/>
        <v>#DIV/0!</v>
      </c>
      <c r="G48" s="19">
        <v>0.82</v>
      </c>
      <c r="H48" s="17" t="e">
        <f t="shared" si="5"/>
        <v>#DIV/0!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21" customHeight="1" x14ac:dyDescent="0.3">
      <c r="A49" s="21" cm="1">
        <f t="array" ref="A49">1+COUNT(_xlfn.UNIQUE(_xlfn._xlws.FILTER($F$4:$F$127, $F$4:$F$127 &gt; F49)))</f>
        <v>1</v>
      </c>
      <c r="B49" s="2" t="s">
        <v>89</v>
      </c>
      <c r="C49" s="2"/>
      <c r="D49" s="2"/>
      <c r="E49" s="2"/>
      <c r="F49" s="15" t="e">
        <f t="shared" si="4"/>
        <v>#DIV/0!</v>
      </c>
      <c r="G49" s="19">
        <v>0.8</v>
      </c>
      <c r="H49" s="17" t="e">
        <f t="shared" si="5"/>
        <v>#DIV/0!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21" customHeight="1" x14ac:dyDescent="0.3">
      <c r="A50" s="21" cm="1">
        <f t="array" ref="A50">1+COUNT(_xlfn.UNIQUE(_xlfn._xlws.FILTER($F$4:$F$127, $F$4:$F$127 &gt; F50)))</f>
        <v>1</v>
      </c>
      <c r="B50" s="2" t="s">
        <v>112</v>
      </c>
      <c r="C50" s="2"/>
      <c r="D50" s="2"/>
      <c r="E50" s="2"/>
      <c r="F50" s="15" t="e">
        <f t="shared" si="4"/>
        <v>#DIV/0!</v>
      </c>
      <c r="G50" s="19">
        <v>0.8</v>
      </c>
      <c r="H50" s="17" t="e">
        <f t="shared" si="5"/>
        <v>#DIV/0!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21" customHeight="1" x14ac:dyDescent="0.3">
      <c r="A51" s="21" cm="1">
        <f t="array" ref="A51">1+COUNT(_xlfn.UNIQUE(_xlfn._xlws.FILTER($F$4:$F$127, $F$4:$F$127 &gt; F51)))</f>
        <v>1</v>
      </c>
      <c r="B51" s="2" t="s">
        <v>123</v>
      </c>
      <c r="C51" s="2"/>
      <c r="D51" s="2"/>
      <c r="E51" s="2"/>
      <c r="F51" s="15" t="e">
        <f t="shared" si="4"/>
        <v>#DIV/0!</v>
      </c>
      <c r="G51" s="19">
        <v>0.8</v>
      </c>
      <c r="H51" s="17" t="e">
        <f t="shared" si="5"/>
        <v>#DIV/0!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21" customHeight="1" x14ac:dyDescent="0.3">
      <c r="A52" s="21" cm="1">
        <f t="array" ref="A52">1+COUNT(_xlfn.UNIQUE(_xlfn._xlws.FILTER($F$4:$F$127, $F$4:$F$127 &gt; F52)))</f>
        <v>1</v>
      </c>
      <c r="B52" s="2" t="s">
        <v>79</v>
      </c>
      <c r="C52" s="2"/>
      <c r="D52" s="2"/>
      <c r="E52" s="2"/>
      <c r="F52" s="15" t="e">
        <f t="shared" si="4"/>
        <v>#DIV/0!</v>
      </c>
      <c r="G52" s="19">
        <v>0.8</v>
      </c>
      <c r="H52" s="17" t="e">
        <f t="shared" si="5"/>
        <v>#DIV/0!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ht="21" customHeight="1" x14ac:dyDescent="0.3">
      <c r="A53" s="21" cm="1">
        <f t="array" ref="A53">1+COUNT(_xlfn.UNIQUE(_xlfn._xlws.FILTER($F$4:$F$127, $F$4:$F$127 &gt; F53)))</f>
        <v>1</v>
      </c>
      <c r="B53" s="2" t="s">
        <v>96</v>
      </c>
      <c r="C53" s="2"/>
      <c r="D53" s="2"/>
      <c r="E53" s="2"/>
      <c r="F53" s="15" t="e">
        <f t="shared" si="4"/>
        <v>#DIV/0!</v>
      </c>
      <c r="G53" s="19">
        <v>0.8</v>
      </c>
      <c r="H53" s="17" t="e">
        <f t="shared" si="5"/>
        <v>#DIV/0!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ht="21" customHeight="1" x14ac:dyDescent="0.3">
      <c r="A54" s="21" cm="1">
        <f t="array" ref="A54">1+COUNT(_xlfn.UNIQUE(_xlfn._xlws.FILTER($F$4:$F$127, $F$4:$F$127 &gt; F54)))</f>
        <v>1</v>
      </c>
      <c r="B54" s="117" t="s">
        <v>108</v>
      </c>
      <c r="C54" s="2"/>
      <c r="D54" s="2"/>
      <c r="E54" s="2"/>
      <c r="F54" s="15" t="e">
        <f t="shared" si="4"/>
        <v>#DIV/0!</v>
      </c>
      <c r="G54" s="19">
        <v>0.8</v>
      </c>
      <c r="H54" s="17" t="e">
        <f t="shared" si="5"/>
        <v>#DIV/0!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ht="21" customHeight="1" x14ac:dyDescent="0.3">
      <c r="A55" s="21" cm="1">
        <f t="array" ref="A55">1+COUNT(_xlfn.UNIQUE(_xlfn._xlws.FILTER($F$4:$F$127, $F$4:$F$127 &gt; F55)))</f>
        <v>1</v>
      </c>
      <c r="B55" s="2" t="s">
        <v>104</v>
      </c>
      <c r="C55" s="2"/>
      <c r="D55" s="2"/>
      <c r="E55" s="2"/>
      <c r="F55" s="15" t="e">
        <f t="shared" si="4"/>
        <v>#DIV/0!</v>
      </c>
      <c r="G55" s="19">
        <v>0.8</v>
      </c>
      <c r="H55" s="17" t="e">
        <f t="shared" si="5"/>
        <v>#DIV/0!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ht="21" customHeight="1" x14ac:dyDescent="0.3">
      <c r="A56" s="21" cm="1">
        <f t="array" ref="A56">1+COUNT(_xlfn.UNIQUE(_xlfn._xlws.FILTER($F$4:$F$127, $F$4:$F$127 &gt; F56)))</f>
        <v>1</v>
      </c>
      <c r="B56" s="2" t="s">
        <v>106</v>
      </c>
      <c r="C56" s="2"/>
      <c r="D56" s="2"/>
      <c r="E56" s="2"/>
      <c r="F56" s="15" t="e">
        <f t="shared" si="4"/>
        <v>#DIV/0!</v>
      </c>
      <c r="G56" s="19">
        <v>0.8</v>
      </c>
      <c r="H56" s="17" t="e">
        <f t="shared" si="5"/>
        <v>#DIV/0!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ht="21" customHeight="1" x14ac:dyDescent="0.3">
      <c r="A57" s="21" cm="1">
        <f t="array" ref="A57">1+COUNT(_xlfn.UNIQUE(_xlfn._xlws.FILTER($F$4:$F$127, $F$4:$F$127 &gt; F57)))</f>
        <v>1</v>
      </c>
      <c r="B57" s="2" t="s">
        <v>7</v>
      </c>
      <c r="C57" s="2"/>
      <c r="D57" s="2"/>
      <c r="E57" s="2"/>
      <c r="F57" s="15" t="e">
        <f t="shared" si="4"/>
        <v>#DIV/0!</v>
      </c>
      <c r="G57" s="19">
        <v>0.82</v>
      </c>
      <c r="H57" s="17" t="e">
        <f t="shared" si="5"/>
        <v>#DIV/0!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 ht="21" customHeight="1" x14ac:dyDescent="0.3">
      <c r="A58" s="21" cm="1">
        <f t="array" ref="A58">1+COUNT(_xlfn.UNIQUE(_xlfn._xlws.FILTER($F$4:$F$127, $F$4:$F$127 &gt; F58)))</f>
        <v>1</v>
      </c>
      <c r="B58" s="2" t="s">
        <v>95</v>
      </c>
      <c r="C58" s="2"/>
      <c r="D58" s="2"/>
      <c r="E58" s="2"/>
      <c r="F58" s="15" t="e">
        <f t="shared" si="4"/>
        <v>#DIV/0!</v>
      </c>
      <c r="G58" s="19">
        <v>0.8</v>
      </c>
      <c r="H58" s="17" t="e">
        <f t="shared" si="5"/>
        <v>#DIV/0!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 ht="21" customHeight="1" x14ac:dyDescent="0.3">
      <c r="A59" s="21" cm="1">
        <f t="array" ref="A59">1+COUNT(_xlfn.UNIQUE(_xlfn._xlws.FILTER($F$4:$F$127, $F$4:$F$127 &gt; F59)))</f>
        <v>1</v>
      </c>
      <c r="B59" s="2" t="s">
        <v>30</v>
      </c>
      <c r="C59" s="2"/>
      <c r="D59" s="2"/>
      <c r="E59" s="2"/>
      <c r="F59" s="15" t="e">
        <f t="shared" si="4"/>
        <v>#DIV/0!</v>
      </c>
      <c r="G59" s="19">
        <v>0.8</v>
      </c>
      <c r="H59" s="17" t="e">
        <f t="shared" si="5"/>
        <v>#DIV/0!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 ht="21" customHeight="1" x14ac:dyDescent="0.3">
      <c r="A60" s="21" cm="1">
        <f t="array" ref="A60">1+COUNT(_xlfn.UNIQUE(_xlfn._xlws.FILTER($F$4:$F$127, $F$4:$F$127 &gt; F60)))</f>
        <v>1</v>
      </c>
      <c r="B60" s="2" t="s">
        <v>80</v>
      </c>
      <c r="C60" s="2"/>
      <c r="D60" s="2"/>
      <c r="E60" s="2"/>
      <c r="F60" s="15" t="e">
        <f t="shared" si="4"/>
        <v>#DIV/0!</v>
      </c>
      <c r="G60" s="19">
        <v>0.8</v>
      </c>
      <c r="H60" s="17" t="e">
        <f t="shared" si="5"/>
        <v>#DIV/0!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 ht="21" customHeight="1" x14ac:dyDescent="0.3">
      <c r="A61" s="21" cm="1">
        <f t="array" ref="A61">1+COUNT(_xlfn.UNIQUE(_xlfn._xlws.FILTER($F$4:$F$127, $F$4:$F$127 &gt; F61)))</f>
        <v>1</v>
      </c>
      <c r="B61" s="2" t="s">
        <v>82</v>
      </c>
      <c r="C61" s="2"/>
      <c r="D61" s="2"/>
      <c r="E61" s="2"/>
      <c r="F61" s="15" t="e">
        <f t="shared" si="4"/>
        <v>#DIV/0!</v>
      </c>
      <c r="G61" s="19">
        <v>0.8</v>
      </c>
      <c r="H61" s="17" t="e">
        <f t="shared" si="5"/>
        <v>#DIV/0!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ht="21" customHeight="1" x14ac:dyDescent="0.3">
      <c r="A62" s="21" cm="1">
        <f t="array" ref="A62">1+COUNT(_xlfn.UNIQUE(_xlfn._xlws.FILTER($F$4:$F$127, $F$4:$F$127 &gt; F62)))</f>
        <v>1</v>
      </c>
      <c r="B62" s="2" t="s">
        <v>47</v>
      </c>
      <c r="C62" s="2"/>
      <c r="D62" s="2"/>
      <c r="E62" s="2"/>
      <c r="F62" s="15" t="e">
        <f t="shared" si="4"/>
        <v>#DIV/0!</v>
      </c>
      <c r="G62" s="19">
        <v>0.8</v>
      </c>
      <c r="H62" s="17" t="e">
        <f t="shared" si="5"/>
        <v>#DIV/0!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 ht="21" customHeight="1" x14ac:dyDescent="0.3">
      <c r="A63" s="21" cm="1">
        <f t="array" ref="A63">1+COUNT(_xlfn.UNIQUE(_xlfn._xlws.FILTER($F$4:$F$127, $F$4:$F$127 &gt; F63)))</f>
        <v>1</v>
      </c>
      <c r="B63" s="2" t="s">
        <v>28</v>
      </c>
      <c r="C63" s="2"/>
      <c r="D63" s="2"/>
      <c r="E63" s="2"/>
      <c r="F63" s="15" t="e">
        <f t="shared" si="4"/>
        <v>#DIV/0!</v>
      </c>
      <c r="G63" s="19">
        <v>0.82</v>
      </c>
      <c r="H63" s="17" t="e">
        <f t="shared" si="5"/>
        <v>#DIV/0!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 ht="21" customHeight="1" x14ac:dyDescent="0.3">
      <c r="A64" s="21" cm="1">
        <f t="array" ref="A64">1+COUNT(_xlfn.UNIQUE(_xlfn._xlws.FILTER($F$4:$F$127, $F$4:$F$127 &gt; F64)))</f>
        <v>1</v>
      </c>
      <c r="B64" s="2" t="s">
        <v>107</v>
      </c>
      <c r="C64" s="2"/>
      <c r="D64" s="2"/>
      <c r="E64" s="2"/>
      <c r="F64" s="15" t="e">
        <f t="shared" si="4"/>
        <v>#DIV/0!</v>
      </c>
      <c r="G64" s="19">
        <v>0.8</v>
      </c>
      <c r="H64" s="17" t="e">
        <f t="shared" si="5"/>
        <v>#DIV/0!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 ht="21" customHeight="1" x14ac:dyDescent="0.3">
      <c r="A65" s="21" cm="1">
        <f t="array" ref="A65">1+COUNT(_xlfn.UNIQUE(_xlfn._xlws.FILTER($F$4:$F$127, $F$4:$F$127 &gt; F65)))</f>
        <v>1</v>
      </c>
      <c r="B65" s="2" t="s">
        <v>105</v>
      </c>
      <c r="C65" s="2"/>
      <c r="D65" s="2"/>
      <c r="E65" s="2"/>
      <c r="F65" s="15" t="e">
        <f t="shared" si="4"/>
        <v>#DIV/0!</v>
      </c>
      <c r="G65" s="19">
        <v>0.8</v>
      </c>
      <c r="H65" s="17" t="e">
        <f t="shared" si="5"/>
        <v>#DIV/0!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ht="21" customHeight="1" x14ac:dyDescent="0.3">
      <c r="A66" s="21" cm="1">
        <f t="array" ref="A66">1+COUNT(_xlfn.UNIQUE(_xlfn._xlws.FILTER($F$4:$F$127, $F$4:$F$127 &gt; F66)))</f>
        <v>1</v>
      </c>
      <c r="B66" s="2" t="s">
        <v>97</v>
      </c>
      <c r="C66" s="2"/>
      <c r="D66" s="2"/>
      <c r="E66" s="2"/>
      <c r="F66" s="15" t="e">
        <f t="shared" si="4"/>
        <v>#DIV/0!</v>
      </c>
      <c r="G66" s="19">
        <v>0.8</v>
      </c>
      <c r="H66" s="17" t="e">
        <f t="shared" si="5"/>
        <v>#DIV/0!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 ht="21" customHeight="1" x14ac:dyDescent="0.3">
      <c r="A67" s="21" cm="1">
        <f t="array" ref="A67">1+COUNT(_xlfn.UNIQUE(_xlfn._xlws.FILTER($F$4:$F$127, $F$4:$F$127 &gt; F67)))</f>
        <v>1</v>
      </c>
      <c r="B67" s="2" t="s">
        <v>76</v>
      </c>
      <c r="C67" s="2"/>
      <c r="D67" s="2"/>
      <c r="E67" s="2"/>
      <c r="F67" s="15" t="e">
        <f t="shared" si="4"/>
        <v>#DIV/0!</v>
      </c>
      <c r="G67" s="19">
        <v>0.8</v>
      </c>
      <c r="H67" s="17" t="e">
        <f t="shared" si="5"/>
        <v>#DIV/0!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ht="21" customHeight="1" x14ac:dyDescent="0.3">
      <c r="A68" s="21" cm="1">
        <f t="array" ref="A68">1+COUNT(_xlfn.UNIQUE(_xlfn._xlws.FILTER($F$4:$F$127, $F$4:$F$127 &gt; F68)))</f>
        <v>1</v>
      </c>
      <c r="B68" s="2" t="s">
        <v>118</v>
      </c>
      <c r="C68" s="2"/>
      <c r="D68" s="2"/>
      <c r="E68" s="2"/>
      <c r="F68" s="15" t="e">
        <f t="shared" ref="F68:F99" si="6">E68/D68</f>
        <v>#DIV/0!</v>
      </c>
      <c r="G68" s="19">
        <v>0.8</v>
      </c>
      <c r="H68" s="17" t="e">
        <f t="shared" ref="H68:H99" si="7">F68/G68</f>
        <v>#DIV/0!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 ht="21" customHeight="1" x14ac:dyDescent="0.3">
      <c r="A69" s="21" cm="1">
        <f t="array" ref="A69">1+COUNT(_xlfn.UNIQUE(_xlfn._xlws.FILTER($F$4:$F$127, $F$4:$F$127 &gt; F69)))</f>
        <v>1</v>
      </c>
      <c r="B69" s="2" t="s">
        <v>43</v>
      </c>
      <c r="C69" s="2"/>
      <c r="D69" s="2"/>
      <c r="E69" s="2"/>
      <c r="F69" s="15" t="e">
        <f t="shared" si="6"/>
        <v>#DIV/0!</v>
      </c>
      <c r="G69" s="19">
        <v>0.8</v>
      </c>
      <c r="H69" s="17" t="e">
        <f t="shared" si="7"/>
        <v>#DIV/0!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 ht="21" customHeight="1" x14ac:dyDescent="0.3">
      <c r="A70" s="21" cm="1">
        <f t="array" ref="A70">1+COUNT(_xlfn.UNIQUE(_xlfn._xlws.FILTER($F$4:$F$127, $F$4:$F$127 &gt; F70)))</f>
        <v>1</v>
      </c>
      <c r="B70" s="2" t="s">
        <v>73</v>
      </c>
      <c r="C70" s="2"/>
      <c r="D70" s="2"/>
      <c r="E70" s="2"/>
      <c r="F70" s="15" t="e">
        <f t="shared" si="6"/>
        <v>#DIV/0!</v>
      </c>
      <c r="G70" s="19">
        <v>0.8</v>
      </c>
      <c r="H70" s="17" t="e">
        <f t="shared" si="7"/>
        <v>#DIV/0!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 ht="21" customHeight="1" x14ac:dyDescent="0.3">
      <c r="A71" s="21" cm="1">
        <f t="array" ref="A71">1+COUNT(_xlfn.UNIQUE(_xlfn._xlws.FILTER($F$4:$F$127, $F$4:$F$127 &gt; F71)))</f>
        <v>1</v>
      </c>
      <c r="B71" s="2" t="s">
        <v>23</v>
      </c>
      <c r="C71" s="2"/>
      <c r="D71" s="2"/>
      <c r="E71" s="2"/>
      <c r="F71" s="15" t="e">
        <f t="shared" si="6"/>
        <v>#DIV/0!</v>
      </c>
      <c r="G71" s="19">
        <v>0.8</v>
      </c>
      <c r="H71" s="17" t="e">
        <f t="shared" si="7"/>
        <v>#DIV/0!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 ht="21" customHeight="1" x14ac:dyDescent="0.3">
      <c r="A72" s="21" cm="1">
        <f t="array" ref="A72">1+COUNT(_xlfn.UNIQUE(_xlfn._xlws.FILTER($F$4:$F$127, $F$4:$F$127 &gt; F72)))</f>
        <v>1</v>
      </c>
      <c r="B72" s="117" t="s">
        <v>114</v>
      </c>
      <c r="C72" s="2"/>
      <c r="D72" s="2"/>
      <c r="E72" s="2"/>
      <c r="F72" s="15" t="e">
        <f t="shared" si="6"/>
        <v>#DIV/0!</v>
      </c>
      <c r="G72" s="19">
        <v>0.8</v>
      </c>
      <c r="H72" s="17" t="e">
        <f t="shared" si="7"/>
        <v>#DIV/0!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 ht="21" customHeight="1" x14ac:dyDescent="0.3">
      <c r="A73" s="21" cm="1">
        <f t="array" ref="A73">1+COUNT(_xlfn.UNIQUE(_xlfn._xlws.FILTER($F$4:$F$127, $F$4:$F$127 &gt; F73)))</f>
        <v>1</v>
      </c>
      <c r="B73" s="2" t="s">
        <v>85</v>
      </c>
      <c r="C73" s="2"/>
      <c r="D73" s="2"/>
      <c r="E73" s="2"/>
      <c r="F73" s="15" t="e">
        <f t="shared" si="6"/>
        <v>#DIV/0!</v>
      </c>
      <c r="G73" s="19">
        <v>0.8</v>
      </c>
      <c r="H73" s="17" t="e">
        <f t="shared" si="7"/>
        <v>#DIV/0!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 ht="21" customHeight="1" x14ac:dyDescent="0.3">
      <c r="A74" s="21" cm="1">
        <f t="array" ref="A74">1+COUNT(_xlfn.UNIQUE(_xlfn._xlws.FILTER($F$4:$F$127, $F$4:$F$127 &gt; F74)))</f>
        <v>1</v>
      </c>
      <c r="B74" s="2" t="s">
        <v>60</v>
      </c>
      <c r="C74" s="2"/>
      <c r="D74" s="2"/>
      <c r="E74" s="2"/>
      <c r="F74" s="15" t="e">
        <f t="shared" si="6"/>
        <v>#DIV/0!</v>
      </c>
      <c r="G74" s="19">
        <v>0.8</v>
      </c>
      <c r="H74" s="17" t="e">
        <f t="shared" si="7"/>
        <v>#DIV/0!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 ht="21" customHeight="1" x14ac:dyDescent="0.3">
      <c r="A75" s="21" cm="1">
        <f t="array" ref="A75">1+COUNT(_xlfn.UNIQUE(_xlfn._xlws.FILTER($F$4:$F$127, $F$4:$F$127 &gt; F75)))</f>
        <v>1</v>
      </c>
      <c r="B75" s="2" t="s">
        <v>44</v>
      </c>
      <c r="C75" s="2"/>
      <c r="D75" s="2"/>
      <c r="E75" s="2"/>
      <c r="F75" s="15" t="e">
        <f t="shared" si="6"/>
        <v>#DIV/0!</v>
      </c>
      <c r="G75" s="19">
        <v>0.8</v>
      </c>
      <c r="H75" s="17" t="e">
        <f t="shared" si="7"/>
        <v>#DIV/0!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 ht="21" customHeight="1" x14ac:dyDescent="0.3">
      <c r="A76" s="21" cm="1">
        <f t="array" ref="A76">1+COUNT(_xlfn.UNIQUE(_xlfn._xlws.FILTER($F$4:$F$127, $F$4:$F$127 &gt; F76)))</f>
        <v>1</v>
      </c>
      <c r="B76" s="2" t="s">
        <v>91</v>
      </c>
      <c r="C76" s="2"/>
      <c r="D76" s="2"/>
      <c r="E76" s="2"/>
      <c r="F76" s="15" t="e">
        <f t="shared" si="6"/>
        <v>#DIV/0!</v>
      </c>
      <c r="G76" s="19">
        <v>0.8</v>
      </c>
      <c r="H76" s="17" t="e">
        <f t="shared" si="7"/>
        <v>#DIV/0!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 ht="21" customHeight="1" x14ac:dyDescent="0.3">
      <c r="A77" s="21" cm="1">
        <f t="array" ref="A77">1+COUNT(_xlfn.UNIQUE(_xlfn._xlws.FILTER($F$4:$F$127, $F$4:$F$127 &gt; F77)))</f>
        <v>1</v>
      </c>
      <c r="B77" s="2" t="s">
        <v>10</v>
      </c>
      <c r="C77" s="2"/>
      <c r="D77" s="2"/>
      <c r="E77" s="2"/>
      <c r="F77" s="15" t="e">
        <f t="shared" si="6"/>
        <v>#DIV/0!</v>
      </c>
      <c r="G77" s="19">
        <v>0.82</v>
      </c>
      <c r="H77" s="17" t="e">
        <f t="shared" si="7"/>
        <v>#DIV/0!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 ht="21" customHeight="1" x14ac:dyDescent="0.3">
      <c r="A78" s="21" cm="1">
        <f t="array" ref="A78">1+COUNT(_xlfn.UNIQUE(_xlfn._xlws.FILTER($F$4:$F$127, $F$4:$F$127 &gt; F78)))</f>
        <v>1</v>
      </c>
      <c r="B78" s="2" t="s">
        <v>6</v>
      </c>
      <c r="C78" s="2"/>
      <c r="D78" s="2"/>
      <c r="E78" s="2"/>
      <c r="F78" s="15" t="e">
        <f t="shared" si="6"/>
        <v>#DIV/0!</v>
      </c>
      <c r="G78" s="19">
        <v>0.82</v>
      </c>
      <c r="H78" s="17" t="e">
        <f t="shared" si="7"/>
        <v>#DIV/0!</v>
      </c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 ht="21" customHeight="1" x14ac:dyDescent="0.3">
      <c r="A79" s="21" cm="1">
        <f t="array" ref="A79">1+COUNT(_xlfn.UNIQUE(_xlfn._xlws.FILTER($F$4:$F$127, $F$4:$F$127 &gt; F79)))</f>
        <v>1</v>
      </c>
      <c r="B79" s="2" t="s">
        <v>67</v>
      </c>
      <c r="C79" s="2"/>
      <c r="D79" s="2"/>
      <c r="E79" s="2"/>
      <c r="F79" s="15" t="e">
        <f t="shared" si="6"/>
        <v>#DIV/0!</v>
      </c>
      <c r="G79" s="19">
        <v>0.8</v>
      </c>
      <c r="H79" s="17" t="e">
        <f t="shared" si="7"/>
        <v>#DIV/0!</v>
      </c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ht="21" customHeight="1" x14ac:dyDescent="0.3">
      <c r="A80" s="21" cm="1">
        <f t="array" ref="A80">1+COUNT(_xlfn.UNIQUE(_xlfn._xlws.FILTER($F$4:$F$127, $F$4:$F$127 &gt; F80)))</f>
        <v>1</v>
      </c>
      <c r="B80" s="123" t="s">
        <v>109</v>
      </c>
      <c r="C80" s="2"/>
      <c r="D80" s="2"/>
      <c r="E80" s="2"/>
      <c r="F80" s="15" t="e">
        <f t="shared" si="6"/>
        <v>#DIV/0!</v>
      </c>
      <c r="G80" s="19">
        <v>0.8</v>
      </c>
      <c r="H80" s="17" t="e">
        <f t="shared" si="7"/>
        <v>#DIV/0!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 ht="21" customHeight="1" x14ac:dyDescent="0.3">
      <c r="A81" s="21" cm="1">
        <f t="array" ref="A81">1+COUNT(_xlfn.UNIQUE(_xlfn._xlws.FILTER($F$4:$F$127, $F$4:$F$127 &gt; F81)))</f>
        <v>1</v>
      </c>
      <c r="B81" s="2" t="s">
        <v>32</v>
      </c>
      <c r="C81" s="2"/>
      <c r="D81" s="2"/>
      <c r="E81" s="2"/>
      <c r="F81" s="15" t="e">
        <f t="shared" si="6"/>
        <v>#DIV/0!</v>
      </c>
      <c r="G81" s="19">
        <v>0.82</v>
      </c>
      <c r="H81" s="17" t="e">
        <f t="shared" si="7"/>
        <v>#DIV/0!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 ht="21" customHeight="1" x14ac:dyDescent="0.3">
      <c r="A82" s="21" cm="1">
        <f t="array" ref="A82">1+COUNT(_xlfn.UNIQUE(_xlfn._xlws.FILTER($F$4:$F$127, $F$4:$F$127 &gt; F82)))</f>
        <v>1</v>
      </c>
      <c r="B82" s="2" t="s">
        <v>54</v>
      </c>
      <c r="C82" s="2"/>
      <c r="D82" s="2"/>
      <c r="E82" s="2"/>
      <c r="F82" s="15" t="e">
        <f t="shared" si="6"/>
        <v>#DIV/0!</v>
      </c>
      <c r="G82" s="19">
        <v>0.8</v>
      </c>
      <c r="H82" s="17" t="e">
        <f t="shared" si="7"/>
        <v>#DIV/0!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 ht="21" customHeight="1" x14ac:dyDescent="0.3">
      <c r="A83" s="21" cm="1">
        <f t="array" ref="A83">1+COUNT(_xlfn.UNIQUE(_xlfn._xlws.FILTER($F$4:$F$127, $F$4:$F$127 &gt; F83)))</f>
        <v>1</v>
      </c>
      <c r="B83" s="2" t="s">
        <v>62</v>
      </c>
      <c r="C83" s="2"/>
      <c r="D83" s="2"/>
      <c r="E83" s="2"/>
      <c r="F83" s="15" t="e">
        <f t="shared" si="6"/>
        <v>#DIV/0!</v>
      </c>
      <c r="G83" s="19">
        <v>0.8</v>
      </c>
      <c r="H83" s="17" t="e">
        <f t="shared" si="7"/>
        <v>#DIV/0!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 ht="21" customHeight="1" x14ac:dyDescent="0.3">
      <c r="A84" s="21" cm="1">
        <f t="array" ref="A84">1+COUNT(_xlfn.UNIQUE(_xlfn._xlws.FILTER($F$4:$F$127, $F$4:$F$127 &gt; F84)))</f>
        <v>1</v>
      </c>
      <c r="B84" s="2" t="s">
        <v>74</v>
      </c>
      <c r="C84" s="2"/>
      <c r="D84" s="2"/>
      <c r="E84" s="2"/>
      <c r="F84" s="15" t="e">
        <f t="shared" si="6"/>
        <v>#DIV/0!</v>
      </c>
      <c r="G84" s="19">
        <v>0.8</v>
      </c>
      <c r="H84" s="17" t="e">
        <f t="shared" si="7"/>
        <v>#DIV/0!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1:25" ht="21" customHeight="1" x14ac:dyDescent="0.3">
      <c r="A85" s="21" cm="1">
        <f t="array" ref="A85">1+COUNT(_xlfn.UNIQUE(_xlfn._xlws.FILTER($F$4:$F$127, $F$4:$F$127 &gt; F85)))</f>
        <v>1</v>
      </c>
      <c r="B85" s="2" t="s">
        <v>42</v>
      </c>
      <c r="C85" s="2"/>
      <c r="D85" s="2"/>
      <c r="E85" s="2"/>
      <c r="F85" s="15" t="e">
        <f t="shared" si="6"/>
        <v>#DIV/0!</v>
      </c>
      <c r="G85" s="19">
        <v>0.8</v>
      </c>
      <c r="H85" s="17" t="e">
        <f t="shared" si="7"/>
        <v>#DIV/0!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 ht="21" customHeight="1" x14ac:dyDescent="0.3">
      <c r="A86" s="21" cm="1">
        <f t="array" ref="A86">1+COUNT(_xlfn.UNIQUE(_xlfn._xlws.FILTER($F$4:$F$127, $F$4:$F$127 &gt; F86)))</f>
        <v>1</v>
      </c>
      <c r="B86" s="2" t="s">
        <v>31</v>
      </c>
      <c r="C86" s="2"/>
      <c r="D86" s="2"/>
      <c r="E86" s="2"/>
      <c r="F86" s="15" t="e">
        <f t="shared" si="6"/>
        <v>#DIV/0!</v>
      </c>
      <c r="G86" s="19">
        <v>0.8</v>
      </c>
      <c r="H86" s="17" t="e">
        <f t="shared" si="7"/>
        <v>#DIV/0!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 ht="21" customHeight="1" x14ac:dyDescent="0.3">
      <c r="A87" s="21" cm="1">
        <f t="array" ref="A87">1+COUNT(_xlfn.UNIQUE(_xlfn._xlws.FILTER($F$4:$F$127, $F$4:$F$127 &gt; F87)))</f>
        <v>1</v>
      </c>
      <c r="B87" s="2" t="s">
        <v>16</v>
      </c>
      <c r="C87" s="2"/>
      <c r="D87" s="2"/>
      <c r="E87" s="2"/>
      <c r="F87" s="15" t="e">
        <f t="shared" si="6"/>
        <v>#DIV/0!</v>
      </c>
      <c r="G87" s="19">
        <v>0.8</v>
      </c>
      <c r="H87" s="17" t="e">
        <f t="shared" si="7"/>
        <v>#DIV/0!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 ht="21" customHeight="1" x14ac:dyDescent="0.3">
      <c r="A88" s="21" cm="1">
        <f t="array" ref="A88">1+COUNT(_xlfn.UNIQUE(_xlfn._xlws.FILTER($F$4:$F$127, $F$4:$F$127 &gt; F88)))</f>
        <v>1</v>
      </c>
      <c r="B88" s="2" t="s">
        <v>72</v>
      </c>
      <c r="C88" s="2"/>
      <c r="D88" s="2"/>
      <c r="E88" s="2"/>
      <c r="F88" s="15" t="e">
        <f t="shared" si="6"/>
        <v>#DIV/0!</v>
      </c>
      <c r="G88" s="19">
        <v>0.8</v>
      </c>
      <c r="H88" s="17" t="e">
        <f t="shared" si="7"/>
        <v>#DIV/0!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ht="21" customHeight="1" x14ac:dyDescent="0.3">
      <c r="A89" s="21" cm="1">
        <f t="array" ref="A89">1+COUNT(_xlfn.UNIQUE(_xlfn._xlws.FILTER($F$4:$F$127, $F$4:$F$127 &gt; F89)))</f>
        <v>1</v>
      </c>
      <c r="B89" s="2" t="s">
        <v>63</v>
      </c>
      <c r="C89" s="2"/>
      <c r="D89" s="2"/>
      <c r="E89" s="2"/>
      <c r="F89" s="15" t="e">
        <f t="shared" si="6"/>
        <v>#DIV/0!</v>
      </c>
      <c r="G89" s="19">
        <v>0.8</v>
      </c>
      <c r="H89" s="17" t="e">
        <f t="shared" si="7"/>
        <v>#DIV/0!</v>
      </c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ht="21" customHeight="1" x14ac:dyDescent="0.3">
      <c r="A90" s="21" cm="1">
        <f t="array" ref="A90">1+COUNT(_xlfn.UNIQUE(_xlfn._xlws.FILTER($F$4:$F$127, $F$4:$F$127 &gt; F90)))</f>
        <v>1</v>
      </c>
      <c r="B90" s="2" t="s">
        <v>52</v>
      </c>
      <c r="C90" s="2"/>
      <c r="D90" s="2"/>
      <c r="E90" s="2"/>
      <c r="F90" s="15" t="e">
        <f t="shared" si="6"/>
        <v>#DIV/0!</v>
      </c>
      <c r="G90" s="19">
        <v>0.8</v>
      </c>
      <c r="H90" s="17" t="e">
        <f t="shared" si="7"/>
        <v>#DIV/0!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5" ht="21" customHeight="1" x14ac:dyDescent="0.3">
      <c r="A91" s="21" cm="1">
        <f t="array" ref="A91">1+COUNT(_xlfn.UNIQUE(_xlfn._xlws.FILTER($F$4:$F$127, $F$4:$F$127 &gt; F91)))</f>
        <v>1</v>
      </c>
      <c r="B91" s="2" t="s">
        <v>9</v>
      </c>
      <c r="C91" s="2"/>
      <c r="D91" s="2"/>
      <c r="E91" s="2"/>
      <c r="F91" s="15" t="e">
        <f t="shared" si="6"/>
        <v>#DIV/0!</v>
      </c>
      <c r="G91" s="19">
        <v>0.8</v>
      </c>
      <c r="H91" s="17" t="e">
        <f t="shared" si="7"/>
        <v>#DIV/0!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spans="1:25" ht="21" customHeight="1" x14ac:dyDescent="0.3">
      <c r="A92" s="21" cm="1">
        <f t="array" ref="A92">1+COUNT(_xlfn.UNIQUE(_xlfn._xlws.FILTER($F$4:$F$127, $F$4:$F$127 &gt; F92)))</f>
        <v>1</v>
      </c>
      <c r="B92" s="2" t="s">
        <v>83</v>
      </c>
      <c r="C92" s="2"/>
      <c r="D92" s="2"/>
      <c r="E92" s="2"/>
      <c r="F92" s="15" t="e">
        <f t="shared" si="6"/>
        <v>#DIV/0!</v>
      </c>
      <c r="G92" s="19">
        <v>0.8</v>
      </c>
      <c r="H92" s="17" t="e">
        <f t="shared" si="7"/>
        <v>#DIV/0!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 ht="21" customHeight="1" x14ac:dyDescent="0.3">
      <c r="A93" s="21" cm="1">
        <f t="array" ref="A93">1+COUNT(_xlfn.UNIQUE(_xlfn._xlws.FILTER($F$4:$F$127, $F$4:$F$127 &gt; F93)))</f>
        <v>1</v>
      </c>
      <c r="B93" s="2" t="s">
        <v>117</v>
      </c>
      <c r="C93" s="2"/>
      <c r="D93" s="2"/>
      <c r="E93" s="2"/>
      <c r="F93" s="15" t="e">
        <f t="shared" si="6"/>
        <v>#DIV/0!</v>
      </c>
      <c r="G93" s="19">
        <v>0.8</v>
      </c>
      <c r="H93" s="17" t="e">
        <f t="shared" si="7"/>
        <v>#DIV/0!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 ht="21" customHeight="1" x14ac:dyDescent="0.3">
      <c r="A94" s="21" cm="1">
        <f t="array" ref="A94">1+COUNT(_xlfn.UNIQUE(_xlfn._xlws.FILTER($F$4:$F$127, $F$4:$F$127 &gt; F94)))</f>
        <v>1</v>
      </c>
      <c r="B94" s="2" t="s">
        <v>45</v>
      </c>
      <c r="C94" s="2"/>
      <c r="D94" s="2"/>
      <c r="E94" s="2"/>
      <c r="F94" s="15" t="e">
        <f t="shared" si="6"/>
        <v>#DIV/0!</v>
      </c>
      <c r="G94" s="19">
        <v>0.8</v>
      </c>
      <c r="H94" s="17" t="e">
        <f t="shared" si="7"/>
        <v>#DIV/0!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1:25" ht="21" customHeight="1" x14ac:dyDescent="0.3">
      <c r="A95" s="21" cm="1">
        <f t="array" ref="A95">1+COUNT(_xlfn.UNIQUE(_xlfn._xlws.FILTER($F$4:$F$127, $F$4:$F$127 &gt; F95)))</f>
        <v>1</v>
      </c>
      <c r="B95" s="2" t="s">
        <v>51</v>
      </c>
      <c r="C95" s="2"/>
      <c r="D95" s="2"/>
      <c r="E95" s="2"/>
      <c r="F95" s="15" t="e">
        <f t="shared" si="6"/>
        <v>#DIV/0!</v>
      </c>
      <c r="G95" s="19">
        <v>0.8</v>
      </c>
      <c r="H95" s="17" t="e">
        <f t="shared" si="7"/>
        <v>#DIV/0!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 ht="21" customHeight="1" x14ac:dyDescent="0.3">
      <c r="A96" s="21" cm="1">
        <f t="array" ref="A96">1+COUNT(_xlfn.UNIQUE(_xlfn._xlws.FILTER($F$4:$F$127, $F$4:$F$127 &gt; F96)))</f>
        <v>1</v>
      </c>
      <c r="B96" s="2" t="s">
        <v>8</v>
      </c>
      <c r="C96" s="2"/>
      <c r="D96" s="2"/>
      <c r="E96" s="2"/>
      <c r="F96" s="15" t="e">
        <f t="shared" si="6"/>
        <v>#DIV/0!</v>
      </c>
      <c r="G96" s="19">
        <v>0.8</v>
      </c>
      <c r="H96" s="17" t="e">
        <f t="shared" si="7"/>
        <v>#DIV/0!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spans="1:25" ht="21" customHeight="1" x14ac:dyDescent="0.3">
      <c r="A97" s="21" cm="1">
        <f t="array" ref="A97">1+COUNT(_xlfn.UNIQUE(_xlfn._xlws.FILTER($F$4:$F$127, $F$4:$F$127 &gt; F97)))</f>
        <v>1</v>
      </c>
      <c r="B97" s="2" t="s">
        <v>86</v>
      </c>
      <c r="C97" s="2"/>
      <c r="D97" s="2"/>
      <c r="E97" s="2"/>
      <c r="F97" s="15" t="e">
        <f t="shared" si="6"/>
        <v>#DIV/0!</v>
      </c>
      <c r="G97" s="19">
        <v>0.8</v>
      </c>
      <c r="H97" s="17" t="e">
        <f t="shared" si="7"/>
        <v>#DIV/0!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1:25" ht="21" customHeight="1" x14ac:dyDescent="0.3">
      <c r="A98" s="21" cm="1">
        <f t="array" ref="A98">1+COUNT(_xlfn.UNIQUE(_xlfn._xlws.FILTER($F$4:$F$127, $F$4:$F$127 &gt; F98)))</f>
        <v>1</v>
      </c>
      <c r="B98" s="2" t="s">
        <v>100</v>
      </c>
      <c r="C98" s="2"/>
      <c r="D98" s="2"/>
      <c r="E98" s="2"/>
      <c r="F98" s="15" t="e">
        <f t="shared" si="6"/>
        <v>#DIV/0!</v>
      </c>
      <c r="G98" s="19">
        <v>0.8</v>
      </c>
      <c r="H98" s="17" t="e">
        <f t="shared" si="7"/>
        <v>#DIV/0!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 ht="21" customHeight="1" x14ac:dyDescent="0.3">
      <c r="A99" s="21" cm="1">
        <f t="array" ref="A99">1+COUNT(_xlfn.UNIQUE(_xlfn._xlws.FILTER($F$4:$F$127, $F$4:$F$127 &gt; F99)))</f>
        <v>1</v>
      </c>
      <c r="B99" s="2" t="s">
        <v>122</v>
      </c>
      <c r="C99" s="2"/>
      <c r="D99" s="2"/>
      <c r="E99" s="2"/>
      <c r="F99" s="15" t="e">
        <f t="shared" si="6"/>
        <v>#DIV/0!</v>
      </c>
      <c r="G99" s="19">
        <v>0.8</v>
      </c>
      <c r="H99" s="17" t="e">
        <f t="shared" si="7"/>
        <v>#DIV/0!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 ht="21" customHeight="1" x14ac:dyDescent="0.3">
      <c r="A100" s="21" cm="1">
        <f t="array" ref="A100">1+COUNT(_xlfn.UNIQUE(_xlfn._xlws.FILTER($F$4:$F$127, $F$4:$F$127 &gt; F100)))</f>
        <v>1</v>
      </c>
      <c r="B100" s="2" t="s">
        <v>103</v>
      </c>
      <c r="C100" s="2"/>
      <c r="D100" s="2"/>
      <c r="E100" s="2"/>
      <c r="F100" s="15" t="e">
        <f t="shared" ref="F100:F131" si="8">E100/D100</f>
        <v>#DIV/0!</v>
      </c>
      <c r="G100" s="19">
        <v>0.8</v>
      </c>
      <c r="H100" s="17" t="e">
        <f t="shared" ref="H100:H131" si="9">F100/G100</f>
        <v>#DIV/0!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 ht="21" customHeight="1" x14ac:dyDescent="0.3">
      <c r="A101" s="21" cm="1">
        <f t="array" ref="A101">1+COUNT(_xlfn.UNIQUE(_xlfn._xlws.FILTER($F$4:$F$127, $F$4:$F$127 &gt; F101)))</f>
        <v>1</v>
      </c>
      <c r="B101" s="2" t="s">
        <v>115</v>
      </c>
      <c r="C101" s="2"/>
      <c r="D101" s="2"/>
      <c r="E101" s="2"/>
      <c r="F101" s="15" t="e">
        <f t="shared" si="8"/>
        <v>#DIV/0!</v>
      </c>
      <c r="G101" s="19">
        <v>0.8</v>
      </c>
      <c r="H101" s="17" t="e">
        <f t="shared" si="9"/>
        <v>#DIV/0!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 ht="21" customHeight="1" x14ac:dyDescent="0.3">
      <c r="A102" s="21" cm="1">
        <f t="array" ref="A102">1+COUNT(_xlfn.UNIQUE(_xlfn._xlws.FILTER($F$4:$F$127, $F$4:$F$127 &gt; F102)))</f>
        <v>1</v>
      </c>
      <c r="B102" s="2" t="s">
        <v>14</v>
      </c>
      <c r="C102" s="2"/>
      <c r="D102" s="2"/>
      <c r="E102" s="2"/>
      <c r="F102" s="15" t="e">
        <f t="shared" si="8"/>
        <v>#DIV/0!</v>
      </c>
      <c r="G102" s="19">
        <v>0.8</v>
      </c>
      <c r="H102" s="17" t="e">
        <f t="shared" si="9"/>
        <v>#DIV/0!</v>
      </c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ht="21" customHeight="1" x14ac:dyDescent="0.3">
      <c r="A103" s="21" cm="1">
        <f t="array" ref="A103">1+COUNT(_xlfn.UNIQUE(_xlfn._xlws.FILTER($F$4:$F$127, $F$4:$F$127 &gt; F103)))</f>
        <v>1</v>
      </c>
      <c r="B103" s="2" t="s">
        <v>90</v>
      </c>
      <c r="C103" s="2"/>
      <c r="D103" s="2"/>
      <c r="E103" s="2"/>
      <c r="F103" s="15" t="e">
        <f t="shared" si="8"/>
        <v>#DIV/0!</v>
      </c>
      <c r="G103" s="19">
        <v>0.8</v>
      </c>
      <c r="H103" s="17" t="e">
        <f t="shared" si="9"/>
        <v>#DIV/0!</v>
      </c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 ht="21" customHeight="1" x14ac:dyDescent="0.3">
      <c r="A104" s="21" cm="1">
        <f t="array" ref="A104">1+COUNT(_xlfn.UNIQUE(_xlfn._xlws.FILTER($F$4:$F$127, $F$4:$F$127 &gt; F104)))</f>
        <v>1</v>
      </c>
      <c r="B104" s="2" t="s">
        <v>84</v>
      </c>
      <c r="C104" s="2"/>
      <c r="D104" s="2"/>
      <c r="E104" s="2"/>
      <c r="F104" s="15" t="e">
        <f t="shared" si="8"/>
        <v>#DIV/0!</v>
      </c>
      <c r="G104" s="19">
        <v>0.8</v>
      </c>
      <c r="H104" s="17" t="e">
        <f t="shared" si="9"/>
        <v>#DIV/0!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ht="21" customHeight="1" x14ac:dyDescent="0.3">
      <c r="A105" s="21" cm="1">
        <f t="array" ref="A105">1+COUNT(_xlfn.UNIQUE(_xlfn._xlws.FILTER($F$4:$F$127, $F$4:$F$127 &gt; F105)))</f>
        <v>1</v>
      </c>
      <c r="B105" s="2" t="s">
        <v>101</v>
      </c>
      <c r="C105" s="2"/>
      <c r="D105" s="2"/>
      <c r="E105" s="2"/>
      <c r="F105" s="15" t="e">
        <f t="shared" si="8"/>
        <v>#DIV/0!</v>
      </c>
      <c r="G105" s="19">
        <v>0.8</v>
      </c>
      <c r="H105" s="17" t="e">
        <f t="shared" si="9"/>
        <v>#DIV/0!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 ht="21" customHeight="1" x14ac:dyDescent="0.3">
      <c r="A106" s="21" cm="1">
        <f t="array" ref="A106">1+COUNT(_xlfn.UNIQUE(_xlfn._xlws.FILTER($F$4:$F$127, $F$4:$F$127 &gt; F106)))</f>
        <v>1</v>
      </c>
      <c r="B106" s="2" t="s">
        <v>55</v>
      </c>
      <c r="C106" s="2"/>
      <c r="D106" s="2"/>
      <c r="E106" s="2"/>
      <c r="F106" s="15" t="e">
        <f t="shared" si="8"/>
        <v>#DIV/0!</v>
      </c>
      <c r="G106" s="19">
        <v>0.8</v>
      </c>
      <c r="H106" s="17" t="e">
        <f t="shared" si="9"/>
        <v>#DIV/0!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 ht="21" customHeight="1" x14ac:dyDescent="0.3">
      <c r="A107" s="21" cm="1">
        <f t="array" ref="A107">1+COUNT(_xlfn.UNIQUE(_xlfn._xlws.FILTER($F$4:$F$127, $F$4:$F$127 &gt; F107)))</f>
        <v>1</v>
      </c>
      <c r="B107" s="2" t="s">
        <v>48</v>
      </c>
      <c r="C107" s="2"/>
      <c r="D107" s="2"/>
      <c r="E107" s="2"/>
      <c r="F107" s="15" t="e">
        <f t="shared" si="8"/>
        <v>#DIV/0!</v>
      </c>
      <c r="G107" s="19">
        <v>0.8</v>
      </c>
      <c r="H107" s="17" t="e">
        <f t="shared" si="9"/>
        <v>#DIV/0!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 ht="21" customHeight="1" x14ac:dyDescent="0.3">
      <c r="A108" s="21" cm="1">
        <f t="array" ref="A108">1+COUNT(_xlfn.UNIQUE(_xlfn._xlws.FILTER($F$4:$F$127, $F$4:$F$127 &gt; F108)))</f>
        <v>1</v>
      </c>
      <c r="B108" s="2" t="s">
        <v>12</v>
      </c>
      <c r="C108" s="2"/>
      <c r="D108" s="2"/>
      <c r="E108" s="2"/>
      <c r="F108" s="15" t="e">
        <f t="shared" si="8"/>
        <v>#DIV/0!</v>
      </c>
      <c r="G108" s="19">
        <v>0.8</v>
      </c>
      <c r="H108" s="17" t="e">
        <f t="shared" si="9"/>
        <v>#DIV/0!</v>
      </c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ht="21" customHeight="1" x14ac:dyDescent="0.3">
      <c r="A109" s="21" cm="1">
        <f t="array" ref="A109">1+COUNT(_xlfn.UNIQUE(_xlfn._xlws.FILTER($F$4:$F$127, $F$4:$F$127 &gt; F109)))</f>
        <v>1</v>
      </c>
      <c r="B109" s="2" t="s">
        <v>34</v>
      </c>
      <c r="C109" s="2"/>
      <c r="D109" s="2"/>
      <c r="E109" s="2"/>
      <c r="F109" s="15" t="e">
        <f t="shared" si="8"/>
        <v>#DIV/0!</v>
      </c>
      <c r="G109" s="19">
        <v>0.8</v>
      </c>
      <c r="H109" s="17" t="e">
        <f t="shared" si="9"/>
        <v>#DIV/0!</v>
      </c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ht="21" customHeight="1" x14ac:dyDescent="0.3">
      <c r="A110" s="21" cm="1">
        <f t="array" ref="A110">1+COUNT(_xlfn.UNIQUE(_xlfn._xlws.FILTER($F$4:$F$127, $F$4:$F$127 &gt; F110)))</f>
        <v>1</v>
      </c>
      <c r="B110" s="2" t="s">
        <v>120</v>
      </c>
      <c r="C110" s="2"/>
      <c r="D110" s="2"/>
      <c r="E110" s="2"/>
      <c r="F110" s="15" t="e">
        <f t="shared" si="8"/>
        <v>#DIV/0!</v>
      </c>
      <c r="G110" s="19">
        <v>0.8</v>
      </c>
      <c r="H110" s="17" t="e">
        <f t="shared" si="9"/>
        <v>#DIV/0!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 ht="21" customHeight="1" x14ac:dyDescent="0.3">
      <c r="A111" s="21" cm="1">
        <f t="array" ref="A111">1+COUNT(_xlfn.UNIQUE(_xlfn._xlws.FILTER($F$4:$F$127, $F$4:$F$127 &gt; F111)))</f>
        <v>1</v>
      </c>
      <c r="B111" s="2" t="s">
        <v>61</v>
      </c>
      <c r="C111" s="2"/>
      <c r="D111" s="2"/>
      <c r="E111" s="2"/>
      <c r="F111" s="15" t="e">
        <f t="shared" si="8"/>
        <v>#DIV/0!</v>
      </c>
      <c r="G111" s="19">
        <v>0.8</v>
      </c>
      <c r="H111" s="17" t="e">
        <f t="shared" si="9"/>
        <v>#DIV/0!</v>
      </c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ht="21" customHeight="1" x14ac:dyDescent="0.3">
      <c r="A112" s="21" cm="1">
        <f t="array" ref="A112">1+COUNT(_xlfn.UNIQUE(_xlfn._xlws.FILTER($F$4:$F$127, $F$4:$F$127 &gt; F112)))</f>
        <v>1</v>
      </c>
      <c r="B112" s="2" t="s">
        <v>20</v>
      </c>
      <c r="C112" s="2"/>
      <c r="D112" s="2"/>
      <c r="E112" s="2"/>
      <c r="F112" s="15" t="e">
        <f t="shared" si="8"/>
        <v>#DIV/0!</v>
      </c>
      <c r="G112" s="19">
        <v>0.8</v>
      </c>
      <c r="H112" s="17" t="e">
        <f t="shared" si="9"/>
        <v>#DIV/0!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 ht="21" customHeight="1" x14ac:dyDescent="0.3">
      <c r="A113" s="21" cm="1">
        <f t="array" ref="A113">1+COUNT(_xlfn.UNIQUE(_xlfn._xlws.FILTER($F$4:$F$127, $F$4:$F$127 &gt; F113)))</f>
        <v>1</v>
      </c>
      <c r="B113" s="2" t="s">
        <v>113</v>
      </c>
      <c r="C113" s="2"/>
      <c r="D113" s="2"/>
      <c r="E113" s="2"/>
      <c r="F113" s="15" t="e">
        <f t="shared" si="8"/>
        <v>#DIV/0!</v>
      </c>
      <c r="G113" s="19">
        <v>0.8</v>
      </c>
      <c r="H113" s="17" t="e">
        <f t="shared" si="9"/>
        <v>#DIV/0!</v>
      </c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ht="21" customHeight="1" x14ac:dyDescent="0.3">
      <c r="A114" s="21" cm="1">
        <f t="array" ref="A114">1+COUNT(_xlfn.UNIQUE(_xlfn._xlws.FILTER($F$4:$F$127, $F$4:$F$127 &gt; F114)))</f>
        <v>1</v>
      </c>
      <c r="B114" s="2" t="s">
        <v>13</v>
      </c>
      <c r="C114" s="2"/>
      <c r="D114" s="2"/>
      <c r="E114" s="2"/>
      <c r="F114" s="15" t="e">
        <f t="shared" si="8"/>
        <v>#DIV/0!</v>
      </c>
      <c r="G114" s="19">
        <v>0.82</v>
      </c>
      <c r="H114" s="17" t="e">
        <f t="shared" si="9"/>
        <v>#DIV/0!</v>
      </c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 ht="21" customHeight="1" x14ac:dyDescent="0.3">
      <c r="A115" s="21" cm="1">
        <f t="array" ref="A115">1+COUNT(_xlfn.UNIQUE(_xlfn._xlws.FILTER($F$4:$F$127, $F$4:$F$127 &gt; F115)))</f>
        <v>1</v>
      </c>
      <c r="B115" s="2" t="s">
        <v>18</v>
      </c>
      <c r="C115" s="2"/>
      <c r="D115" s="2"/>
      <c r="E115" s="2"/>
      <c r="F115" s="15" t="e">
        <f t="shared" si="8"/>
        <v>#DIV/0!</v>
      </c>
      <c r="G115" s="19">
        <v>0.8</v>
      </c>
      <c r="H115" s="17" t="e">
        <f t="shared" si="9"/>
        <v>#DIV/0!</v>
      </c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 ht="21" customHeight="1" x14ac:dyDescent="0.3">
      <c r="A116" s="21" cm="1">
        <f t="array" ref="A116">1+COUNT(_xlfn.UNIQUE(_xlfn._xlws.FILTER($F$4:$F$127, $F$4:$F$127 &gt; F116)))</f>
        <v>1</v>
      </c>
      <c r="B116" s="2" t="s">
        <v>66</v>
      </c>
      <c r="C116" s="2"/>
      <c r="D116" s="2"/>
      <c r="E116" s="2"/>
      <c r="F116" s="15" t="e">
        <f t="shared" si="8"/>
        <v>#DIV/0!</v>
      </c>
      <c r="G116" s="19">
        <v>0.8</v>
      </c>
      <c r="H116" s="17" t="e">
        <f t="shared" si="9"/>
        <v>#DIV/0!</v>
      </c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 ht="21" customHeight="1" x14ac:dyDescent="0.3">
      <c r="A117" s="21" cm="1">
        <f t="array" ref="A117">1+COUNT(_xlfn.UNIQUE(_xlfn._xlws.FILTER($F$4:$F$127, $F$4:$F$127 &gt; F117)))</f>
        <v>1</v>
      </c>
      <c r="B117" s="2" t="s">
        <v>98</v>
      </c>
      <c r="C117" s="2"/>
      <c r="D117" s="2"/>
      <c r="E117" s="2"/>
      <c r="F117" s="15" t="e">
        <f t="shared" si="8"/>
        <v>#DIV/0!</v>
      </c>
      <c r="G117" s="19">
        <v>0.82</v>
      </c>
      <c r="H117" s="17" t="e">
        <f t="shared" si="9"/>
        <v>#DIV/0!</v>
      </c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ht="21" customHeight="1" x14ac:dyDescent="0.3">
      <c r="A118" s="21" cm="1">
        <f t="array" ref="A118">1+COUNT(_xlfn.UNIQUE(_xlfn._xlws.FILTER($F$4:$F$127, $F$4:$F$127 &gt; F118)))</f>
        <v>1</v>
      </c>
      <c r="B118" s="2" t="s">
        <v>75</v>
      </c>
      <c r="C118" s="2"/>
      <c r="D118" s="2"/>
      <c r="E118" s="2"/>
      <c r="F118" s="15" t="e">
        <f t="shared" si="8"/>
        <v>#DIV/0!</v>
      </c>
      <c r="G118" s="19">
        <v>0.8</v>
      </c>
      <c r="H118" s="17" t="e">
        <f t="shared" si="9"/>
        <v>#DIV/0!</v>
      </c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ht="21" customHeight="1" x14ac:dyDescent="0.3">
      <c r="A119" s="21" cm="1">
        <f t="array" ref="A119">1+COUNT(_xlfn.UNIQUE(_xlfn._xlws.FILTER($F$4:$F$127, $F$4:$F$127 &gt; F119)))</f>
        <v>1</v>
      </c>
      <c r="B119" s="2" t="s">
        <v>19</v>
      </c>
      <c r="C119" s="2"/>
      <c r="D119" s="2"/>
      <c r="E119" s="2"/>
      <c r="F119" s="15" t="e">
        <f t="shared" si="8"/>
        <v>#DIV/0!</v>
      </c>
      <c r="G119" s="19">
        <v>0.8</v>
      </c>
      <c r="H119" s="17" t="e">
        <f t="shared" si="9"/>
        <v>#DIV/0!</v>
      </c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ht="21" customHeight="1" x14ac:dyDescent="0.3">
      <c r="A120" s="21" cm="1">
        <f t="array" ref="A120">1+COUNT(_xlfn.UNIQUE(_xlfn._xlws.FILTER($F$4:$F$127, $F$4:$F$127 &gt; F120)))</f>
        <v>1</v>
      </c>
      <c r="B120" s="2" t="s">
        <v>81</v>
      </c>
      <c r="C120" s="2"/>
      <c r="D120" s="2"/>
      <c r="E120" s="2"/>
      <c r="F120" s="15" t="e">
        <f t="shared" si="8"/>
        <v>#DIV/0!</v>
      </c>
      <c r="G120" s="19">
        <v>0.8</v>
      </c>
      <c r="H120" s="17" t="e">
        <f t="shared" si="9"/>
        <v>#DIV/0!</v>
      </c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 ht="21" customHeight="1" x14ac:dyDescent="0.3">
      <c r="A121" s="21" cm="1">
        <f t="array" ref="A121">1+COUNT(_xlfn.UNIQUE(_xlfn._xlws.FILTER($F$4:$F$127, $F$4:$F$127 &gt; F121)))</f>
        <v>1</v>
      </c>
      <c r="B121" s="2" t="s">
        <v>88</v>
      </c>
      <c r="C121" s="2"/>
      <c r="D121" s="2"/>
      <c r="E121" s="2"/>
      <c r="F121" s="15" t="e">
        <f t="shared" si="8"/>
        <v>#DIV/0!</v>
      </c>
      <c r="G121" s="19">
        <v>0.8</v>
      </c>
      <c r="H121" s="17" t="e">
        <f t="shared" si="9"/>
        <v>#DIV/0!</v>
      </c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 ht="21" customHeight="1" x14ac:dyDescent="0.3">
      <c r="A122" s="21" cm="1">
        <f t="array" ref="A122">1+COUNT(_xlfn.UNIQUE(_xlfn._xlws.FILTER($F$4:$F$127, $F$4:$F$127 &gt; F122)))</f>
        <v>1</v>
      </c>
      <c r="B122" s="2" t="s">
        <v>41</v>
      </c>
      <c r="C122" s="2"/>
      <c r="D122" s="2"/>
      <c r="E122" s="2"/>
      <c r="F122" s="15" t="e">
        <f t="shared" si="8"/>
        <v>#DIV/0!</v>
      </c>
      <c r="G122" s="19">
        <v>0.8</v>
      </c>
      <c r="H122" s="17" t="e">
        <f t="shared" si="9"/>
        <v>#DIV/0!</v>
      </c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 ht="21" customHeight="1" x14ac:dyDescent="0.3">
      <c r="A123" s="21" cm="1">
        <f t="array" ref="A123">1+COUNT(_xlfn.UNIQUE(_xlfn._xlws.FILTER($F$4:$F$127, $F$4:$F$127 &gt; F123)))</f>
        <v>1</v>
      </c>
      <c r="B123" s="2" t="s">
        <v>53</v>
      </c>
      <c r="C123" s="2"/>
      <c r="D123" s="2"/>
      <c r="E123" s="2"/>
      <c r="F123" s="15" t="e">
        <f t="shared" si="8"/>
        <v>#DIV/0!</v>
      </c>
      <c r="G123" s="19">
        <v>0.82</v>
      </c>
      <c r="H123" s="17" t="e">
        <f t="shared" si="9"/>
        <v>#DIV/0!</v>
      </c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ht="21" customHeight="1" x14ac:dyDescent="0.3">
      <c r="A124" s="21" cm="1">
        <f t="array" ref="A124">1+COUNT(_xlfn.UNIQUE(_xlfn._xlws.FILTER($F$4:$F$127, $F$4:$F$127 &gt; F124)))</f>
        <v>1</v>
      </c>
      <c r="B124" s="2" t="s">
        <v>1</v>
      </c>
      <c r="C124" s="2"/>
      <c r="D124" s="2"/>
      <c r="E124" s="2"/>
      <c r="F124" s="15" t="e">
        <f t="shared" si="8"/>
        <v>#DIV/0!</v>
      </c>
      <c r="G124" s="19">
        <v>0.8</v>
      </c>
      <c r="H124" s="17" t="e">
        <f t="shared" si="9"/>
        <v>#DIV/0!</v>
      </c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 ht="21" customHeight="1" x14ac:dyDescent="0.3">
      <c r="A125" s="21" cm="1">
        <f t="array" ref="A125">1+COUNT(_xlfn.UNIQUE(_xlfn._xlws.FILTER($F$4:$F$127, $F$4:$F$127 &gt; F125)))</f>
        <v>1</v>
      </c>
      <c r="B125" s="2" t="s">
        <v>99</v>
      </c>
      <c r="C125" s="2"/>
      <c r="D125" s="2"/>
      <c r="E125" s="2"/>
      <c r="F125" s="15" t="e">
        <f t="shared" si="8"/>
        <v>#DIV/0!</v>
      </c>
      <c r="G125" s="19">
        <v>0.8</v>
      </c>
      <c r="H125" s="17" t="e">
        <f t="shared" si="9"/>
        <v>#DIV/0!</v>
      </c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 ht="21" customHeight="1" x14ac:dyDescent="0.3">
      <c r="A126" s="21" cm="1">
        <f t="array" ref="A126">1+COUNT(_xlfn.UNIQUE(_xlfn._xlws.FILTER($F$4:$F$127, $F$4:$F$127 &gt; F126)))</f>
        <v>1</v>
      </c>
      <c r="B126" s="2" t="s">
        <v>25</v>
      </c>
      <c r="C126" s="2"/>
      <c r="D126" s="2"/>
      <c r="E126" s="2"/>
      <c r="F126" s="15" t="e">
        <f t="shared" si="8"/>
        <v>#DIV/0!</v>
      </c>
      <c r="G126" s="19">
        <v>0.82</v>
      </c>
      <c r="H126" s="17" t="e">
        <f t="shared" si="9"/>
        <v>#DIV/0!</v>
      </c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 ht="21" customHeight="1" x14ac:dyDescent="0.3">
      <c r="A127" s="21" cm="1">
        <f t="array" ref="A127">1+COUNT(_xlfn.UNIQUE(_xlfn._xlws.FILTER($F$4:$F$127, $F$4:$F$127 &gt; F127)))</f>
        <v>1</v>
      </c>
      <c r="B127" s="2" t="s">
        <v>121</v>
      </c>
      <c r="C127" s="2"/>
      <c r="D127" s="2"/>
      <c r="E127" s="2"/>
      <c r="F127" s="15" t="e">
        <f t="shared" si="8"/>
        <v>#DIV/0!</v>
      </c>
      <c r="G127" s="19">
        <v>0.8</v>
      </c>
      <c r="H127" s="17" t="e">
        <f t="shared" si="9"/>
        <v>#DIV/0!</v>
      </c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ht="21" customHeight="1" x14ac:dyDescent="0.3">
      <c r="A128" s="22"/>
      <c r="B128" s="18"/>
      <c r="C128" s="18"/>
      <c r="D128" s="18"/>
      <c r="E128" s="18"/>
      <c r="F128" s="18"/>
      <c r="G128" s="18"/>
      <c r="H128" s="20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ht="21" customHeight="1" x14ac:dyDescent="0.3">
      <c r="A129" s="22"/>
      <c r="B129" s="18"/>
      <c r="C129" s="18"/>
      <c r="D129" s="18"/>
      <c r="E129" s="18"/>
      <c r="F129" s="18"/>
      <c r="G129" s="18"/>
      <c r="H129" s="20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ht="21" customHeight="1" x14ac:dyDescent="0.3">
      <c r="A130" s="22"/>
      <c r="B130" s="18"/>
      <c r="C130" s="18"/>
      <c r="D130" s="18"/>
      <c r="E130" s="18"/>
      <c r="F130" s="18"/>
      <c r="G130" s="18"/>
      <c r="H130" s="20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ht="21" customHeight="1" x14ac:dyDescent="0.3">
      <c r="A131" s="22"/>
      <c r="B131" s="18"/>
      <c r="C131" s="18"/>
      <c r="D131" s="18"/>
      <c r="E131" s="18"/>
      <c r="F131" s="18"/>
      <c r="G131" s="18"/>
      <c r="H131" s="20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 ht="21" customHeight="1" x14ac:dyDescent="0.3">
      <c r="A132" s="22"/>
      <c r="B132" s="18"/>
      <c r="C132" s="18"/>
      <c r="D132" s="18"/>
      <c r="E132" s="18"/>
      <c r="F132" s="18"/>
      <c r="G132" s="18"/>
      <c r="H132" s="20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ht="21" customHeight="1" x14ac:dyDescent="0.3">
      <c r="A133" s="22"/>
      <c r="B133" s="18"/>
      <c r="C133" s="18"/>
      <c r="D133" s="18"/>
      <c r="E133" s="18"/>
      <c r="F133" s="18"/>
      <c r="G133" s="18"/>
      <c r="H133" s="20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 ht="21" customHeight="1" x14ac:dyDescent="0.3">
      <c r="A134" s="22"/>
      <c r="B134" s="18"/>
      <c r="C134" s="18"/>
      <c r="D134" s="18"/>
      <c r="E134" s="18"/>
      <c r="F134" s="18"/>
      <c r="G134" s="18"/>
      <c r="H134" s="20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 ht="21" customHeight="1" x14ac:dyDescent="0.3">
      <c r="A135" s="22"/>
      <c r="B135" s="18"/>
      <c r="C135" s="18"/>
      <c r="D135" s="18"/>
      <c r="E135" s="18"/>
      <c r="F135" s="18"/>
      <c r="G135" s="18"/>
      <c r="H135" s="20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 ht="21" customHeight="1" x14ac:dyDescent="0.3">
      <c r="A136" s="22"/>
      <c r="B136" s="18"/>
      <c r="C136" s="18"/>
      <c r="D136" s="18"/>
      <c r="E136" s="18"/>
      <c r="F136" s="18"/>
      <c r="G136" s="18"/>
      <c r="H136" s="20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 ht="21" customHeight="1" x14ac:dyDescent="0.3">
      <c r="A137" s="22"/>
      <c r="B137" s="18"/>
      <c r="C137" s="18"/>
      <c r="D137" s="18"/>
      <c r="E137" s="18"/>
      <c r="F137" s="18"/>
      <c r="G137" s="18"/>
      <c r="H137" s="20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ht="21" customHeight="1" x14ac:dyDescent="0.3">
      <c r="A138" s="22"/>
      <c r="B138" s="18"/>
      <c r="C138" s="18"/>
      <c r="D138" s="18"/>
      <c r="E138" s="18"/>
      <c r="F138" s="18"/>
      <c r="G138" s="18"/>
      <c r="H138" s="20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 ht="21" customHeight="1" x14ac:dyDescent="0.3">
      <c r="A139" s="22"/>
      <c r="B139" s="18"/>
      <c r="C139" s="18"/>
      <c r="D139" s="18"/>
      <c r="E139" s="18"/>
      <c r="F139" s="18"/>
      <c r="G139" s="18"/>
      <c r="H139" s="20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 ht="21" customHeight="1" x14ac:dyDescent="0.3">
      <c r="A140" s="22"/>
      <c r="B140" s="18"/>
      <c r="C140" s="18"/>
      <c r="D140" s="18"/>
      <c r="E140" s="18"/>
      <c r="F140" s="18"/>
      <c r="G140" s="18"/>
      <c r="H140" s="20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21" customHeight="1" x14ac:dyDescent="0.3">
      <c r="A141" s="22"/>
      <c r="B141" s="18"/>
      <c r="C141" s="18"/>
      <c r="D141" s="18"/>
      <c r="E141" s="18"/>
      <c r="F141" s="18"/>
      <c r="G141" s="18"/>
      <c r="H141" s="20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 ht="21" customHeight="1" x14ac:dyDescent="0.3">
      <c r="A142" s="22"/>
      <c r="B142" s="18"/>
      <c r="C142" s="18"/>
      <c r="D142" s="18"/>
      <c r="E142" s="18"/>
      <c r="F142" s="18"/>
      <c r="G142" s="18"/>
      <c r="H142" s="20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ht="21" customHeight="1" x14ac:dyDescent="0.3">
      <c r="A143" s="22"/>
      <c r="B143" s="18"/>
      <c r="C143" s="18"/>
      <c r="D143" s="18"/>
      <c r="E143" s="18"/>
      <c r="F143" s="18"/>
      <c r="G143" s="18"/>
      <c r="H143" s="20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 ht="21" customHeight="1" x14ac:dyDescent="0.3">
      <c r="A144" s="22"/>
      <c r="B144" s="18"/>
      <c r="C144" s="18"/>
      <c r="D144" s="18"/>
      <c r="E144" s="18"/>
      <c r="F144" s="18"/>
      <c r="G144" s="18"/>
      <c r="H144" s="20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ht="21" customHeight="1" x14ac:dyDescent="0.3">
      <c r="A145" s="22"/>
      <c r="B145" s="18"/>
      <c r="C145" s="18"/>
      <c r="D145" s="18"/>
      <c r="E145" s="18"/>
      <c r="F145" s="18"/>
      <c r="G145" s="18"/>
      <c r="H145" s="20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 ht="21" customHeight="1" x14ac:dyDescent="0.3">
      <c r="A146" s="22"/>
      <c r="B146" s="18"/>
      <c r="C146" s="18"/>
      <c r="D146" s="18"/>
      <c r="E146" s="18"/>
      <c r="F146" s="18"/>
      <c r="G146" s="18"/>
      <c r="H146" s="20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 ht="21" customHeight="1" x14ac:dyDescent="0.3">
      <c r="A147" s="22"/>
      <c r="B147" s="18"/>
      <c r="C147" s="18"/>
      <c r="D147" s="18"/>
      <c r="E147" s="18"/>
      <c r="F147" s="18"/>
      <c r="G147" s="18"/>
      <c r="H147" s="20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ht="21" customHeight="1" x14ac:dyDescent="0.3">
      <c r="A148" s="22"/>
      <c r="B148" s="18"/>
      <c r="C148" s="18"/>
      <c r="D148" s="18"/>
      <c r="E148" s="18"/>
      <c r="F148" s="18"/>
      <c r="G148" s="18"/>
      <c r="H148" s="20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ht="21" customHeight="1" x14ac:dyDescent="0.3">
      <c r="A149" s="22"/>
      <c r="B149" s="18"/>
      <c r="C149" s="18"/>
      <c r="D149" s="18"/>
      <c r="E149" s="18"/>
      <c r="F149" s="18"/>
      <c r="G149" s="18"/>
      <c r="H149" s="20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 ht="21" customHeight="1" x14ac:dyDescent="0.3">
      <c r="A150" s="22"/>
      <c r="B150" s="18"/>
      <c r="C150" s="18"/>
      <c r="D150" s="18"/>
      <c r="E150" s="18"/>
      <c r="F150" s="18"/>
      <c r="G150" s="18"/>
      <c r="H150" s="20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ht="21" customHeight="1" x14ac:dyDescent="0.3">
      <c r="A151" s="22"/>
      <c r="B151" s="18"/>
      <c r="C151" s="18"/>
      <c r="D151" s="18"/>
      <c r="E151" s="18"/>
      <c r="F151" s="18"/>
      <c r="G151" s="18"/>
      <c r="H151" s="20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 ht="21" customHeight="1" x14ac:dyDescent="0.3">
      <c r="A152" s="22"/>
      <c r="B152" s="18"/>
      <c r="C152" s="18"/>
      <c r="D152" s="18"/>
      <c r="E152" s="18"/>
      <c r="F152" s="18"/>
      <c r="G152" s="18"/>
      <c r="H152" s="20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 ht="21" customHeight="1" x14ac:dyDescent="0.3">
      <c r="A153" s="22"/>
      <c r="B153" s="18"/>
      <c r="C153" s="18"/>
      <c r="D153" s="18"/>
      <c r="E153" s="18"/>
      <c r="F153" s="18"/>
      <c r="G153" s="18"/>
      <c r="H153" s="20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 ht="21" customHeight="1" x14ac:dyDescent="0.3">
      <c r="A154" s="22"/>
      <c r="B154" s="18"/>
      <c r="C154" s="18"/>
      <c r="D154" s="18"/>
      <c r="E154" s="18"/>
      <c r="F154" s="18"/>
      <c r="G154" s="18"/>
      <c r="H154" s="20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 ht="21" customHeight="1" x14ac:dyDescent="0.3">
      <c r="A155" s="22"/>
      <c r="B155" s="18"/>
      <c r="C155" s="18"/>
      <c r="D155" s="18"/>
      <c r="E155" s="18"/>
      <c r="F155" s="18"/>
      <c r="G155" s="18"/>
      <c r="H155" s="20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 ht="21" customHeight="1" x14ac:dyDescent="0.3">
      <c r="A156" s="22"/>
      <c r="B156" s="18"/>
      <c r="C156" s="18"/>
      <c r="D156" s="18"/>
      <c r="E156" s="18"/>
      <c r="F156" s="18"/>
      <c r="G156" s="18"/>
      <c r="H156" s="20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 ht="21" customHeight="1" x14ac:dyDescent="0.3">
      <c r="A157" s="22"/>
      <c r="B157" s="18"/>
      <c r="C157" s="18"/>
      <c r="D157" s="18"/>
      <c r="E157" s="18"/>
      <c r="F157" s="18"/>
      <c r="G157" s="18"/>
      <c r="H157" s="20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 ht="21" customHeight="1" x14ac:dyDescent="0.3">
      <c r="A158" s="22"/>
      <c r="B158" s="18"/>
      <c r="C158" s="18"/>
      <c r="D158" s="18"/>
      <c r="E158" s="18"/>
      <c r="F158" s="18"/>
      <c r="G158" s="18"/>
      <c r="H158" s="20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 ht="21" customHeight="1" x14ac:dyDescent="0.3">
      <c r="A159" s="22"/>
      <c r="B159" s="18"/>
      <c r="C159" s="18"/>
      <c r="D159" s="18"/>
      <c r="E159" s="18"/>
      <c r="F159" s="18"/>
      <c r="G159" s="18"/>
      <c r="H159" s="20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ht="21" customHeight="1" x14ac:dyDescent="0.3">
      <c r="A160" s="22"/>
      <c r="B160" s="18"/>
      <c r="C160" s="18"/>
      <c r="D160" s="18"/>
      <c r="E160" s="18"/>
      <c r="F160" s="18"/>
      <c r="G160" s="18"/>
      <c r="H160" s="20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 ht="21" customHeight="1" x14ac:dyDescent="0.3">
      <c r="A161" s="22"/>
      <c r="B161" s="18"/>
      <c r="C161" s="18"/>
      <c r="D161" s="18"/>
      <c r="E161" s="18"/>
      <c r="F161" s="18"/>
      <c r="G161" s="18"/>
      <c r="H161" s="20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 ht="21" customHeight="1" x14ac:dyDescent="0.3">
      <c r="A162" s="22"/>
      <c r="B162" s="18"/>
      <c r="C162" s="18"/>
      <c r="D162" s="18"/>
      <c r="E162" s="18"/>
      <c r="F162" s="18"/>
      <c r="G162" s="18"/>
      <c r="H162" s="20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 ht="21" customHeight="1" x14ac:dyDescent="0.3">
      <c r="A163" s="22"/>
      <c r="B163" s="18"/>
      <c r="C163" s="18"/>
      <c r="D163" s="18"/>
      <c r="E163" s="18"/>
      <c r="F163" s="18"/>
      <c r="G163" s="18"/>
      <c r="H163" s="20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ht="21" customHeight="1" x14ac:dyDescent="0.3">
      <c r="A164" s="22"/>
      <c r="B164" s="18"/>
      <c r="C164" s="18"/>
      <c r="D164" s="18"/>
      <c r="E164" s="18"/>
      <c r="F164" s="18"/>
      <c r="G164" s="18"/>
      <c r="H164" s="20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21" customHeight="1" x14ac:dyDescent="0.3">
      <c r="A165" s="22"/>
      <c r="B165" s="18"/>
      <c r="C165" s="18"/>
      <c r="D165" s="18"/>
      <c r="E165" s="18"/>
      <c r="F165" s="18"/>
      <c r="G165" s="18"/>
      <c r="H165" s="20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 ht="21" customHeight="1" x14ac:dyDescent="0.3">
      <c r="A166" s="22"/>
      <c r="B166" s="18"/>
      <c r="C166" s="18"/>
      <c r="D166" s="18"/>
      <c r="E166" s="18"/>
      <c r="F166" s="18"/>
      <c r="G166" s="18"/>
      <c r="H166" s="20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 ht="18.75" x14ac:dyDescent="0.3">
      <c r="A167" s="22"/>
      <c r="B167" s="18"/>
      <c r="C167" s="18"/>
      <c r="D167" s="18"/>
      <c r="E167" s="18"/>
      <c r="F167" s="18"/>
      <c r="G167" s="18"/>
      <c r="H167" s="20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 ht="18.75" x14ac:dyDescent="0.3">
      <c r="A168" s="22"/>
      <c r="B168" s="18"/>
      <c r="C168" s="18"/>
      <c r="D168" s="18"/>
      <c r="E168" s="18"/>
      <c r="F168" s="18"/>
      <c r="G168" s="18"/>
      <c r="H168" s="20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 ht="18.75" x14ac:dyDescent="0.3">
      <c r="A169" s="22"/>
      <c r="B169" s="18"/>
      <c r="C169" s="18"/>
      <c r="D169" s="18"/>
      <c r="E169" s="18"/>
      <c r="F169" s="18"/>
      <c r="G169" s="18"/>
      <c r="H169" s="20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ht="18.75" x14ac:dyDescent="0.3">
      <c r="A170" s="22"/>
      <c r="B170" s="18"/>
      <c r="C170" s="18"/>
      <c r="D170" s="18"/>
      <c r="E170" s="18"/>
      <c r="F170" s="18"/>
      <c r="G170" s="18"/>
      <c r="H170" s="20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ht="18.75" x14ac:dyDescent="0.3">
      <c r="A171" s="22"/>
      <c r="B171" s="18"/>
      <c r="C171" s="18"/>
      <c r="D171" s="18"/>
      <c r="E171" s="18"/>
      <c r="F171" s="18"/>
      <c r="G171" s="18"/>
      <c r="H171" s="20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ht="18.75" x14ac:dyDescent="0.3">
      <c r="A172" s="22"/>
      <c r="B172" s="18"/>
      <c r="C172" s="18"/>
      <c r="D172" s="18"/>
      <c r="E172" s="18"/>
      <c r="F172" s="18"/>
      <c r="G172" s="18"/>
      <c r="H172" s="20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 ht="18.75" x14ac:dyDescent="0.3">
      <c r="A173" s="22"/>
      <c r="B173" s="18"/>
      <c r="C173" s="18"/>
      <c r="D173" s="18"/>
      <c r="E173" s="18"/>
      <c r="F173" s="18"/>
      <c r="G173" s="18"/>
      <c r="H173" s="20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ht="18.75" x14ac:dyDescent="0.3">
      <c r="A174" s="22"/>
      <c r="B174" s="18"/>
      <c r="C174" s="18"/>
      <c r="D174" s="18"/>
      <c r="E174" s="18"/>
      <c r="F174" s="18"/>
      <c r="G174" s="18"/>
      <c r="H174" s="20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ht="18.75" x14ac:dyDescent="0.3">
      <c r="A175" s="22"/>
      <c r="B175" s="18"/>
      <c r="C175" s="18"/>
      <c r="D175" s="18"/>
      <c r="E175" s="18"/>
      <c r="F175" s="18"/>
      <c r="G175" s="18"/>
      <c r="H175" s="20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ht="18.75" x14ac:dyDescent="0.3">
      <c r="A176" s="22"/>
      <c r="B176" s="18"/>
      <c r="C176" s="18"/>
      <c r="D176" s="18"/>
      <c r="E176" s="18"/>
      <c r="F176" s="18"/>
      <c r="G176" s="18"/>
      <c r="H176" s="20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ht="18.75" x14ac:dyDescent="0.3">
      <c r="A177" s="22"/>
      <c r="B177" s="18"/>
      <c r="C177" s="18"/>
      <c r="D177" s="18"/>
      <c r="E177" s="18"/>
      <c r="F177" s="18"/>
      <c r="G177" s="18"/>
      <c r="H177" s="20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 ht="18.75" x14ac:dyDescent="0.3">
      <c r="A178" s="22"/>
      <c r="B178" s="18"/>
      <c r="C178" s="18"/>
      <c r="D178" s="18"/>
      <c r="E178" s="18"/>
      <c r="F178" s="18"/>
      <c r="G178" s="18"/>
      <c r="H178" s="20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 ht="18.75" x14ac:dyDescent="0.3">
      <c r="A179" s="22"/>
      <c r="B179" s="18"/>
      <c r="C179" s="18"/>
      <c r="D179" s="18"/>
      <c r="E179" s="18"/>
      <c r="F179" s="18"/>
      <c r="G179" s="18"/>
      <c r="H179" s="20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 ht="18.75" x14ac:dyDescent="0.3">
      <c r="A180" s="22"/>
      <c r="B180" s="18"/>
      <c r="C180" s="18"/>
      <c r="D180" s="18"/>
      <c r="E180" s="18"/>
      <c r="F180" s="18"/>
      <c r="G180" s="18"/>
      <c r="H180" s="20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ht="18.75" x14ac:dyDescent="0.3">
      <c r="A181" s="22"/>
      <c r="B181" s="18"/>
      <c r="C181" s="18"/>
      <c r="D181" s="18"/>
      <c r="E181" s="18"/>
      <c r="F181" s="18"/>
      <c r="G181" s="18"/>
      <c r="H181" s="20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 ht="18.75" x14ac:dyDescent="0.3">
      <c r="A182" s="22"/>
      <c r="B182" s="18"/>
      <c r="C182" s="18"/>
      <c r="D182" s="18"/>
      <c r="E182" s="18"/>
      <c r="F182" s="18"/>
      <c r="G182" s="18"/>
      <c r="H182" s="20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 ht="18.75" x14ac:dyDescent="0.3">
      <c r="A183" s="22"/>
      <c r="B183" s="18"/>
      <c r="C183" s="18"/>
      <c r="D183" s="18"/>
      <c r="E183" s="18"/>
      <c r="F183" s="18"/>
      <c r="G183" s="18"/>
      <c r="H183" s="20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 ht="18.75" x14ac:dyDescent="0.3">
      <c r="A184" s="22"/>
      <c r="B184" s="18"/>
      <c r="C184" s="18"/>
      <c r="D184" s="18"/>
      <c r="E184" s="18"/>
      <c r="F184" s="18"/>
      <c r="G184" s="18"/>
      <c r="H184" s="20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 ht="18.75" x14ac:dyDescent="0.3">
      <c r="A185" s="22"/>
      <c r="B185" s="18"/>
      <c r="C185" s="18"/>
      <c r="D185" s="18"/>
      <c r="E185" s="18"/>
      <c r="F185" s="18"/>
      <c r="G185" s="18"/>
      <c r="H185" s="20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 ht="18.75" x14ac:dyDescent="0.3">
      <c r="A186" s="22"/>
      <c r="B186" s="18"/>
      <c r="C186" s="18"/>
      <c r="D186" s="18"/>
      <c r="E186" s="18"/>
      <c r="F186" s="18"/>
      <c r="G186" s="18"/>
      <c r="H186" s="20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 ht="18.75" x14ac:dyDescent="0.3">
      <c r="A187" s="22"/>
      <c r="B187" s="18"/>
      <c r="C187" s="18"/>
      <c r="D187" s="18"/>
      <c r="E187" s="18"/>
      <c r="F187" s="18"/>
      <c r="G187" s="18"/>
      <c r="H187" s="20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1:25" ht="18.75" x14ac:dyDescent="0.3">
      <c r="A188" s="22"/>
      <c r="B188" s="18"/>
      <c r="C188" s="18"/>
      <c r="D188" s="18"/>
      <c r="E188" s="18"/>
      <c r="F188" s="18"/>
      <c r="G188" s="18"/>
      <c r="H188" s="20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1:25" ht="18.75" x14ac:dyDescent="0.3">
      <c r="A189" s="22"/>
      <c r="B189" s="18"/>
      <c r="C189" s="18"/>
      <c r="D189" s="18"/>
      <c r="E189" s="18"/>
      <c r="F189" s="18"/>
      <c r="G189" s="18"/>
      <c r="H189" s="20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1:25" ht="18.75" x14ac:dyDescent="0.3">
      <c r="A190" s="22"/>
      <c r="B190" s="18"/>
      <c r="C190" s="18"/>
      <c r="D190" s="18"/>
      <c r="E190" s="18"/>
      <c r="F190" s="18"/>
      <c r="G190" s="18"/>
      <c r="H190" s="20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spans="1:25" ht="18.75" x14ac:dyDescent="0.3">
      <c r="A191" s="22"/>
      <c r="B191" s="18"/>
      <c r="C191" s="18"/>
      <c r="D191" s="18"/>
      <c r="E191" s="18"/>
      <c r="F191" s="18"/>
      <c r="G191" s="18"/>
      <c r="H191" s="20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25" ht="18.75" x14ac:dyDescent="0.3">
      <c r="A192" s="22"/>
      <c r="B192" s="18"/>
      <c r="C192" s="18"/>
      <c r="D192" s="18"/>
      <c r="E192" s="18"/>
      <c r="F192" s="18"/>
      <c r="G192" s="18"/>
      <c r="H192" s="20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 ht="18.75" x14ac:dyDescent="0.3">
      <c r="A193" s="22"/>
      <c r="B193" s="18"/>
      <c r="C193" s="18"/>
      <c r="D193" s="18"/>
      <c r="E193" s="18"/>
      <c r="F193" s="18"/>
      <c r="G193" s="18"/>
      <c r="H193" s="20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 ht="18.75" x14ac:dyDescent="0.3">
      <c r="A194" s="22"/>
      <c r="B194" s="18"/>
      <c r="C194" s="18"/>
      <c r="D194" s="18"/>
      <c r="E194" s="18"/>
      <c r="F194" s="18"/>
      <c r="G194" s="18"/>
      <c r="H194" s="20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 ht="18.75" x14ac:dyDescent="0.3">
      <c r="A195" s="22"/>
      <c r="B195" s="18"/>
      <c r="C195" s="18"/>
      <c r="D195" s="18"/>
      <c r="E195" s="18"/>
      <c r="F195" s="18"/>
      <c r="G195" s="18"/>
      <c r="H195" s="20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 ht="18.75" x14ac:dyDescent="0.3">
      <c r="A196" s="22"/>
      <c r="B196" s="18"/>
      <c r="C196" s="18"/>
      <c r="D196" s="18"/>
      <c r="E196" s="18"/>
      <c r="F196" s="18"/>
      <c r="G196" s="18"/>
      <c r="H196" s="20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 ht="18.75" x14ac:dyDescent="0.3">
      <c r="A197" s="22"/>
      <c r="B197" s="18"/>
      <c r="C197" s="18"/>
      <c r="D197" s="18"/>
      <c r="E197" s="18"/>
      <c r="F197" s="18"/>
      <c r="G197" s="18"/>
      <c r="H197" s="20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 ht="18.75" x14ac:dyDescent="0.3">
      <c r="A198" s="22"/>
      <c r="B198" s="18"/>
      <c r="C198" s="18"/>
      <c r="D198" s="18"/>
      <c r="E198" s="18"/>
      <c r="F198" s="18"/>
      <c r="G198" s="18"/>
      <c r="H198" s="20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 ht="18.75" x14ac:dyDescent="0.3">
      <c r="A199" s="22"/>
      <c r="B199" s="18"/>
      <c r="C199" s="18"/>
      <c r="D199" s="18"/>
      <c r="E199" s="18"/>
      <c r="F199" s="18"/>
      <c r="G199" s="18"/>
      <c r="H199" s="20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 ht="18.75" x14ac:dyDescent="0.3">
      <c r="A200" s="22"/>
      <c r="B200" s="18"/>
      <c r="C200" s="18"/>
      <c r="D200" s="18"/>
      <c r="E200" s="18"/>
      <c r="F200" s="18"/>
      <c r="G200" s="18"/>
      <c r="H200" s="20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ht="18.75" x14ac:dyDescent="0.3">
      <c r="A201" s="22"/>
      <c r="B201" s="18"/>
      <c r="C201" s="18"/>
      <c r="D201" s="18"/>
      <c r="E201" s="18"/>
      <c r="F201" s="18"/>
      <c r="G201" s="18"/>
      <c r="H201" s="20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 ht="18.75" x14ac:dyDescent="0.3">
      <c r="A202" s="22"/>
      <c r="B202" s="18"/>
      <c r="C202" s="18"/>
      <c r="D202" s="18"/>
      <c r="E202" s="18"/>
      <c r="F202" s="18"/>
      <c r="G202" s="18"/>
      <c r="H202" s="20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ht="18.75" x14ac:dyDescent="0.3">
      <c r="A203" s="22"/>
      <c r="B203" s="18"/>
      <c r="C203" s="18"/>
      <c r="D203" s="18"/>
      <c r="E203" s="18"/>
      <c r="F203" s="18"/>
      <c r="G203" s="18"/>
      <c r="H203" s="20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 ht="18.75" x14ac:dyDescent="0.3">
      <c r="A204" s="22"/>
      <c r="B204" s="18"/>
      <c r="C204" s="18"/>
      <c r="D204" s="18"/>
      <c r="E204" s="18"/>
      <c r="F204" s="18"/>
      <c r="G204" s="18"/>
      <c r="H204" s="20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 ht="18.75" x14ac:dyDescent="0.3">
      <c r="A205" s="22"/>
      <c r="B205" s="18"/>
      <c r="C205" s="18"/>
      <c r="D205" s="18"/>
      <c r="E205" s="18"/>
      <c r="F205" s="18"/>
      <c r="G205" s="18"/>
      <c r="H205" s="20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 ht="18.75" x14ac:dyDescent="0.3">
      <c r="A206" s="22"/>
      <c r="B206" s="18"/>
      <c r="C206" s="18"/>
      <c r="D206" s="18"/>
      <c r="E206" s="18"/>
      <c r="F206" s="18"/>
      <c r="G206" s="18"/>
      <c r="H206" s="20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 ht="18.75" x14ac:dyDescent="0.3">
      <c r="A207" s="22"/>
      <c r="B207" s="18"/>
      <c r="C207" s="18"/>
      <c r="D207" s="18"/>
      <c r="E207" s="18"/>
      <c r="F207" s="18"/>
      <c r="G207" s="18"/>
      <c r="H207" s="20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 ht="18.75" x14ac:dyDescent="0.3">
      <c r="A208" s="22"/>
      <c r="B208" s="18"/>
      <c r="C208" s="18"/>
      <c r="D208" s="18"/>
      <c r="E208" s="18"/>
      <c r="F208" s="18"/>
      <c r="G208" s="18"/>
      <c r="H208" s="20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 ht="18.75" x14ac:dyDescent="0.3">
      <c r="A209" s="22"/>
      <c r="B209" s="18"/>
      <c r="C209" s="18"/>
      <c r="D209" s="18"/>
      <c r="E209" s="18"/>
      <c r="F209" s="18"/>
      <c r="G209" s="18"/>
      <c r="H209" s="20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 ht="18.75" x14ac:dyDescent="0.3">
      <c r="A210" s="22"/>
      <c r="B210" s="18"/>
      <c r="C210" s="18"/>
      <c r="D210" s="18"/>
      <c r="E210" s="18"/>
      <c r="F210" s="18"/>
      <c r="G210" s="18"/>
      <c r="H210" s="20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 ht="18.75" x14ac:dyDescent="0.3">
      <c r="A211" s="22"/>
      <c r="B211" s="18"/>
      <c r="C211" s="18"/>
      <c r="D211" s="18"/>
      <c r="E211" s="18"/>
      <c r="F211" s="18"/>
      <c r="G211" s="18"/>
      <c r="H211" s="20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 ht="18.75" x14ac:dyDescent="0.3">
      <c r="A212" s="22"/>
      <c r="B212" s="18"/>
      <c r="C212" s="18"/>
      <c r="D212" s="18"/>
      <c r="E212" s="18"/>
      <c r="F212" s="18"/>
      <c r="G212" s="18"/>
      <c r="H212" s="20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ht="18.75" x14ac:dyDescent="0.3">
      <c r="A213" s="22"/>
      <c r="B213" s="18"/>
      <c r="C213" s="18"/>
      <c r="D213" s="18"/>
      <c r="E213" s="18"/>
      <c r="F213" s="18"/>
      <c r="G213" s="18"/>
      <c r="H213" s="20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 ht="18.75" x14ac:dyDescent="0.3">
      <c r="A214" s="22"/>
      <c r="B214" s="18"/>
      <c r="C214" s="18"/>
      <c r="D214" s="18"/>
      <c r="E214" s="18"/>
      <c r="F214" s="18"/>
      <c r="G214" s="18"/>
      <c r="H214" s="20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 ht="18.75" x14ac:dyDescent="0.3">
      <c r="A215" s="22"/>
      <c r="B215" s="18"/>
      <c r="C215" s="18"/>
      <c r="D215" s="18"/>
      <c r="E215" s="18"/>
      <c r="F215" s="18"/>
      <c r="G215" s="18"/>
      <c r="H215" s="20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 ht="18.75" x14ac:dyDescent="0.3">
      <c r="A216" s="22"/>
      <c r="B216" s="18"/>
      <c r="C216" s="18"/>
      <c r="D216" s="18"/>
      <c r="E216" s="18"/>
      <c r="F216" s="18"/>
      <c r="G216" s="18"/>
      <c r="H216" s="20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 ht="18.75" x14ac:dyDescent="0.3">
      <c r="A217" s="22"/>
      <c r="B217" s="18"/>
      <c r="C217" s="18"/>
      <c r="D217" s="18"/>
      <c r="E217" s="18"/>
      <c r="F217" s="18"/>
      <c r="G217" s="18"/>
      <c r="H217" s="20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 ht="18.75" x14ac:dyDescent="0.3">
      <c r="A218" s="22"/>
      <c r="B218" s="18"/>
      <c r="C218" s="18"/>
      <c r="D218" s="18"/>
      <c r="E218" s="18"/>
      <c r="F218" s="18"/>
      <c r="G218" s="18"/>
      <c r="H218" s="20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ht="18.75" x14ac:dyDescent="0.3">
      <c r="A219" s="22"/>
      <c r="B219" s="18"/>
      <c r="C219" s="18"/>
      <c r="D219" s="18"/>
      <c r="E219" s="18"/>
      <c r="F219" s="18"/>
      <c r="G219" s="18"/>
      <c r="H219" s="20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 ht="18.75" x14ac:dyDescent="0.3">
      <c r="A220" s="22"/>
      <c r="B220" s="18"/>
      <c r="C220" s="18"/>
      <c r="D220" s="18"/>
      <c r="E220" s="18"/>
      <c r="F220" s="18"/>
      <c r="G220" s="18"/>
      <c r="H220" s="20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 ht="18.75" x14ac:dyDescent="0.3">
      <c r="A221" s="22"/>
      <c r="B221" s="18"/>
      <c r="C221" s="18"/>
      <c r="D221" s="18"/>
      <c r="E221" s="18"/>
      <c r="F221" s="18"/>
      <c r="G221" s="18"/>
      <c r="H221" s="20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ht="18.75" x14ac:dyDescent="0.3">
      <c r="A222" s="22"/>
      <c r="B222" s="18"/>
      <c r="C222" s="18"/>
      <c r="D222" s="18"/>
      <c r="E222" s="18"/>
      <c r="F222" s="18"/>
      <c r="G222" s="18"/>
      <c r="H222" s="20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ht="18.75" x14ac:dyDescent="0.3">
      <c r="A223" s="22"/>
      <c r="B223" s="18"/>
      <c r="C223" s="18"/>
      <c r="D223" s="18"/>
      <c r="E223" s="18"/>
      <c r="F223" s="18"/>
      <c r="G223" s="18"/>
      <c r="H223" s="20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ht="18.75" x14ac:dyDescent="0.3">
      <c r="A224" s="22"/>
      <c r="B224" s="18"/>
      <c r="C224" s="18"/>
      <c r="D224" s="18"/>
      <c r="E224" s="18"/>
      <c r="F224" s="18"/>
      <c r="G224" s="18"/>
      <c r="H224" s="20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ht="18.75" x14ac:dyDescent="0.3">
      <c r="A225" s="22"/>
      <c r="B225" s="18"/>
      <c r="C225" s="18"/>
      <c r="D225" s="18"/>
      <c r="E225" s="18"/>
      <c r="F225" s="18"/>
      <c r="G225" s="18"/>
      <c r="H225" s="20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ht="18.75" x14ac:dyDescent="0.3">
      <c r="A226" s="22"/>
      <c r="B226" s="18"/>
      <c r="C226" s="18"/>
      <c r="D226" s="18"/>
      <c r="E226" s="18"/>
      <c r="F226" s="18"/>
      <c r="G226" s="18"/>
      <c r="H226" s="20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ht="18.75" x14ac:dyDescent="0.3">
      <c r="A227" s="22"/>
      <c r="B227" s="18"/>
      <c r="C227" s="18"/>
      <c r="D227" s="18"/>
      <c r="E227" s="18"/>
      <c r="F227" s="18"/>
      <c r="G227" s="18"/>
      <c r="H227" s="20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ht="18.75" x14ac:dyDescent="0.3">
      <c r="A228" s="22"/>
      <c r="B228" s="18"/>
      <c r="C228" s="18"/>
      <c r="D228" s="18"/>
      <c r="E228" s="18"/>
      <c r="F228" s="18"/>
      <c r="G228" s="18"/>
      <c r="H228" s="20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ht="18.75" x14ac:dyDescent="0.3">
      <c r="A229" s="22"/>
      <c r="B229" s="18"/>
      <c r="C229" s="18"/>
      <c r="D229" s="18"/>
      <c r="E229" s="18"/>
      <c r="F229" s="18"/>
      <c r="G229" s="18"/>
      <c r="H229" s="20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ht="18.75" x14ac:dyDescent="0.3">
      <c r="A230" s="22"/>
      <c r="B230" s="18"/>
      <c r="C230" s="18"/>
      <c r="D230" s="18"/>
      <c r="E230" s="18"/>
      <c r="F230" s="18"/>
      <c r="G230" s="18"/>
      <c r="H230" s="20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ht="18.75" x14ac:dyDescent="0.3">
      <c r="A231" s="22"/>
      <c r="B231" s="18"/>
      <c r="C231" s="18"/>
      <c r="D231" s="18"/>
      <c r="E231" s="18"/>
      <c r="F231" s="18"/>
      <c r="G231" s="18"/>
      <c r="H231" s="20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ht="18.75" x14ac:dyDescent="0.3">
      <c r="A232" s="22"/>
      <c r="B232" s="18"/>
      <c r="C232" s="18"/>
      <c r="D232" s="18"/>
      <c r="E232" s="18"/>
      <c r="F232" s="18"/>
      <c r="G232" s="18"/>
      <c r="H232" s="20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ht="18.75" x14ac:dyDescent="0.3">
      <c r="A233" s="22"/>
      <c r="B233" s="18"/>
      <c r="C233" s="18"/>
      <c r="D233" s="18"/>
      <c r="E233" s="18"/>
      <c r="F233" s="18"/>
      <c r="G233" s="18"/>
      <c r="H233" s="20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ht="18.75" x14ac:dyDescent="0.3">
      <c r="A234" s="22"/>
      <c r="B234" s="18"/>
      <c r="C234" s="18"/>
      <c r="D234" s="18"/>
      <c r="E234" s="18"/>
      <c r="F234" s="18"/>
      <c r="G234" s="18"/>
      <c r="H234" s="20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 ht="18.75" x14ac:dyDescent="0.3">
      <c r="A235" s="22"/>
      <c r="B235" s="18"/>
      <c r="C235" s="18"/>
      <c r="D235" s="18"/>
      <c r="E235" s="18"/>
      <c r="F235" s="18"/>
      <c r="G235" s="18"/>
      <c r="H235" s="20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ht="18.75" x14ac:dyDescent="0.3">
      <c r="A236" s="22"/>
      <c r="B236" s="18"/>
      <c r="C236" s="18"/>
      <c r="D236" s="18"/>
      <c r="E236" s="18"/>
      <c r="F236" s="18"/>
      <c r="G236" s="18"/>
      <c r="H236" s="20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ht="18.75" x14ac:dyDescent="0.3">
      <c r="A237" s="22"/>
      <c r="B237" s="18"/>
      <c r="C237" s="18"/>
      <c r="D237" s="18"/>
      <c r="E237" s="18"/>
      <c r="F237" s="18"/>
      <c r="G237" s="18"/>
      <c r="H237" s="20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ht="18.75" x14ac:dyDescent="0.3">
      <c r="A238" s="22"/>
      <c r="B238" s="18"/>
      <c r="C238" s="18"/>
      <c r="D238" s="18"/>
      <c r="E238" s="18"/>
      <c r="F238" s="18"/>
      <c r="G238" s="18"/>
      <c r="H238" s="20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ht="18.75" x14ac:dyDescent="0.3">
      <c r="A239" s="22"/>
      <c r="B239" s="18"/>
      <c r="C239" s="18"/>
      <c r="D239" s="18"/>
      <c r="E239" s="18"/>
      <c r="F239" s="18"/>
      <c r="G239" s="18"/>
      <c r="H239" s="20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ht="18.75" x14ac:dyDescent="0.3">
      <c r="A240" s="22"/>
      <c r="B240" s="18"/>
      <c r="C240" s="18"/>
      <c r="D240" s="18"/>
      <c r="E240" s="18"/>
      <c r="F240" s="18"/>
      <c r="G240" s="18"/>
      <c r="H240" s="20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ht="18.75" x14ac:dyDescent="0.3">
      <c r="A241" s="22"/>
      <c r="B241" s="18"/>
      <c r="C241" s="18"/>
      <c r="D241" s="18"/>
      <c r="E241" s="18"/>
      <c r="F241" s="18"/>
      <c r="G241" s="18"/>
      <c r="H241" s="20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ht="18.75" x14ac:dyDescent="0.3">
      <c r="A242" s="22"/>
      <c r="B242" s="18"/>
      <c r="C242" s="18"/>
      <c r="D242" s="18"/>
      <c r="E242" s="18"/>
      <c r="F242" s="18"/>
      <c r="G242" s="18"/>
      <c r="H242" s="20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ht="18.75" x14ac:dyDescent="0.3">
      <c r="A243" s="22"/>
      <c r="B243" s="18"/>
      <c r="C243" s="18"/>
      <c r="D243" s="18"/>
      <c r="E243" s="18"/>
      <c r="F243" s="18"/>
      <c r="G243" s="18"/>
      <c r="H243" s="20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ht="18.75" x14ac:dyDescent="0.3">
      <c r="A244" s="22"/>
      <c r="B244" s="18"/>
      <c r="C244" s="18"/>
      <c r="D244" s="18"/>
      <c r="E244" s="18"/>
      <c r="F244" s="18"/>
      <c r="G244" s="18"/>
      <c r="H244" s="20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ht="18.75" x14ac:dyDescent="0.3">
      <c r="A245" s="22"/>
      <c r="B245" s="18"/>
      <c r="C245" s="18"/>
      <c r="D245" s="18"/>
      <c r="E245" s="18"/>
      <c r="F245" s="18"/>
      <c r="G245" s="18"/>
      <c r="H245" s="20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ht="18.75" x14ac:dyDescent="0.3">
      <c r="A246" s="22"/>
      <c r="B246" s="18"/>
      <c r="C246" s="18"/>
      <c r="D246" s="18"/>
      <c r="E246" s="18"/>
      <c r="F246" s="18"/>
      <c r="G246" s="18"/>
      <c r="H246" s="20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ht="18.75" x14ac:dyDescent="0.3">
      <c r="A247" s="22"/>
      <c r="B247" s="18"/>
      <c r="C247" s="18"/>
      <c r="D247" s="18"/>
      <c r="E247" s="18"/>
      <c r="F247" s="18"/>
      <c r="G247" s="18"/>
      <c r="H247" s="20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ht="18.75" x14ac:dyDescent="0.3">
      <c r="A248" s="22"/>
      <c r="B248" s="18"/>
      <c r="C248" s="18"/>
      <c r="D248" s="18"/>
      <c r="E248" s="18"/>
      <c r="F248" s="18"/>
      <c r="G248" s="18"/>
      <c r="H248" s="20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ht="18.75" x14ac:dyDescent="0.3">
      <c r="A249" s="22"/>
      <c r="B249" s="18"/>
      <c r="C249" s="18"/>
      <c r="D249" s="18"/>
      <c r="E249" s="18"/>
      <c r="F249" s="18"/>
      <c r="G249" s="18"/>
      <c r="H249" s="20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ht="18.75" x14ac:dyDescent="0.3">
      <c r="A250" s="22"/>
      <c r="B250" s="18"/>
      <c r="C250" s="18"/>
      <c r="D250" s="18"/>
      <c r="E250" s="18"/>
      <c r="F250" s="18"/>
      <c r="G250" s="18"/>
      <c r="H250" s="20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ht="18.75" x14ac:dyDescent="0.3">
      <c r="A251" s="22"/>
      <c r="B251" s="18"/>
      <c r="C251" s="18"/>
      <c r="D251" s="18"/>
      <c r="E251" s="18"/>
      <c r="F251" s="18"/>
      <c r="G251" s="18"/>
      <c r="H251" s="20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ht="18.75" x14ac:dyDescent="0.3">
      <c r="A252" s="22"/>
      <c r="B252" s="18"/>
      <c r="C252" s="18"/>
      <c r="D252" s="18"/>
      <c r="E252" s="18"/>
      <c r="F252" s="18"/>
      <c r="G252" s="18"/>
      <c r="H252" s="20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ht="18.75" x14ac:dyDescent="0.3">
      <c r="A253" s="22"/>
      <c r="B253" s="18"/>
      <c r="C253" s="18"/>
      <c r="D253" s="18"/>
      <c r="E253" s="18"/>
      <c r="F253" s="18"/>
      <c r="G253" s="18"/>
      <c r="H253" s="20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ht="18.75" x14ac:dyDescent="0.3">
      <c r="A254" s="22"/>
      <c r="B254" s="18"/>
      <c r="C254" s="18"/>
      <c r="D254" s="18"/>
      <c r="E254" s="18"/>
      <c r="F254" s="18"/>
      <c r="G254" s="18"/>
      <c r="H254" s="20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ht="18.75" x14ac:dyDescent="0.3">
      <c r="A255" s="22"/>
      <c r="B255" s="18"/>
      <c r="C255" s="18"/>
      <c r="D255" s="18"/>
      <c r="E255" s="18"/>
      <c r="F255" s="18"/>
      <c r="G255" s="18"/>
      <c r="H255" s="20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ht="18.75" x14ac:dyDescent="0.3">
      <c r="A256" s="22"/>
      <c r="B256" s="18"/>
      <c r="C256" s="18"/>
      <c r="D256" s="18"/>
      <c r="E256" s="18"/>
      <c r="F256" s="18"/>
      <c r="G256" s="18"/>
      <c r="H256" s="20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ht="18.75" x14ac:dyDescent="0.3">
      <c r="A257" s="22"/>
      <c r="B257" s="18"/>
      <c r="C257" s="18"/>
      <c r="D257" s="18"/>
      <c r="E257" s="18"/>
      <c r="F257" s="18"/>
      <c r="G257" s="18"/>
      <c r="H257" s="20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ht="18.75" x14ac:dyDescent="0.3">
      <c r="A258" s="22"/>
      <c r="B258" s="18"/>
      <c r="C258" s="18"/>
      <c r="D258" s="18"/>
      <c r="E258" s="18"/>
      <c r="F258" s="18"/>
      <c r="G258" s="18"/>
      <c r="H258" s="20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ht="18.75" x14ac:dyDescent="0.3">
      <c r="A259" s="22"/>
      <c r="B259" s="18"/>
      <c r="C259" s="18"/>
      <c r="D259" s="18"/>
      <c r="E259" s="18"/>
      <c r="F259" s="18"/>
      <c r="G259" s="18"/>
      <c r="H259" s="20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ht="18.75" x14ac:dyDescent="0.3">
      <c r="A260" s="22"/>
      <c r="B260" s="18"/>
      <c r="C260" s="18"/>
      <c r="D260" s="18"/>
      <c r="E260" s="18"/>
      <c r="F260" s="18"/>
      <c r="G260" s="18"/>
      <c r="H260" s="20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ht="18.75" x14ac:dyDescent="0.3">
      <c r="A261" s="22"/>
      <c r="B261" s="18"/>
      <c r="C261" s="18"/>
      <c r="D261" s="18"/>
      <c r="E261" s="18"/>
      <c r="F261" s="18"/>
      <c r="G261" s="18"/>
      <c r="H261" s="20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ht="18.75" x14ac:dyDescent="0.3">
      <c r="A262" s="22"/>
      <c r="B262" s="18"/>
      <c r="C262" s="18"/>
      <c r="D262" s="18"/>
      <c r="E262" s="18"/>
      <c r="F262" s="18"/>
      <c r="G262" s="18"/>
      <c r="H262" s="20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ht="18.75" x14ac:dyDescent="0.3">
      <c r="A263" s="22"/>
      <c r="B263" s="18"/>
      <c r="C263" s="18"/>
      <c r="D263" s="18"/>
      <c r="E263" s="18"/>
      <c r="F263" s="18"/>
      <c r="G263" s="18"/>
      <c r="H263" s="20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ht="18.75" x14ac:dyDescent="0.3">
      <c r="A264" s="22"/>
      <c r="B264" s="18"/>
      <c r="C264" s="18"/>
      <c r="D264" s="18"/>
      <c r="E264" s="18"/>
      <c r="F264" s="18"/>
      <c r="G264" s="18"/>
      <c r="H264" s="20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ht="18.75" x14ac:dyDescent="0.3">
      <c r="A265" s="22"/>
      <c r="B265" s="18"/>
      <c r="C265" s="18"/>
      <c r="D265" s="18"/>
      <c r="E265" s="18"/>
      <c r="F265" s="18"/>
      <c r="G265" s="18"/>
      <c r="H265" s="20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ht="18.75" x14ac:dyDescent="0.3">
      <c r="A266" s="22"/>
      <c r="B266" s="18"/>
      <c r="C266" s="18"/>
      <c r="D266" s="18"/>
      <c r="E266" s="18"/>
      <c r="F266" s="18"/>
      <c r="G266" s="18"/>
      <c r="H266" s="20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ht="18.75" x14ac:dyDescent="0.3">
      <c r="A267" s="22"/>
      <c r="B267" s="18"/>
      <c r="C267" s="18"/>
      <c r="D267" s="18"/>
      <c r="E267" s="18"/>
      <c r="F267" s="18"/>
      <c r="G267" s="18"/>
      <c r="H267" s="20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ht="18.75" x14ac:dyDescent="0.3">
      <c r="A268" s="22"/>
      <c r="B268" s="18"/>
      <c r="C268" s="18"/>
      <c r="D268" s="18"/>
      <c r="E268" s="18"/>
      <c r="F268" s="18"/>
      <c r="G268" s="18"/>
      <c r="H268" s="20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ht="18.75" x14ac:dyDescent="0.3">
      <c r="A269" s="22"/>
      <c r="B269" s="18"/>
      <c r="C269" s="18"/>
      <c r="D269" s="18"/>
      <c r="E269" s="18"/>
      <c r="F269" s="18"/>
      <c r="G269" s="18"/>
      <c r="H269" s="20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ht="18.75" x14ac:dyDescent="0.3">
      <c r="A270" s="22"/>
      <c r="B270" s="18"/>
      <c r="C270" s="18"/>
      <c r="D270" s="18"/>
      <c r="E270" s="18"/>
      <c r="F270" s="18"/>
      <c r="G270" s="18"/>
      <c r="H270" s="20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ht="18.75" x14ac:dyDescent="0.3">
      <c r="A271" s="22"/>
      <c r="B271" s="18"/>
      <c r="C271" s="18"/>
      <c r="D271" s="18"/>
      <c r="E271" s="18"/>
      <c r="F271" s="18"/>
      <c r="G271" s="18"/>
      <c r="H271" s="20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ht="18.75" x14ac:dyDescent="0.3">
      <c r="A272" s="22"/>
      <c r="B272" s="18"/>
      <c r="C272" s="18"/>
      <c r="D272" s="18"/>
      <c r="E272" s="18"/>
      <c r="F272" s="18"/>
      <c r="G272" s="18"/>
      <c r="H272" s="20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ht="18.75" x14ac:dyDescent="0.3">
      <c r="A273" s="22"/>
      <c r="B273" s="18"/>
      <c r="C273" s="18"/>
      <c r="D273" s="18"/>
      <c r="E273" s="18"/>
      <c r="F273" s="18"/>
      <c r="G273" s="18"/>
      <c r="H273" s="20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ht="18.75" x14ac:dyDescent="0.3">
      <c r="A274" s="22"/>
      <c r="B274" s="18"/>
      <c r="C274" s="18"/>
      <c r="D274" s="18"/>
      <c r="E274" s="18"/>
      <c r="F274" s="18"/>
      <c r="G274" s="18"/>
      <c r="H274" s="20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ht="18.75" x14ac:dyDescent="0.3">
      <c r="A275" s="22"/>
      <c r="B275" s="18"/>
      <c r="C275" s="18"/>
      <c r="D275" s="18"/>
      <c r="E275" s="18"/>
      <c r="F275" s="18"/>
      <c r="G275" s="18"/>
      <c r="H275" s="20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ht="18.75" x14ac:dyDescent="0.3">
      <c r="A276" s="22"/>
      <c r="B276" s="18"/>
      <c r="C276" s="18"/>
      <c r="D276" s="18"/>
      <c r="E276" s="18"/>
      <c r="F276" s="18"/>
      <c r="G276" s="18"/>
      <c r="H276" s="20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ht="18.75" x14ac:dyDescent="0.3">
      <c r="A277" s="22"/>
      <c r="B277" s="18"/>
      <c r="C277" s="18"/>
      <c r="D277" s="18"/>
      <c r="E277" s="18"/>
      <c r="F277" s="18"/>
      <c r="G277" s="18"/>
      <c r="H277" s="20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ht="18.75" x14ac:dyDescent="0.3">
      <c r="A278" s="22"/>
      <c r="B278" s="18"/>
      <c r="C278" s="18"/>
      <c r="D278" s="18"/>
      <c r="E278" s="18"/>
      <c r="F278" s="18"/>
      <c r="G278" s="18"/>
      <c r="H278" s="20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ht="18.75" x14ac:dyDescent="0.3">
      <c r="A279" s="22"/>
      <c r="B279" s="18"/>
      <c r="C279" s="18"/>
      <c r="D279" s="18"/>
      <c r="E279" s="18"/>
      <c r="F279" s="18"/>
      <c r="G279" s="18"/>
      <c r="H279" s="20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ht="18.75" x14ac:dyDescent="0.3">
      <c r="A280" s="22"/>
      <c r="B280" s="18"/>
      <c r="C280" s="18"/>
      <c r="D280" s="18"/>
      <c r="E280" s="18"/>
      <c r="F280" s="18"/>
      <c r="G280" s="18"/>
      <c r="H280" s="20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ht="18.75" x14ac:dyDescent="0.3">
      <c r="A281" s="22"/>
      <c r="B281" s="18"/>
      <c r="C281" s="18"/>
      <c r="D281" s="18"/>
      <c r="E281" s="18"/>
      <c r="F281" s="18"/>
      <c r="G281" s="18"/>
      <c r="H281" s="20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ht="18.75" x14ac:dyDescent="0.3">
      <c r="A282" s="22"/>
      <c r="B282" s="18"/>
      <c r="C282" s="18"/>
      <c r="D282" s="18"/>
      <c r="E282" s="18"/>
      <c r="F282" s="18"/>
      <c r="G282" s="18"/>
      <c r="H282" s="20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ht="18.75" x14ac:dyDescent="0.3">
      <c r="A283" s="22"/>
      <c r="B283" s="18"/>
      <c r="C283" s="18"/>
      <c r="D283" s="18"/>
      <c r="E283" s="18"/>
      <c r="F283" s="18"/>
      <c r="G283" s="18"/>
      <c r="H283" s="20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ht="18.75" x14ac:dyDescent="0.3">
      <c r="A284" s="22"/>
      <c r="B284" s="18"/>
      <c r="C284" s="18"/>
      <c r="D284" s="18"/>
      <c r="E284" s="18"/>
      <c r="F284" s="18"/>
      <c r="G284" s="18"/>
      <c r="H284" s="20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ht="18.75" x14ac:dyDescent="0.3">
      <c r="A285" s="22"/>
      <c r="B285" s="18"/>
      <c r="C285" s="18"/>
      <c r="D285" s="18"/>
      <c r="E285" s="18"/>
      <c r="F285" s="18"/>
      <c r="G285" s="18"/>
      <c r="H285" s="20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ht="18.75" x14ac:dyDescent="0.3">
      <c r="A286" s="22"/>
      <c r="B286" s="18"/>
      <c r="C286" s="18"/>
      <c r="D286" s="18"/>
      <c r="E286" s="18"/>
      <c r="F286" s="18"/>
      <c r="G286" s="18"/>
      <c r="H286" s="20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ht="18.75" x14ac:dyDescent="0.3">
      <c r="A287" s="22"/>
      <c r="B287" s="18"/>
      <c r="C287" s="18"/>
      <c r="D287" s="18"/>
      <c r="E287" s="18"/>
      <c r="F287" s="18"/>
      <c r="G287" s="18"/>
      <c r="H287" s="20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ht="18.75" x14ac:dyDescent="0.3">
      <c r="A288" s="22"/>
      <c r="B288" s="18"/>
      <c r="C288" s="18"/>
      <c r="D288" s="18"/>
      <c r="E288" s="18"/>
      <c r="F288" s="18"/>
      <c r="G288" s="18"/>
      <c r="H288" s="20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ht="18.75" x14ac:dyDescent="0.3">
      <c r="A289" s="22"/>
      <c r="B289" s="18"/>
      <c r="C289" s="18"/>
      <c r="D289" s="18"/>
      <c r="E289" s="18"/>
      <c r="F289" s="18"/>
      <c r="G289" s="18"/>
      <c r="H289" s="20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ht="18.75" x14ac:dyDescent="0.3">
      <c r="A290" s="22"/>
      <c r="B290" s="18"/>
      <c r="C290" s="18"/>
      <c r="D290" s="18"/>
      <c r="E290" s="18"/>
      <c r="F290" s="18"/>
      <c r="G290" s="18"/>
      <c r="H290" s="20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ht="18.75" x14ac:dyDescent="0.3">
      <c r="A291" s="22"/>
      <c r="B291" s="18"/>
      <c r="C291" s="18"/>
      <c r="D291" s="18"/>
      <c r="E291" s="18"/>
      <c r="F291" s="18"/>
      <c r="G291" s="18"/>
      <c r="H291" s="20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ht="18.75" x14ac:dyDescent="0.3">
      <c r="A292" s="22"/>
      <c r="B292" s="18"/>
      <c r="C292" s="18"/>
      <c r="D292" s="18"/>
      <c r="E292" s="18"/>
      <c r="F292" s="18"/>
      <c r="G292" s="18"/>
      <c r="H292" s="20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ht="18.75" x14ac:dyDescent="0.3">
      <c r="A293" s="22"/>
      <c r="B293" s="18"/>
      <c r="C293" s="18"/>
      <c r="D293" s="18"/>
      <c r="E293" s="18"/>
      <c r="F293" s="18"/>
      <c r="G293" s="18"/>
      <c r="H293" s="20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ht="18.75" x14ac:dyDescent="0.3">
      <c r="A294" s="22"/>
      <c r="B294" s="18"/>
      <c r="C294" s="18"/>
      <c r="D294" s="18"/>
      <c r="E294" s="18"/>
      <c r="F294" s="18"/>
      <c r="G294" s="18"/>
      <c r="H294" s="20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ht="18.75" x14ac:dyDescent="0.3">
      <c r="A295" s="22"/>
      <c r="B295" s="18"/>
      <c r="C295" s="18"/>
      <c r="D295" s="18"/>
      <c r="E295" s="18"/>
      <c r="F295" s="18"/>
      <c r="G295" s="18"/>
      <c r="H295" s="20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ht="18.75" x14ac:dyDescent="0.3">
      <c r="A296" s="22"/>
      <c r="B296" s="18"/>
      <c r="C296" s="18"/>
      <c r="D296" s="18"/>
      <c r="E296" s="18"/>
      <c r="F296" s="18"/>
      <c r="G296" s="18"/>
      <c r="H296" s="20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ht="18.75" x14ac:dyDescent="0.3">
      <c r="A297" s="22"/>
      <c r="B297" s="18"/>
      <c r="C297" s="18"/>
      <c r="D297" s="18"/>
      <c r="E297" s="18"/>
      <c r="F297" s="18"/>
      <c r="G297" s="18"/>
      <c r="H297" s="20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ht="18.75" x14ac:dyDescent="0.3">
      <c r="A298" s="22"/>
      <c r="B298" s="18"/>
      <c r="C298" s="18"/>
      <c r="D298" s="18"/>
      <c r="E298" s="18"/>
      <c r="F298" s="18"/>
      <c r="G298" s="18"/>
      <c r="H298" s="20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ht="18.75" x14ac:dyDescent="0.3">
      <c r="A299" s="22"/>
      <c r="B299" s="18"/>
      <c r="C299" s="18"/>
      <c r="D299" s="18"/>
      <c r="E299" s="18"/>
      <c r="F299" s="18"/>
      <c r="G299" s="18"/>
      <c r="H299" s="20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ht="18.75" x14ac:dyDescent="0.3">
      <c r="A300" s="22"/>
      <c r="B300" s="18"/>
      <c r="C300" s="18"/>
      <c r="D300" s="18"/>
      <c r="E300" s="18"/>
      <c r="F300" s="18"/>
      <c r="G300" s="18"/>
      <c r="H300" s="20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ht="18.75" x14ac:dyDescent="0.3">
      <c r="A301" s="22"/>
      <c r="B301" s="18"/>
      <c r="C301" s="18"/>
      <c r="D301" s="18"/>
      <c r="E301" s="18"/>
      <c r="F301" s="18"/>
      <c r="G301" s="18"/>
      <c r="H301" s="20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ht="18.75" x14ac:dyDescent="0.3">
      <c r="A302" s="22"/>
      <c r="B302" s="18"/>
      <c r="C302" s="18"/>
      <c r="D302" s="18"/>
      <c r="E302" s="18"/>
      <c r="F302" s="18"/>
      <c r="G302" s="18"/>
      <c r="H302" s="20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ht="18.75" x14ac:dyDescent="0.3">
      <c r="A303" s="22"/>
      <c r="B303" s="18"/>
      <c r="C303" s="18"/>
      <c r="D303" s="18"/>
      <c r="E303" s="18"/>
      <c r="F303" s="18"/>
      <c r="G303" s="18"/>
      <c r="H303" s="20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ht="18.75" x14ac:dyDescent="0.3">
      <c r="A304" s="22"/>
      <c r="B304" s="18"/>
      <c r="C304" s="18"/>
      <c r="D304" s="18"/>
      <c r="E304" s="18"/>
      <c r="F304" s="18"/>
      <c r="G304" s="18"/>
      <c r="H304" s="20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ht="18.75" x14ac:dyDescent="0.3">
      <c r="A305" s="22"/>
      <c r="B305" s="18"/>
      <c r="C305" s="18"/>
      <c r="D305" s="18"/>
      <c r="E305" s="18"/>
      <c r="F305" s="18"/>
      <c r="G305" s="18"/>
      <c r="H305" s="20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ht="18.75" x14ac:dyDescent="0.3">
      <c r="A306" s="22"/>
      <c r="B306" s="18"/>
      <c r="C306" s="18"/>
      <c r="D306" s="18"/>
      <c r="E306" s="18"/>
      <c r="F306" s="18"/>
      <c r="G306" s="18"/>
      <c r="H306" s="20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ht="18.75" x14ac:dyDescent="0.3">
      <c r="A307" s="22"/>
      <c r="B307" s="18"/>
      <c r="C307" s="18"/>
      <c r="D307" s="18"/>
      <c r="E307" s="18"/>
      <c r="F307" s="18"/>
      <c r="G307" s="18"/>
      <c r="H307" s="20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ht="18.75" x14ac:dyDescent="0.3">
      <c r="A308" s="22"/>
      <c r="B308" s="18"/>
      <c r="C308" s="18"/>
      <c r="D308" s="18"/>
      <c r="E308" s="18"/>
      <c r="F308" s="18"/>
      <c r="G308" s="18"/>
      <c r="H308" s="20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ht="18.75" x14ac:dyDescent="0.3">
      <c r="A309" s="22"/>
      <c r="B309" s="18"/>
      <c r="C309" s="18"/>
      <c r="D309" s="18"/>
      <c r="E309" s="18"/>
      <c r="F309" s="18"/>
      <c r="G309" s="18"/>
      <c r="H309" s="20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ht="18.75" x14ac:dyDescent="0.3">
      <c r="A310" s="22"/>
      <c r="B310" s="18"/>
      <c r="C310" s="18"/>
      <c r="D310" s="18"/>
      <c r="E310" s="18"/>
      <c r="F310" s="18"/>
      <c r="G310" s="18"/>
      <c r="H310" s="20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ht="18.75" x14ac:dyDescent="0.3">
      <c r="A311" s="22"/>
      <c r="B311" s="18"/>
      <c r="C311" s="18"/>
      <c r="D311" s="18"/>
      <c r="E311" s="18"/>
      <c r="F311" s="18"/>
      <c r="G311" s="18"/>
      <c r="H311" s="20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ht="18.75" x14ac:dyDescent="0.3">
      <c r="A312" s="22"/>
      <c r="B312" s="18"/>
      <c r="C312" s="18"/>
      <c r="D312" s="18"/>
      <c r="E312" s="18"/>
      <c r="F312" s="18"/>
      <c r="G312" s="18"/>
      <c r="H312" s="20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ht="18.75" x14ac:dyDescent="0.3">
      <c r="A313" s="22"/>
      <c r="B313" s="18"/>
      <c r="C313" s="18"/>
      <c r="D313" s="18"/>
      <c r="E313" s="18"/>
      <c r="F313" s="18"/>
      <c r="G313" s="18"/>
      <c r="H313" s="20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ht="18.75" x14ac:dyDescent="0.3">
      <c r="A314" s="22"/>
      <c r="B314" s="18"/>
      <c r="C314" s="18"/>
      <c r="D314" s="18"/>
      <c r="E314" s="18"/>
      <c r="F314" s="18"/>
      <c r="G314" s="18"/>
      <c r="H314" s="20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ht="18.75" x14ac:dyDescent="0.3">
      <c r="A315" s="22"/>
      <c r="B315" s="18"/>
      <c r="C315" s="18"/>
      <c r="D315" s="18"/>
      <c r="E315" s="18"/>
      <c r="F315" s="18"/>
      <c r="G315" s="18"/>
      <c r="H315" s="20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ht="18.75" x14ac:dyDescent="0.3">
      <c r="A316" s="22"/>
      <c r="B316" s="18"/>
      <c r="C316" s="18"/>
      <c r="D316" s="18"/>
      <c r="E316" s="18"/>
      <c r="F316" s="18"/>
      <c r="G316" s="18"/>
      <c r="H316" s="20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ht="18.75" x14ac:dyDescent="0.3">
      <c r="A317" s="22"/>
      <c r="B317" s="18"/>
      <c r="C317" s="18"/>
      <c r="D317" s="18"/>
      <c r="E317" s="18"/>
      <c r="F317" s="18"/>
      <c r="G317" s="18"/>
      <c r="H317" s="20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ht="18.75" x14ac:dyDescent="0.3">
      <c r="A318" s="22"/>
      <c r="B318" s="18"/>
      <c r="C318" s="18"/>
      <c r="D318" s="18"/>
      <c r="E318" s="18"/>
      <c r="F318" s="18"/>
      <c r="G318" s="18"/>
      <c r="H318" s="20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ht="18.75" x14ac:dyDescent="0.3">
      <c r="A319" s="22"/>
      <c r="B319" s="18"/>
      <c r="C319" s="18"/>
      <c r="D319" s="18"/>
      <c r="E319" s="18"/>
      <c r="F319" s="18"/>
      <c r="G319" s="18"/>
      <c r="H319" s="20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ht="18.75" x14ac:dyDescent="0.3">
      <c r="A320" s="22"/>
      <c r="B320" s="18"/>
      <c r="C320" s="18"/>
      <c r="D320" s="18"/>
      <c r="E320" s="18"/>
      <c r="F320" s="18"/>
      <c r="G320" s="18"/>
      <c r="H320" s="20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ht="18.75" x14ac:dyDescent="0.3">
      <c r="A321" s="22"/>
      <c r="B321" s="18"/>
      <c r="C321" s="18"/>
      <c r="D321" s="18"/>
      <c r="E321" s="18"/>
      <c r="F321" s="18"/>
      <c r="G321" s="18"/>
      <c r="H321" s="20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ht="18.75" x14ac:dyDescent="0.3">
      <c r="A322" s="22"/>
      <c r="B322" s="18"/>
      <c r="C322" s="18"/>
      <c r="D322" s="18"/>
      <c r="E322" s="18"/>
      <c r="F322" s="18"/>
      <c r="G322" s="18"/>
      <c r="H322" s="20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ht="18.75" x14ac:dyDescent="0.3">
      <c r="A323" s="22"/>
      <c r="B323" s="18"/>
      <c r="C323" s="18"/>
      <c r="D323" s="18"/>
      <c r="E323" s="18"/>
      <c r="F323" s="18"/>
      <c r="G323" s="18"/>
      <c r="H323" s="20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ht="18.75" x14ac:dyDescent="0.3">
      <c r="A324" s="22"/>
      <c r="B324" s="18"/>
      <c r="C324" s="18"/>
      <c r="D324" s="18"/>
      <c r="E324" s="18"/>
      <c r="F324" s="18"/>
      <c r="G324" s="18"/>
      <c r="H324" s="20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ht="18.75" x14ac:dyDescent="0.3">
      <c r="A325" s="22"/>
      <c r="B325" s="18"/>
      <c r="C325" s="18"/>
      <c r="D325" s="18"/>
      <c r="E325" s="18"/>
      <c r="F325" s="18"/>
      <c r="G325" s="18"/>
      <c r="H325" s="20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ht="18.75" x14ac:dyDescent="0.3">
      <c r="A326" s="22"/>
      <c r="B326" s="18"/>
      <c r="C326" s="18"/>
      <c r="D326" s="18"/>
      <c r="E326" s="18"/>
      <c r="F326" s="18"/>
      <c r="G326" s="18"/>
      <c r="H326" s="20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ht="18.75" x14ac:dyDescent="0.3">
      <c r="A327" s="22"/>
      <c r="B327" s="18"/>
      <c r="C327" s="18"/>
      <c r="D327" s="18"/>
      <c r="E327" s="18"/>
      <c r="F327" s="18"/>
      <c r="G327" s="18"/>
      <c r="H327" s="20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ht="18.75" x14ac:dyDescent="0.3">
      <c r="A328" s="22"/>
      <c r="B328" s="18"/>
      <c r="C328" s="18"/>
      <c r="D328" s="18"/>
      <c r="E328" s="18"/>
      <c r="F328" s="18"/>
      <c r="G328" s="18"/>
      <c r="H328" s="20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ht="18.75" x14ac:dyDescent="0.3">
      <c r="A329" s="22"/>
      <c r="B329" s="18"/>
      <c r="C329" s="18"/>
      <c r="D329" s="18"/>
      <c r="E329" s="18"/>
      <c r="F329" s="18"/>
      <c r="G329" s="18"/>
      <c r="H329" s="20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ht="18.75" x14ac:dyDescent="0.3">
      <c r="A330" s="22"/>
      <c r="B330" s="18"/>
      <c r="C330" s="18"/>
      <c r="D330" s="18"/>
      <c r="E330" s="18"/>
      <c r="F330" s="18"/>
      <c r="G330" s="18"/>
      <c r="H330" s="20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ht="18.75" x14ac:dyDescent="0.3">
      <c r="A331" s="22"/>
      <c r="B331" s="18"/>
      <c r="C331" s="18"/>
      <c r="D331" s="18"/>
      <c r="E331" s="18"/>
      <c r="F331" s="18"/>
      <c r="G331" s="18"/>
      <c r="H331" s="20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ht="18.75" x14ac:dyDescent="0.3">
      <c r="A332" s="22"/>
      <c r="B332" s="18"/>
      <c r="C332" s="18"/>
      <c r="D332" s="18"/>
      <c r="E332" s="18"/>
      <c r="F332" s="18"/>
      <c r="G332" s="18"/>
      <c r="H332" s="20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ht="18.75" x14ac:dyDescent="0.3">
      <c r="A333" s="22"/>
      <c r="B333" s="18"/>
      <c r="C333" s="18"/>
      <c r="D333" s="18"/>
      <c r="E333" s="18"/>
      <c r="F333" s="18"/>
      <c r="G333" s="18"/>
      <c r="H333" s="20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ht="18.75" x14ac:dyDescent="0.3">
      <c r="A334" s="22"/>
      <c r="B334" s="18"/>
      <c r="C334" s="18"/>
      <c r="D334" s="18"/>
      <c r="E334" s="18"/>
      <c r="F334" s="18"/>
      <c r="G334" s="18"/>
      <c r="H334" s="20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ht="18.75" x14ac:dyDescent="0.3">
      <c r="A335" s="22"/>
      <c r="B335" s="18"/>
      <c r="C335" s="18"/>
      <c r="D335" s="18"/>
      <c r="E335" s="18"/>
      <c r="F335" s="18"/>
      <c r="G335" s="18"/>
      <c r="H335" s="20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ht="18.75" x14ac:dyDescent="0.3">
      <c r="A336" s="22"/>
      <c r="B336" s="18"/>
      <c r="C336" s="18"/>
      <c r="D336" s="18"/>
      <c r="E336" s="18"/>
      <c r="F336" s="18"/>
      <c r="G336" s="18"/>
      <c r="H336" s="20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ht="18.75" x14ac:dyDescent="0.3">
      <c r="A337" s="22"/>
      <c r="B337" s="18"/>
      <c r="C337" s="18"/>
      <c r="D337" s="18"/>
      <c r="E337" s="18"/>
      <c r="F337" s="18"/>
      <c r="G337" s="18"/>
      <c r="H337" s="20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ht="18.75" x14ac:dyDescent="0.3">
      <c r="A338" s="22"/>
      <c r="B338" s="18"/>
      <c r="C338" s="18"/>
      <c r="D338" s="18"/>
      <c r="E338" s="18"/>
      <c r="F338" s="18"/>
      <c r="G338" s="18"/>
      <c r="H338" s="20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ht="18.75" x14ac:dyDescent="0.3">
      <c r="A339" s="22"/>
      <c r="B339" s="18"/>
      <c r="C339" s="18"/>
      <c r="D339" s="18"/>
      <c r="E339" s="18"/>
      <c r="F339" s="18"/>
      <c r="G339" s="18"/>
      <c r="H339" s="20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ht="18.75" x14ac:dyDescent="0.3">
      <c r="A340" s="22"/>
      <c r="B340" s="18"/>
      <c r="C340" s="18"/>
      <c r="D340" s="18"/>
      <c r="E340" s="18"/>
      <c r="F340" s="18"/>
      <c r="G340" s="18"/>
      <c r="H340" s="20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ht="18.75" x14ac:dyDescent="0.3">
      <c r="A341" s="22"/>
      <c r="B341" s="18"/>
      <c r="C341" s="18"/>
      <c r="D341" s="18"/>
      <c r="E341" s="18"/>
      <c r="F341" s="18"/>
      <c r="G341" s="18"/>
      <c r="H341" s="20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ht="18.75" x14ac:dyDescent="0.3">
      <c r="A342" s="22"/>
      <c r="B342" s="18"/>
      <c r="C342" s="18"/>
      <c r="D342" s="18"/>
      <c r="E342" s="18"/>
      <c r="F342" s="18"/>
      <c r="G342" s="18"/>
      <c r="H342" s="20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ht="18.75" x14ac:dyDescent="0.3">
      <c r="A343" s="22"/>
      <c r="B343" s="18"/>
      <c r="C343" s="18"/>
      <c r="D343" s="18"/>
      <c r="E343" s="18"/>
      <c r="F343" s="18"/>
      <c r="G343" s="18"/>
      <c r="H343" s="20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ht="18.75" x14ac:dyDescent="0.3">
      <c r="A344" s="22"/>
      <c r="B344" s="18"/>
      <c r="C344" s="18"/>
      <c r="D344" s="18"/>
      <c r="E344" s="18"/>
      <c r="F344" s="18"/>
      <c r="G344" s="18"/>
      <c r="H344" s="20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ht="18.75" x14ac:dyDescent="0.3">
      <c r="A345" s="22"/>
      <c r="B345" s="18"/>
      <c r="C345" s="18"/>
      <c r="D345" s="18"/>
      <c r="E345" s="18"/>
      <c r="F345" s="18"/>
      <c r="G345" s="18"/>
      <c r="H345" s="20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ht="18.75" x14ac:dyDescent="0.3">
      <c r="A346" s="22"/>
      <c r="B346" s="18"/>
      <c r="C346" s="18"/>
      <c r="D346" s="18"/>
      <c r="E346" s="18"/>
      <c r="F346" s="18"/>
      <c r="G346" s="18"/>
      <c r="H346" s="20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ht="18.75" x14ac:dyDescent="0.3">
      <c r="A347" s="22"/>
      <c r="B347" s="18"/>
      <c r="C347" s="18"/>
      <c r="D347" s="18"/>
      <c r="E347" s="18"/>
      <c r="F347" s="18"/>
      <c r="G347" s="18"/>
      <c r="H347" s="20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ht="18.75" x14ac:dyDescent="0.3">
      <c r="A348" s="22"/>
      <c r="B348" s="18"/>
      <c r="C348" s="18"/>
      <c r="D348" s="18"/>
      <c r="E348" s="18"/>
      <c r="F348" s="18"/>
      <c r="G348" s="18"/>
      <c r="H348" s="20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ht="18.75" x14ac:dyDescent="0.3">
      <c r="A349" s="22"/>
      <c r="B349" s="18"/>
      <c r="C349" s="18"/>
      <c r="D349" s="18"/>
      <c r="E349" s="18"/>
      <c r="F349" s="18"/>
      <c r="G349" s="18"/>
      <c r="H349" s="20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ht="18.75" x14ac:dyDescent="0.3">
      <c r="A350" s="22"/>
      <c r="B350" s="18"/>
      <c r="C350" s="18"/>
      <c r="D350" s="18"/>
      <c r="E350" s="18"/>
      <c r="F350" s="18"/>
      <c r="G350" s="18"/>
      <c r="H350" s="20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ht="18.75" x14ac:dyDescent="0.3">
      <c r="A351" s="22"/>
      <c r="B351" s="18"/>
      <c r="C351" s="18"/>
      <c r="D351" s="18"/>
      <c r="E351" s="18"/>
      <c r="F351" s="18"/>
      <c r="G351" s="18"/>
      <c r="H351" s="20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ht="18.75" x14ac:dyDescent="0.3">
      <c r="A352" s="22"/>
      <c r="B352" s="18"/>
      <c r="C352" s="18"/>
      <c r="D352" s="18"/>
      <c r="E352" s="18"/>
      <c r="F352" s="18"/>
      <c r="G352" s="18"/>
      <c r="H352" s="20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ht="18.75" x14ac:dyDescent="0.3">
      <c r="A353" s="22"/>
      <c r="B353" s="18"/>
      <c r="C353" s="18"/>
      <c r="D353" s="18"/>
      <c r="E353" s="18"/>
      <c r="F353" s="18"/>
      <c r="G353" s="18"/>
      <c r="H353" s="20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ht="18.75" x14ac:dyDescent="0.3">
      <c r="A354" s="22"/>
      <c r="B354" s="18"/>
      <c r="C354" s="18"/>
      <c r="D354" s="18"/>
      <c r="E354" s="18"/>
      <c r="F354" s="18"/>
      <c r="G354" s="18"/>
      <c r="H354" s="20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ht="18.75" x14ac:dyDescent="0.3">
      <c r="A355" s="22"/>
      <c r="B355" s="18"/>
      <c r="C355" s="18"/>
      <c r="D355" s="18"/>
      <c r="E355" s="18"/>
      <c r="F355" s="18"/>
      <c r="G355" s="18"/>
      <c r="H355" s="20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ht="18.75" x14ac:dyDescent="0.3">
      <c r="A356" s="22"/>
      <c r="B356" s="18"/>
      <c r="C356" s="18"/>
      <c r="D356" s="18"/>
      <c r="E356" s="18"/>
      <c r="F356" s="18"/>
      <c r="G356" s="18"/>
      <c r="H356" s="20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ht="18.75" x14ac:dyDescent="0.3">
      <c r="A357" s="22"/>
      <c r="B357" s="18"/>
      <c r="C357" s="18"/>
      <c r="D357" s="18"/>
      <c r="E357" s="18"/>
      <c r="F357" s="18"/>
      <c r="G357" s="18"/>
      <c r="H357" s="20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ht="18.75" x14ac:dyDescent="0.3">
      <c r="A358" s="22"/>
      <c r="B358" s="18"/>
      <c r="C358" s="18"/>
      <c r="D358" s="18"/>
      <c r="E358" s="18"/>
      <c r="F358" s="18"/>
      <c r="G358" s="18"/>
      <c r="H358" s="20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ht="18.75" x14ac:dyDescent="0.3">
      <c r="A359" s="22"/>
      <c r="B359" s="18"/>
      <c r="C359" s="18"/>
      <c r="D359" s="18"/>
      <c r="E359" s="18"/>
      <c r="F359" s="18"/>
      <c r="G359" s="18"/>
      <c r="H359" s="20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ht="18.75" x14ac:dyDescent="0.3">
      <c r="A360" s="22"/>
      <c r="B360" s="18"/>
      <c r="C360" s="18"/>
      <c r="D360" s="18"/>
      <c r="E360" s="18"/>
      <c r="F360" s="18"/>
      <c r="G360" s="18"/>
      <c r="H360" s="20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ht="18.75" x14ac:dyDescent="0.3">
      <c r="A361" s="22"/>
      <c r="B361" s="18"/>
      <c r="C361" s="18"/>
      <c r="D361" s="18"/>
      <c r="E361" s="18"/>
      <c r="F361" s="18"/>
      <c r="G361" s="18"/>
      <c r="H361" s="20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ht="18.75" x14ac:dyDescent="0.3">
      <c r="A362" s="22"/>
      <c r="B362" s="18"/>
      <c r="C362" s="18"/>
      <c r="D362" s="18"/>
      <c r="E362" s="18"/>
      <c r="F362" s="18"/>
      <c r="G362" s="18"/>
      <c r="H362" s="20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ht="18.75" x14ac:dyDescent="0.3">
      <c r="A363" s="22"/>
      <c r="B363" s="18"/>
      <c r="C363" s="18"/>
      <c r="D363" s="18"/>
      <c r="E363" s="18"/>
      <c r="F363" s="18"/>
      <c r="G363" s="18"/>
      <c r="H363" s="20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ht="18.75" x14ac:dyDescent="0.3">
      <c r="A364" s="22"/>
      <c r="B364" s="18"/>
      <c r="C364" s="18"/>
      <c r="D364" s="18"/>
      <c r="E364" s="18"/>
      <c r="F364" s="18"/>
      <c r="G364" s="18"/>
      <c r="H364" s="20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ht="18.75" x14ac:dyDescent="0.3">
      <c r="A365" s="22"/>
      <c r="B365" s="18"/>
      <c r="C365" s="18"/>
      <c r="D365" s="18"/>
      <c r="E365" s="18"/>
      <c r="F365" s="18"/>
      <c r="G365" s="18"/>
      <c r="H365" s="20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ht="18.75" x14ac:dyDescent="0.3">
      <c r="A366" s="22"/>
      <c r="B366" s="18"/>
      <c r="C366" s="18"/>
      <c r="D366" s="18"/>
      <c r="E366" s="18"/>
      <c r="F366" s="18"/>
      <c r="G366" s="18"/>
      <c r="H366" s="20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ht="18.75" x14ac:dyDescent="0.3">
      <c r="A367" s="22"/>
      <c r="B367" s="18"/>
      <c r="C367" s="18"/>
      <c r="D367" s="18"/>
      <c r="E367" s="18"/>
      <c r="F367" s="18"/>
      <c r="G367" s="18"/>
      <c r="H367" s="20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ht="18.75" x14ac:dyDescent="0.3">
      <c r="A368" s="22"/>
      <c r="B368" s="18"/>
      <c r="C368" s="18"/>
      <c r="D368" s="18"/>
      <c r="E368" s="18"/>
      <c r="F368" s="18"/>
      <c r="G368" s="18"/>
      <c r="H368" s="20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ht="18.75" x14ac:dyDescent="0.3">
      <c r="A369" s="22"/>
      <c r="B369" s="18"/>
      <c r="C369" s="18"/>
      <c r="D369" s="18"/>
      <c r="E369" s="18"/>
      <c r="F369" s="18"/>
      <c r="G369" s="18"/>
      <c r="H369" s="20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ht="18.75" x14ac:dyDescent="0.3">
      <c r="A370" s="22"/>
      <c r="B370" s="18"/>
      <c r="C370" s="18"/>
      <c r="D370" s="18"/>
      <c r="E370" s="18"/>
      <c r="F370" s="18"/>
      <c r="G370" s="18"/>
      <c r="H370" s="20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ht="18.75" x14ac:dyDescent="0.3">
      <c r="A371" s="22"/>
      <c r="B371" s="18"/>
      <c r="C371" s="18"/>
      <c r="D371" s="18"/>
      <c r="E371" s="18"/>
      <c r="F371" s="18"/>
      <c r="G371" s="18"/>
      <c r="H371" s="20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ht="18.75" x14ac:dyDescent="0.3">
      <c r="A372" s="22"/>
      <c r="B372" s="18"/>
      <c r="C372" s="18"/>
      <c r="D372" s="18"/>
      <c r="E372" s="18"/>
      <c r="F372" s="18"/>
      <c r="G372" s="18"/>
      <c r="H372" s="20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ht="18.75" x14ac:dyDescent="0.3">
      <c r="A373" s="22"/>
      <c r="B373" s="18"/>
      <c r="C373" s="18"/>
      <c r="D373" s="18"/>
      <c r="E373" s="18"/>
      <c r="F373" s="18"/>
      <c r="G373" s="18"/>
      <c r="H373" s="20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ht="18.75" x14ac:dyDescent="0.3">
      <c r="A374" s="22"/>
      <c r="B374" s="18"/>
      <c r="C374" s="18"/>
      <c r="D374" s="18"/>
      <c r="E374" s="18"/>
      <c r="F374" s="18"/>
      <c r="G374" s="18"/>
      <c r="H374" s="20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ht="18.75" x14ac:dyDescent="0.3">
      <c r="A375" s="22"/>
      <c r="B375" s="18"/>
      <c r="C375" s="18"/>
      <c r="D375" s="18"/>
      <c r="E375" s="18"/>
      <c r="F375" s="18"/>
      <c r="G375" s="18"/>
      <c r="H375" s="20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ht="18.75" x14ac:dyDescent="0.3">
      <c r="A376" s="22"/>
      <c r="B376" s="18"/>
      <c r="C376" s="18"/>
      <c r="D376" s="18"/>
      <c r="E376" s="18"/>
      <c r="F376" s="18"/>
      <c r="G376" s="18"/>
      <c r="H376" s="20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ht="18.75" x14ac:dyDescent="0.3">
      <c r="A377" s="22"/>
      <c r="B377" s="18"/>
      <c r="C377" s="18"/>
      <c r="D377" s="18"/>
      <c r="E377" s="18"/>
      <c r="F377" s="18"/>
      <c r="G377" s="18"/>
      <c r="H377" s="20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ht="18.75" x14ac:dyDescent="0.3">
      <c r="A378" s="22"/>
      <c r="B378" s="18"/>
      <c r="C378" s="18"/>
      <c r="D378" s="18"/>
      <c r="E378" s="18"/>
      <c r="F378" s="18"/>
      <c r="G378" s="18"/>
      <c r="H378" s="20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ht="18.75" x14ac:dyDescent="0.3">
      <c r="A379" s="22"/>
      <c r="B379" s="18"/>
      <c r="C379" s="18"/>
      <c r="D379" s="18"/>
      <c r="E379" s="18"/>
      <c r="F379" s="18"/>
      <c r="G379" s="18"/>
      <c r="H379" s="20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ht="18.75" x14ac:dyDescent="0.3">
      <c r="A380" s="22"/>
      <c r="B380" s="18"/>
      <c r="C380" s="18"/>
      <c r="D380" s="18"/>
      <c r="E380" s="18"/>
      <c r="F380" s="18"/>
      <c r="G380" s="18"/>
      <c r="H380" s="20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ht="18.75" x14ac:dyDescent="0.3">
      <c r="A381" s="22"/>
      <c r="B381" s="18"/>
      <c r="C381" s="18"/>
      <c r="D381" s="18"/>
      <c r="E381" s="18"/>
      <c r="F381" s="18"/>
      <c r="G381" s="18"/>
      <c r="H381" s="20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ht="18.75" x14ac:dyDescent="0.3">
      <c r="A382" s="22"/>
      <c r="B382" s="18"/>
      <c r="C382" s="18"/>
      <c r="D382" s="18"/>
      <c r="E382" s="18"/>
      <c r="F382" s="18"/>
      <c r="G382" s="18"/>
      <c r="H382" s="20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ht="18.75" x14ac:dyDescent="0.3">
      <c r="A383" s="22"/>
      <c r="B383" s="18"/>
      <c r="C383" s="18"/>
      <c r="D383" s="18"/>
      <c r="E383" s="18"/>
      <c r="F383" s="18"/>
      <c r="G383" s="18"/>
      <c r="H383" s="20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ht="18.75" x14ac:dyDescent="0.3">
      <c r="A384" s="22"/>
      <c r="B384" s="18"/>
      <c r="C384" s="18"/>
      <c r="D384" s="18"/>
      <c r="E384" s="18"/>
      <c r="F384" s="18"/>
      <c r="G384" s="18"/>
      <c r="H384" s="20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ht="18.75" x14ac:dyDescent="0.3">
      <c r="A385" s="22"/>
      <c r="B385" s="18"/>
      <c r="C385" s="18"/>
      <c r="D385" s="18"/>
      <c r="E385" s="18"/>
      <c r="F385" s="18"/>
      <c r="G385" s="18"/>
      <c r="H385" s="20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ht="18.75" x14ac:dyDescent="0.3">
      <c r="A386" s="22"/>
      <c r="B386" s="18"/>
      <c r="C386" s="18"/>
      <c r="D386" s="18"/>
      <c r="E386" s="18"/>
      <c r="F386" s="18"/>
      <c r="G386" s="18"/>
      <c r="H386" s="20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ht="18.75" x14ac:dyDescent="0.3">
      <c r="A387" s="22"/>
      <c r="B387" s="18"/>
      <c r="C387" s="18"/>
      <c r="D387" s="18"/>
      <c r="E387" s="18"/>
      <c r="F387" s="18"/>
      <c r="G387" s="18"/>
      <c r="H387" s="20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ht="18.75" x14ac:dyDescent="0.3">
      <c r="A388" s="22"/>
      <c r="B388" s="18"/>
      <c r="C388" s="18"/>
      <c r="D388" s="18"/>
      <c r="E388" s="18"/>
      <c r="F388" s="18"/>
      <c r="G388" s="18"/>
      <c r="H388" s="20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ht="18.75" x14ac:dyDescent="0.3">
      <c r="A389" s="22"/>
      <c r="B389" s="18"/>
      <c r="C389" s="18"/>
      <c r="D389" s="18"/>
      <c r="E389" s="18"/>
      <c r="F389" s="18"/>
      <c r="G389" s="18"/>
      <c r="H389" s="20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ht="18.75" x14ac:dyDescent="0.3">
      <c r="A390" s="22"/>
      <c r="B390" s="18"/>
      <c r="C390" s="18"/>
      <c r="D390" s="18"/>
      <c r="E390" s="18"/>
      <c r="F390" s="18"/>
      <c r="G390" s="18"/>
      <c r="H390" s="20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ht="18.75" x14ac:dyDescent="0.3">
      <c r="A391" s="22"/>
      <c r="B391" s="18"/>
      <c r="C391" s="18"/>
      <c r="D391" s="18"/>
      <c r="E391" s="18"/>
      <c r="F391" s="18"/>
      <c r="G391" s="18"/>
      <c r="H391" s="20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ht="18.75" x14ac:dyDescent="0.3">
      <c r="A392" s="22"/>
      <c r="B392" s="18"/>
      <c r="C392" s="18"/>
      <c r="D392" s="18"/>
      <c r="E392" s="18"/>
      <c r="F392" s="18"/>
      <c r="G392" s="18"/>
      <c r="H392" s="20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ht="18.75" x14ac:dyDescent="0.3">
      <c r="A393" s="22"/>
      <c r="B393" s="18"/>
      <c r="C393" s="18"/>
      <c r="D393" s="18"/>
      <c r="E393" s="18"/>
      <c r="F393" s="18"/>
      <c r="G393" s="18"/>
      <c r="H393" s="20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ht="18.75" x14ac:dyDescent="0.3">
      <c r="A394" s="22"/>
      <c r="B394" s="18"/>
      <c r="C394" s="18"/>
      <c r="D394" s="18"/>
      <c r="E394" s="18"/>
      <c r="F394" s="18"/>
      <c r="G394" s="18"/>
      <c r="H394" s="20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ht="18.75" x14ac:dyDescent="0.3">
      <c r="A395" s="22"/>
      <c r="B395" s="18"/>
      <c r="C395" s="18"/>
      <c r="D395" s="18"/>
      <c r="E395" s="18"/>
      <c r="F395" s="18"/>
      <c r="G395" s="18"/>
      <c r="H395" s="20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ht="18.75" x14ac:dyDescent="0.3">
      <c r="A396" s="22"/>
      <c r="B396" s="18"/>
      <c r="C396" s="18"/>
      <c r="D396" s="18"/>
      <c r="E396" s="18"/>
      <c r="F396" s="18"/>
      <c r="G396" s="18"/>
      <c r="H396" s="20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ht="18.75" x14ac:dyDescent="0.3">
      <c r="A397" s="22"/>
      <c r="B397" s="18"/>
      <c r="C397" s="18"/>
      <c r="D397" s="18"/>
      <c r="E397" s="18"/>
      <c r="F397" s="18"/>
      <c r="G397" s="18"/>
      <c r="H397" s="20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ht="18.75" x14ac:dyDescent="0.3">
      <c r="A398" s="22"/>
      <c r="B398" s="18"/>
      <c r="C398" s="18"/>
      <c r="D398" s="18"/>
      <c r="E398" s="18"/>
      <c r="F398" s="18"/>
      <c r="G398" s="18"/>
      <c r="H398" s="20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ht="18.75" x14ac:dyDescent="0.3">
      <c r="A399" s="22"/>
      <c r="B399" s="18"/>
      <c r="C399" s="18"/>
      <c r="D399" s="18"/>
      <c r="E399" s="18"/>
      <c r="F399" s="18"/>
      <c r="G399" s="18"/>
      <c r="H399" s="20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ht="18.75" x14ac:dyDescent="0.3">
      <c r="A400" s="22"/>
      <c r="B400" s="18"/>
      <c r="C400" s="18"/>
      <c r="D400" s="18"/>
      <c r="E400" s="18"/>
      <c r="F400" s="18"/>
      <c r="G400" s="18"/>
      <c r="H400" s="20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ht="18.75" x14ac:dyDescent="0.3">
      <c r="A401" s="22"/>
      <c r="B401" s="18"/>
      <c r="C401" s="18"/>
      <c r="D401" s="18"/>
      <c r="E401" s="18"/>
      <c r="F401" s="18"/>
      <c r="G401" s="18"/>
      <c r="H401" s="20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ht="18.75" x14ac:dyDescent="0.3">
      <c r="A402" s="22"/>
      <c r="B402" s="18"/>
      <c r="C402" s="18"/>
      <c r="D402" s="18"/>
      <c r="E402" s="18"/>
      <c r="F402" s="18"/>
      <c r="G402" s="18"/>
      <c r="H402" s="20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ht="18.75" x14ac:dyDescent="0.3">
      <c r="A403" s="22"/>
      <c r="B403" s="18"/>
      <c r="C403" s="18"/>
      <c r="D403" s="18"/>
      <c r="E403" s="18"/>
      <c r="F403" s="18"/>
      <c r="G403" s="18"/>
      <c r="H403" s="20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ht="18.75" x14ac:dyDescent="0.3">
      <c r="A404" s="22"/>
      <c r="B404" s="18"/>
      <c r="C404" s="18"/>
      <c r="D404" s="18"/>
      <c r="E404" s="18"/>
      <c r="F404" s="18"/>
      <c r="G404" s="18"/>
      <c r="H404" s="20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ht="18.75" x14ac:dyDescent="0.3">
      <c r="A405" s="22"/>
      <c r="B405" s="18"/>
      <c r="C405" s="18"/>
      <c r="D405" s="18"/>
      <c r="E405" s="18"/>
      <c r="F405" s="18"/>
      <c r="G405" s="18"/>
      <c r="H405" s="20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ht="18.75" x14ac:dyDescent="0.3">
      <c r="A406" s="22"/>
      <c r="B406" s="18"/>
      <c r="C406" s="18"/>
      <c r="D406" s="18"/>
      <c r="E406" s="18"/>
      <c r="F406" s="18"/>
      <c r="G406" s="18"/>
      <c r="H406" s="20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ht="18.75" x14ac:dyDescent="0.3">
      <c r="A407" s="22"/>
      <c r="B407" s="18"/>
      <c r="C407" s="18"/>
      <c r="D407" s="18"/>
      <c r="E407" s="18"/>
      <c r="F407" s="18"/>
      <c r="G407" s="18"/>
      <c r="H407" s="20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ht="18.75" x14ac:dyDescent="0.3">
      <c r="A408" s="22"/>
      <c r="B408" s="18"/>
      <c r="C408" s="18"/>
      <c r="D408" s="18"/>
      <c r="E408" s="18"/>
      <c r="F408" s="18"/>
      <c r="G408" s="18"/>
      <c r="H408" s="20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ht="18.75" x14ac:dyDescent="0.3">
      <c r="A409" s="22"/>
      <c r="B409" s="18"/>
      <c r="C409" s="18"/>
      <c r="D409" s="18"/>
      <c r="E409" s="18"/>
      <c r="F409" s="18"/>
      <c r="G409" s="18"/>
      <c r="H409" s="20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spans="1:25" ht="18.75" x14ac:dyDescent="0.3">
      <c r="A410" s="22"/>
      <c r="B410" s="18"/>
      <c r="C410" s="18"/>
      <c r="D410" s="18"/>
      <c r="E410" s="18"/>
      <c r="F410" s="18"/>
      <c r="G410" s="18"/>
      <c r="H410" s="20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spans="1:25" ht="18.75" x14ac:dyDescent="0.3">
      <c r="A411" s="22"/>
      <c r="B411" s="18"/>
      <c r="C411" s="18"/>
      <c r="D411" s="18"/>
      <c r="E411" s="18"/>
      <c r="F411" s="18"/>
      <c r="G411" s="18"/>
      <c r="H411" s="20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spans="1:25" ht="18.75" x14ac:dyDescent="0.3">
      <c r="A412" s="22"/>
      <c r="B412" s="18"/>
      <c r="C412" s="18"/>
      <c r="D412" s="18"/>
      <c r="E412" s="18"/>
      <c r="F412" s="18"/>
      <c r="G412" s="18"/>
      <c r="H412" s="20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spans="1:25" ht="18.75" x14ac:dyDescent="0.3">
      <c r="A413" s="22"/>
      <c r="B413" s="18"/>
      <c r="C413" s="18"/>
      <c r="D413" s="18"/>
      <c r="E413" s="18"/>
      <c r="F413" s="18"/>
      <c r="G413" s="18"/>
      <c r="H413" s="20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spans="1:25" ht="18.75" x14ac:dyDescent="0.3">
      <c r="A414" s="22"/>
      <c r="B414" s="18"/>
      <c r="C414" s="18"/>
      <c r="D414" s="18"/>
      <c r="E414" s="18"/>
      <c r="F414" s="18"/>
      <c r="G414" s="18"/>
      <c r="H414" s="20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spans="1:25" ht="18.75" x14ac:dyDescent="0.3">
      <c r="A415" s="22"/>
      <c r="B415" s="18"/>
      <c r="C415" s="18"/>
      <c r="D415" s="18"/>
      <c r="E415" s="18"/>
      <c r="F415" s="18"/>
      <c r="G415" s="18"/>
      <c r="H415" s="20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spans="1:25" ht="18.75" x14ac:dyDescent="0.3">
      <c r="A416" s="22"/>
      <c r="B416" s="18"/>
      <c r="C416" s="18"/>
      <c r="D416" s="18"/>
      <c r="E416" s="18"/>
      <c r="F416" s="18"/>
      <c r="G416" s="18"/>
      <c r="H416" s="20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spans="1:25" ht="18.75" x14ac:dyDescent="0.3">
      <c r="A417" s="22"/>
      <c r="B417" s="18"/>
      <c r="C417" s="18"/>
      <c r="D417" s="18"/>
      <c r="E417" s="18"/>
      <c r="F417" s="18"/>
      <c r="G417" s="18"/>
      <c r="H417" s="20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spans="1:25" ht="18.75" x14ac:dyDescent="0.3">
      <c r="A418" s="22"/>
      <c r="B418" s="18"/>
      <c r="C418" s="18"/>
      <c r="D418" s="18"/>
      <c r="E418" s="18"/>
      <c r="F418" s="18"/>
      <c r="G418" s="18"/>
      <c r="H418" s="20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spans="1:25" ht="18.75" x14ac:dyDescent="0.3">
      <c r="A419" s="22"/>
      <c r="B419" s="18"/>
      <c r="C419" s="18"/>
      <c r="D419" s="18"/>
      <c r="E419" s="18"/>
      <c r="F419" s="18"/>
      <c r="G419" s="18"/>
      <c r="H419" s="20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spans="1:25" ht="18.75" x14ac:dyDescent="0.3">
      <c r="A420" s="22"/>
      <c r="B420" s="18"/>
      <c r="C420" s="18"/>
      <c r="D420" s="18"/>
      <c r="E420" s="18"/>
      <c r="F420" s="18"/>
      <c r="G420" s="18"/>
      <c r="H420" s="20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spans="1:25" ht="18.75" x14ac:dyDescent="0.3">
      <c r="A421" s="22"/>
      <c r="B421" s="18"/>
      <c r="C421" s="18"/>
      <c r="D421" s="18"/>
      <c r="E421" s="18"/>
      <c r="F421" s="18"/>
      <c r="G421" s="18"/>
      <c r="H421" s="20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spans="1:25" ht="18.75" x14ac:dyDescent="0.3">
      <c r="A422" s="22"/>
      <c r="B422" s="18"/>
      <c r="C422" s="18"/>
      <c r="D422" s="18"/>
      <c r="E422" s="18"/>
      <c r="F422" s="18"/>
      <c r="G422" s="18"/>
      <c r="H422" s="20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spans="1:25" ht="18.75" x14ac:dyDescent="0.3">
      <c r="A423" s="22"/>
      <c r="B423" s="18"/>
      <c r="C423" s="18"/>
      <c r="D423" s="18"/>
      <c r="E423" s="18"/>
      <c r="F423" s="18"/>
      <c r="G423" s="18"/>
      <c r="H423" s="20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spans="1:25" ht="18.75" x14ac:dyDescent="0.3">
      <c r="A424" s="22"/>
      <c r="B424" s="18"/>
      <c r="C424" s="18"/>
      <c r="D424" s="18"/>
      <c r="E424" s="18"/>
      <c r="F424" s="18"/>
      <c r="G424" s="18"/>
      <c r="H424" s="20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spans="1:25" ht="18.75" x14ac:dyDescent="0.3">
      <c r="A425" s="22"/>
      <c r="B425" s="18"/>
      <c r="C425" s="18"/>
      <c r="D425" s="18"/>
      <c r="E425" s="18"/>
      <c r="F425" s="18"/>
      <c r="G425" s="18"/>
      <c r="H425" s="20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spans="1:25" ht="18.75" x14ac:dyDescent="0.3">
      <c r="A426" s="22"/>
      <c r="B426" s="18"/>
      <c r="C426" s="18"/>
      <c r="D426" s="18"/>
      <c r="E426" s="18"/>
      <c r="F426" s="18"/>
      <c r="G426" s="18"/>
      <c r="H426" s="20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spans="1:25" ht="18.75" x14ac:dyDescent="0.3">
      <c r="A427" s="22"/>
      <c r="B427" s="18"/>
      <c r="C427" s="18"/>
      <c r="D427" s="18"/>
      <c r="E427" s="18"/>
      <c r="F427" s="18"/>
      <c r="G427" s="18"/>
      <c r="H427" s="20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spans="1:25" ht="18.75" x14ac:dyDescent="0.3">
      <c r="A428" s="22"/>
      <c r="B428" s="18"/>
      <c r="C428" s="18"/>
      <c r="D428" s="18"/>
      <c r="E428" s="18"/>
      <c r="F428" s="18"/>
      <c r="G428" s="18"/>
      <c r="H428" s="20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spans="1:25" ht="18.75" x14ac:dyDescent="0.3">
      <c r="A429" s="22"/>
      <c r="B429" s="18"/>
      <c r="C429" s="18"/>
      <c r="D429" s="18"/>
      <c r="E429" s="18"/>
      <c r="F429" s="18"/>
      <c r="G429" s="18"/>
      <c r="H429" s="20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spans="1:25" ht="18.75" x14ac:dyDescent="0.3">
      <c r="A430" s="22"/>
      <c r="B430" s="18"/>
      <c r="C430" s="18"/>
      <c r="D430" s="18"/>
      <c r="E430" s="18"/>
      <c r="F430" s="18"/>
      <c r="G430" s="18"/>
      <c r="H430" s="20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spans="1:25" ht="18.75" x14ac:dyDescent="0.3">
      <c r="A431" s="22"/>
      <c r="B431" s="18"/>
      <c r="C431" s="18"/>
      <c r="D431" s="18"/>
      <c r="E431" s="18"/>
      <c r="F431" s="18"/>
      <c r="G431" s="18"/>
      <c r="H431" s="20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spans="1:25" ht="18.75" x14ac:dyDescent="0.3">
      <c r="A432" s="22"/>
      <c r="B432" s="18"/>
      <c r="C432" s="18"/>
      <c r="D432" s="18"/>
      <c r="E432" s="18"/>
      <c r="F432" s="18"/>
      <c r="G432" s="18"/>
      <c r="H432" s="20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spans="1:25" ht="18.75" x14ac:dyDescent="0.3">
      <c r="A433" s="22"/>
      <c r="B433" s="18"/>
      <c r="C433" s="18"/>
      <c r="D433" s="18"/>
      <c r="E433" s="18"/>
      <c r="F433" s="18"/>
      <c r="G433" s="18"/>
      <c r="H433" s="20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spans="1:25" ht="18.75" x14ac:dyDescent="0.3">
      <c r="A434" s="22"/>
      <c r="B434" s="18"/>
      <c r="C434" s="18"/>
      <c r="D434" s="18"/>
      <c r="E434" s="18"/>
      <c r="F434" s="18"/>
      <c r="G434" s="18"/>
      <c r="H434" s="20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spans="1:25" ht="18.75" x14ac:dyDescent="0.3">
      <c r="A435" s="22"/>
      <c r="B435" s="18"/>
      <c r="C435" s="18"/>
      <c r="D435" s="18"/>
      <c r="E435" s="18"/>
      <c r="F435" s="18"/>
      <c r="G435" s="18"/>
      <c r="H435" s="20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spans="1:25" ht="18.75" x14ac:dyDescent="0.3">
      <c r="A436" s="22"/>
      <c r="B436" s="18"/>
      <c r="C436" s="18"/>
      <c r="D436" s="18"/>
      <c r="E436" s="18"/>
      <c r="F436" s="18"/>
      <c r="G436" s="18"/>
      <c r="H436" s="20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spans="1:25" ht="18.75" x14ac:dyDescent="0.3">
      <c r="A437" s="22"/>
      <c r="B437" s="18"/>
      <c r="C437" s="18"/>
      <c r="D437" s="18"/>
      <c r="E437" s="18"/>
      <c r="F437" s="18"/>
      <c r="G437" s="18"/>
      <c r="H437" s="20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spans="1:25" ht="18.75" x14ac:dyDescent="0.3">
      <c r="A438" s="22"/>
      <c r="B438" s="18"/>
      <c r="C438" s="18"/>
      <c r="D438" s="18"/>
      <c r="E438" s="18"/>
      <c r="F438" s="18"/>
      <c r="G438" s="18"/>
      <c r="H438" s="20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spans="1:25" ht="18.75" x14ac:dyDescent="0.3">
      <c r="A439" s="22"/>
      <c r="B439" s="18"/>
      <c r="C439" s="18"/>
      <c r="D439" s="18"/>
      <c r="E439" s="18"/>
      <c r="F439" s="18"/>
      <c r="G439" s="18"/>
      <c r="H439" s="20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spans="1:25" ht="18.75" x14ac:dyDescent="0.3">
      <c r="A440" s="22"/>
      <c r="B440" s="18"/>
      <c r="C440" s="18"/>
      <c r="D440" s="18"/>
      <c r="E440" s="18"/>
      <c r="F440" s="18"/>
      <c r="G440" s="18"/>
      <c r="H440" s="20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spans="1:25" ht="18.75" x14ac:dyDescent="0.3">
      <c r="A441" s="22"/>
      <c r="B441" s="18"/>
      <c r="C441" s="18"/>
      <c r="D441" s="18"/>
      <c r="E441" s="18"/>
      <c r="F441" s="18"/>
      <c r="G441" s="18"/>
      <c r="H441" s="20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spans="1:25" ht="18.75" x14ac:dyDescent="0.3">
      <c r="A442" s="22"/>
      <c r="B442" s="18"/>
      <c r="C442" s="18"/>
      <c r="D442" s="18"/>
      <c r="E442" s="18"/>
      <c r="F442" s="18"/>
      <c r="G442" s="18"/>
      <c r="H442" s="20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spans="1:25" ht="18.75" x14ac:dyDescent="0.3">
      <c r="A443" s="22"/>
      <c r="B443" s="18"/>
      <c r="C443" s="18"/>
      <c r="D443" s="18"/>
      <c r="E443" s="18"/>
      <c r="F443" s="18"/>
      <c r="G443" s="18"/>
      <c r="H443" s="20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spans="1:25" ht="18.75" x14ac:dyDescent="0.3">
      <c r="A444" s="22"/>
      <c r="B444" s="18"/>
      <c r="C444" s="18"/>
      <c r="D444" s="18"/>
      <c r="E444" s="18"/>
      <c r="F444" s="18"/>
      <c r="G444" s="18"/>
      <c r="H444" s="20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spans="1:25" ht="18.75" x14ac:dyDescent="0.3">
      <c r="A445" s="22"/>
      <c r="B445" s="18"/>
      <c r="C445" s="18"/>
      <c r="D445" s="18"/>
      <c r="E445" s="18"/>
      <c r="F445" s="18"/>
      <c r="G445" s="18"/>
      <c r="H445" s="20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spans="1:25" ht="18.75" x14ac:dyDescent="0.3">
      <c r="A446" s="22"/>
      <c r="B446" s="18"/>
      <c r="C446" s="18"/>
      <c r="D446" s="18"/>
      <c r="E446" s="18"/>
      <c r="F446" s="18"/>
      <c r="G446" s="18"/>
      <c r="H446" s="20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spans="1:25" ht="18.75" x14ac:dyDescent="0.3">
      <c r="A447" s="22"/>
      <c r="B447" s="18"/>
      <c r="C447" s="18"/>
      <c r="D447" s="18"/>
      <c r="E447" s="18"/>
      <c r="F447" s="18"/>
      <c r="G447" s="18"/>
      <c r="H447" s="20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spans="1:25" ht="18.75" x14ac:dyDescent="0.3">
      <c r="A448" s="22"/>
      <c r="B448" s="18"/>
      <c r="C448" s="18"/>
      <c r="D448" s="18"/>
      <c r="E448" s="18"/>
      <c r="F448" s="18"/>
      <c r="G448" s="18"/>
      <c r="H448" s="20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spans="1:25" ht="18.75" x14ac:dyDescent="0.3">
      <c r="A449" s="22"/>
      <c r="B449" s="18"/>
      <c r="C449" s="18"/>
      <c r="D449" s="18"/>
      <c r="E449" s="18"/>
      <c r="F449" s="18"/>
      <c r="G449" s="18"/>
      <c r="H449" s="20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spans="1:25" ht="18.75" x14ac:dyDescent="0.3">
      <c r="A450" s="22"/>
      <c r="B450" s="18"/>
      <c r="C450" s="18"/>
      <c r="D450" s="18"/>
      <c r="E450" s="18"/>
      <c r="F450" s="18"/>
      <c r="G450" s="18"/>
      <c r="H450" s="20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spans="1:25" ht="18.75" x14ac:dyDescent="0.3">
      <c r="A451" s="22"/>
      <c r="B451" s="18"/>
      <c r="C451" s="18"/>
      <c r="D451" s="18"/>
      <c r="E451" s="18"/>
      <c r="F451" s="18"/>
      <c r="G451" s="18"/>
      <c r="H451" s="20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spans="1:25" ht="18.75" x14ac:dyDescent="0.3">
      <c r="A452" s="22"/>
      <c r="B452" s="18"/>
      <c r="C452" s="18"/>
      <c r="D452" s="18"/>
      <c r="E452" s="18"/>
      <c r="F452" s="18"/>
      <c r="G452" s="18"/>
      <c r="H452" s="20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spans="1:25" ht="18.75" x14ac:dyDescent="0.3">
      <c r="A453" s="22"/>
      <c r="B453" s="18"/>
      <c r="C453" s="18"/>
      <c r="D453" s="18"/>
      <c r="E453" s="18"/>
      <c r="F453" s="18"/>
      <c r="G453" s="18"/>
      <c r="H453" s="20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spans="1:25" ht="18.75" x14ac:dyDescent="0.3">
      <c r="A454" s="22"/>
      <c r="B454" s="18"/>
      <c r="C454" s="18"/>
      <c r="D454" s="18"/>
      <c r="E454" s="18"/>
      <c r="F454" s="18"/>
      <c r="G454" s="18"/>
      <c r="H454" s="20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spans="1:25" ht="18.75" x14ac:dyDescent="0.3">
      <c r="A455" s="22"/>
      <c r="B455" s="18"/>
      <c r="C455" s="18"/>
      <c r="D455" s="18"/>
      <c r="E455" s="18"/>
      <c r="F455" s="18"/>
      <c r="G455" s="18"/>
      <c r="H455" s="20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spans="1:25" ht="18.75" x14ac:dyDescent="0.3">
      <c r="A456" s="22"/>
      <c r="B456" s="18"/>
      <c r="C456" s="18"/>
      <c r="D456" s="18"/>
      <c r="E456" s="18"/>
      <c r="F456" s="18"/>
      <c r="G456" s="18"/>
      <c r="H456" s="20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spans="1:25" ht="18.75" x14ac:dyDescent="0.3">
      <c r="A457" s="22"/>
      <c r="B457" s="18"/>
      <c r="C457" s="18"/>
      <c r="D457" s="18"/>
      <c r="E457" s="18"/>
      <c r="F457" s="18"/>
      <c r="G457" s="18"/>
      <c r="H457" s="20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spans="1:25" ht="18.75" x14ac:dyDescent="0.3">
      <c r="A458" s="22"/>
      <c r="B458" s="18"/>
      <c r="C458" s="18"/>
      <c r="D458" s="18"/>
      <c r="E458" s="18"/>
      <c r="F458" s="18"/>
      <c r="G458" s="18"/>
      <c r="H458" s="20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spans="1:25" ht="18.75" x14ac:dyDescent="0.3">
      <c r="A459" s="22"/>
      <c r="B459" s="18"/>
      <c r="C459" s="18"/>
      <c r="D459" s="18"/>
      <c r="E459" s="18"/>
      <c r="F459" s="18"/>
      <c r="G459" s="18"/>
      <c r="H459" s="20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spans="1:25" ht="18.75" x14ac:dyDescent="0.3">
      <c r="A460" s="22"/>
      <c r="B460" s="18"/>
      <c r="C460" s="18"/>
      <c r="D460" s="18"/>
      <c r="E460" s="18"/>
      <c r="F460" s="18"/>
      <c r="G460" s="18"/>
      <c r="H460" s="20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spans="1:25" ht="18.75" x14ac:dyDescent="0.3">
      <c r="A461" s="22"/>
      <c r="B461" s="18"/>
      <c r="C461" s="18"/>
      <c r="D461" s="18"/>
      <c r="E461" s="18"/>
      <c r="F461" s="18"/>
      <c r="G461" s="18"/>
      <c r="H461" s="20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spans="1:25" ht="18.75" x14ac:dyDescent="0.3">
      <c r="A462" s="22"/>
      <c r="B462" s="18"/>
      <c r="C462" s="18"/>
      <c r="D462" s="18"/>
      <c r="E462" s="18"/>
      <c r="F462" s="18"/>
      <c r="G462" s="18"/>
      <c r="H462" s="20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spans="1:25" ht="18.75" x14ac:dyDescent="0.3">
      <c r="A463" s="22"/>
      <c r="B463" s="18"/>
      <c r="C463" s="18"/>
      <c r="D463" s="18"/>
      <c r="E463" s="18"/>
      <c r="F463" s="18"/>
      <c r="G463" s="18"/>
      <c r="H463" s="20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spans="1:25" ht="18.75" x14ac:dyDescent="0.3">
      <c r="A464" s="22"/>
      <c r="B464" s="18"/>
      <c r="C464" s="18"/>
      <c r="D464" s="18"/>
      <c r="E464" s="18"/>
      <c r="F464" s="18"/>
      <c r="G464" s="18"/>
      <c r="H464" s="20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spans="1:25" ht="18.75" x14ac:dyDescent="0.3">
      <c r="A465" s="22"/>
      <c r="B465" s="18"/>
      <c r="C465" s="18"/>
      <c r="D465" s="18"/>
      <c r="E465" s="18"/>
      <c r="F465" s="18"/>
      <c r="G465" s="18"/>
      <c r="H465" s="20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spans="1:25" ht="18.75" x14ac:dyDescent="0.3">
      <c r="A466" s="22"/>
      <c r="B466" s="18"/>
      <c r="C466" s="18"/>
      <c r="D466" s="18"/>
      <c r="E466" s="18"/>
      <c r="F466" s="18"/>
      <c r="G466" s="18"/>
      <c r="H466" s="20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spans="1:25" ht="18.75" x14ac:dyDescent="0.3">
      <c r="A467" s="22"/>
      <c r="B467" s="18"/>
      <c r="C467" s="18"/>
      <c r="D467" s="18"/>
      <c r="E467" s="18"/>
      <c r="F467" s="18"/>
      <c r="G467" s="18"/>
      <c r="H467" s="20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spans="1:25" ht="18.75" x14ac:dyDescent="0.3">
      <c r="A468" s="22"/>
      <c r="B468" s="18"/>
      <c r="C468" s="18"/>
      <c r="D468" s="18"/>
      <c r="E468" s="18"/>
      <c r="F468" s="18"/>
      <c r="G468" s="18"/>
      <c r="H468" s="20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spans="1:25" ht="18.75" x14ac:dyDescent="0.3">
      <c r="A469" s="22"/>
      <c r="B469" s="18"/>
      <c r="C469" s="18"/>
      <c r="D469" s="18"/>
      <c r="E469" s="18"/>
      <c r="F469" s="18"/>
      <c r="G469" s="18"/>
      <c r="H469" s="20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spans="1:25" ht="18.75" x14ac:dyDescent="0.3">
      <c r="A470" s="22"/>
      <c r="B470" s="18"/>
      <c r="C470" s="18"/>
      <c r="D470" s="18"/>
      <c r="E470" s="18"/>
      <c r="F470" s="18"/>
      <c r="G470" s="18"/>
      <c r="H470" s="20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spans="1:25" ht="18.75" x14ac:dyDescent="0.3">
      <c r="A471" s="22"/>
      <c r="B471" s="18"/>
      <c r="C471" s="18"/>
      <c r="D471" s="18"/>
      <c r="E471" s="18"/>
      <c r="F471" s="18"/>
      <c r="G471" s="18"/>
      <c r="H471" s="20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spans="1:25" ht="18.75" x14ac:dyDescent="0.3">
      <c r="A472" s="22"/>
      <c r="B472" s="18"/>
      <c r="C472" s="18"/>
      <c r="D472" s="18"/>
      <c r="E472" s="18"/>
      <c r="F472" s="18"/>
      <c r="G472" s="18"/>
      <c r="H472" s="20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spans="1:25" ht="18.75" x14ac:dyDescent="0.3">
      <c r="A473" s="22"/>
      <c r="B473" s="18"/>
      <c r="C473" s="18"/>
      <c r="D473" s="18"/>
      <c r="E473" s="18"/>
      <c r="F473" s="18"/>
      <c r="G473" s="18"/>
      <c r="H473" s="20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spans="1:25" ht="18.75" x14ac:dyDescent="0.3">
      <c r="A474" s="22"/>
      <c r="B474" s="18"/>
      <c r="C474" s="18"/>
      <c r="D474" s="18"/>
      <c r="E474" s="18"/>
      <c r="F474" s="18"/>
      <c r="G474" s="18"/>
      <c r="H474" s="20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spans="1:25" ht="18.75" x14ac:dyDescent="0.3">
      <c r="A475" s="22"/>
      <c r="B475" s="18"/>
      <c r="C475" s="18"/>
      <c r="D475" s="18"/>
      <c r="E475" s="18"/>
      <c r="F475" s="18"/>
      <c r="G475" s="18"/>
      <c r="H475" s="20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spans="1:25" ht="18.75" x14ac:dyDescent="0.3">
      <c r="A476" s="22"/>
      <c r="B476" s="18"/>
      <c r="C476" s="18"/>
      <c r="D476" s="18"/>
      <c r="E476" s="18"/>
      <c r="F476" s="18"/>
      <c r="G476" s="18"/>
      <c r="H476" s="20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spans="1:25" ht="18.75" x14ac:dyDescent="0.3">
      <c r="A477" s="22"/>
      <c r="B477" s="18"/>
      <c r="C477" s="18"/>
      <c r="D477" s="18"/>
      <c r="E477" s="18"/>
      <c r="F477" s="18"/>
      <c r="G477" s="18"/>
      <c r="H477" s="20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spans="1:25" ht="18.75" x14ac:dyDescent="0.3">
      <c r="A478" s="22"/>
      <c r="B478" s="18"/>
      <c r="C478" s="18"/>
      <c r="D478" s="18"/>
      <c r="E478" s="18"/>
      <c r="F478" s="18"/>
      <c r="G478" s="18"/>
      <c r="H478" s="20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spans="1:25" ht="18.75" x14ac:dyDescent="0.3">
      <c r="A479" s="22"/>
      <c r="B479" s="18"/>
      <c r="C479" s="18"/>
      <c r="D479" s="18"/>
      <c r="E479" s="18"/>
      <c r="F479" s="18"/>
      <c r="G479" s="18"/>
      <c r="H479" s="20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spans="1:25" ht="18.75" x14ac:dyDescent="0.3">
      <c r="A480" s="22"/>
      <c r="B480" s="18"/>
      <c r="C480" s="18"/>
      <c r="D480" s="18"/>
      <c r="E480" s="18"/>
      <c r="F480" s="18"/>
      <c r="G480" s="18"/>
      <c r="H480" s="20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spans="1:25" ht="18.75" x14ac:dyDescent="0.3">
      <c r="A481" s="22"/>
      <c r="B481" s="18"/>
      <c r="C481" s="18"/>
      <c r="D481" s="18"/>
      <c r="E481" s="18"/>
      <c r="F481" s="18"/>
      <c r="G481" s="18"/>
      <c r="H481" s="20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spans="1:25" ht="18.75" x14ac:dyDescent="0.3">
      <c r="A482" s="22"/>
      <c r="B482" s="18"/>
      <c r="C482" s="18"/>
      <c r="D482" s="18"/>
      <c r="E482" s="18"/>
      <c r="F482" s="18"/>
      <c r="G482" s="18"/>
      <c r="H482" s="20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spans="1:25" ht="18.75" x14ac:dyDescent="0.3">
      <c r="A483" s="22"/>
      <c r="B483" s="18"/>
      <c r="C483" s="18"/>
      <c r="D483" s="18"/>
      <c r="E483" s="18"/>
      <c r="F483" s="18"/>
      <c r="G483" s="18"/>
      <c r="H483" s="20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spans="1:25" ht="18.75" x14ac:dyDescent="0.3">
      <c r="A484" s="22"/>
      <c r="B484" s="18"/>
      <c r="C484" s="18"/>
      <c r="D484" s="18"/>
      <c r="E484" s="18"/>
      <c r="F484" s="18"/>
      <c r="G484" s="18"/>
      <c r="H484" s="20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spans="1:25" ht="18.75" x14ac:dyDescent="0.3">
      <c r="A485" s="22"/>
      <c r="B485" s="18"/>
      <c r="C485" s="18"/>
      <c r="D485" s="18"/>
      <c r="E485" s="18"/>
      <c r="F485" s="18"/>
      <c r="G485" s="18"/>
      <c r="H485" s="20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spans="1:25" ht="18.75" x14ac:dyDescent="0.3">
      <c r="A486" s="22"/>
      <c r="B486" s="18"/>
      <c r="C486" s="18"/>
      <c r="D486" s="18"/>
      <c r="E486" s="18"/>
      <c r="F486" s="18"/>
      <c r="G486" s="18"/>
      <c r="H486" s="20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spans="1:25" ht="18.75" x14ac:dyDescent="0.3">
      <c r="A487" s="22"/>
      <c r="B487" s="18"/>
      <c r="C487" s="18"/>
      <c r="D487" s="18"/>
      <c r="E487" s="18"/>
      <c r="F487" s="18"/>
      <c r="G487" s="18"/>
      <c r="H487" s="20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spans="1:25" ht="18.75" x14ac:dyDescent="0.3">
      <c r="A488" s="22"/>
      <c r="B488" s="18"/>
      <c r="C488" s="18"/>
      <c r="D488" s="18"/>
      <c r="E488" s="18"/>
      <c r="F488" s="18"/>
      <c r="G488" s="18"/>
      <c r="H488" s="20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spans="1:25" ht="18.75" x14ac:dyDescent="0.3">
      <c r="A489" s="22"/>
      <c r="B489" s="18"/>
      <c r="C489" s="18"/>
      <c r="D489" s="18"/>
      <c r="E489" s="18"/>
      <c r="F489" s="18"/>
      <c r="G489" s="18"/>
      <c r="H489" s="20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spans="1:25" ht="18.75" x14ac:dyDescent="0.3">
      <c r="A490" s="22"/>
      <c r="B490" s="18"/>
      <c r="C490" s="18"/>
      <c r="D490" s="18"/>
      <c r="E490" s="18"/>
      <c r="F490" s="18"/>
      <c r="G490" s="18"/>
      <c r="H490" s="20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spans="1:25" ht="18.75" x14ac:dyDescent="0.3">
      <c r="A491" s="22"/>
      <c r="B491" s="18"/>
      <c r="C491" s="18"/>
      <c r="D491" s="18"/>
      <c r="E491" s="18"/>
      <c r="F491" s="18"/>
      <c r="G491" s="18"/>
      <c r="H491" s="20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spans="1:25" ht="18.75" x14ac:dyDescent="0.3">
      <c r="A492" s="22"/>
      <c r="B492" s="18"/>
      <c r="C492" s="18"/>
      <c r="D492" s="18"/>
      <c r="E492" s="18"/>
      <c r="F492" s="18"/>
      <c r="G492" s="18"/>
      <c r="H492" s="20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spans="1:25" ht="18.75" x14ac:dyDescent="0.3">
      <c r="A493" s="22"/>
      <c r="B493" s="18"/>
      <c r="C493" s="18"/>
      <c r="D493" s="18"/>
      <c r="E493" s="18"/>
      <c r="F493" s="18"/>
      <c r="G493" s="18"/>
      <c r="H493" s="20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spans="1:25" ht="18.75" x14ac:dyDescent="0.3">
      <c r="A494" s="22"/>
      <c r="B494" s="18"/>
      <c r="C494" s="18"/>
      <c r="D494" s="18"/>
      <c r="E494" s="18"/>
      <c r="F494" s="18"/>
      <c r="G494" s="18"/>
      <c r="H494" s="20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spans="1:25" ht="18.75" x14ac:dyDescent="0.3">
      <c r="A495" s="22"/>
      <c r="B495" s="18"/>
      <c r="C495" s="18"/>
      <c r="D495" s="18"/>
      <c r="E495" s="18"/>
      <c r="F495" s="18"/>
      <c r="G495" s="18"/>
      <c r="H495" s="20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spans="1:25" ht="18.75" x14ac:dyDescent="0.3">
      <c r="A496" s="22"/>
      <c r="B496" s="18"/>
      <c r="C496" s="18"/>
      <c r="D496" s="18"/>
      <c r="E496" s="18"/>
      <c r="F496" s="18"/>
      <c r="G496" s="18"/>
      <c r="H496" s="20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spans="1:25" ht="18.75" x14ac:dyDescent="0.3">
      <c r="A497" s="22"/>
      <c r="B497" s="18"/>
      <c r="C497" s="18"/>
      <c r="D497" s="18"/>
      <c r="E497" s="18"/>
      <c r="F497" s="18"/>
      <c r="G497" s="18"/>
      <c r="H497" s="20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spans="1:25" ht="18.75" x14ac:dyDescent="0.3">
      <c r="A498" s="22"/>
      <c r="B498" s="18"/>
      <c r="C498" s="18"/>
      <c r="D498" s="18"/>
      <c r="E498" s="18"/>
      <c r="F498" s="18"/>
      <c r="G498" s="18"/>
      <c r="H498" s="20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spans="1:25" ht="18.75" x14ac:dyDescent="0.3">
      <c r="A499" s="22"/>
      <c r="B499" s="18"/>
      <c r="C499" s="18"/>
      <c r="D499" s="18"/>
      <c r="E499" s="18"/>
      <c r="F499" s="18"/>
      <c r="G499" s="18"/>
      <c r="H499" s="20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spans="1:25" ht="18.75" x14ac:dyDescent="0.3">
      <c r="A500" s="22"/>
      <c r="B500" s="18"/>
      <c r="C500" s="18"/>
      <c r="D500" s="18"/>
      <c r="E500" s="18"/>
      <c r="F500" s="18"/>
      <c r="G500" s="18"/>
      <c r="H500" s="20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spans="1:25" ht="18.75" x14ac:dyDescent="0.3">
      <c r="A501" s="22"/>
      <c r="B501" s="18"/>
      <c r="C501" s="18"/>
      <c r="D501" s="18"/>
      <c r="E501" s="18"/>
      <c r="F501" s="18"/>
      <c r="G501" s="18"/>
      <c r="H501" s="20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spans="1:25" ht="18.75" x14ac:dyDescent="0.3">
      <c r="A502" s="22"/>
      <c r="B502" s="18"/>
      <c r="C502" s="18"/>
      <c r="D502" s="18"/>
      <c r="E502" s="18"/>
      <c r="F502" s="18"/>
      <c r="G502" s="18"/>
      <c r="H502" s="20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spans="1:25" ht="18.75" x14ac:dyDescent="0.3">
      <c r="A503" s="22"/>
      <c r="B503" s="18"/>
      <c r="C503" s="18"/>
      <c r="D503" s="18"/>
      <c r="E503" s="18"/>
      <c r="F503" s="18"/>
      <c r="G503" s="18"/>
      <c r="H503" s="20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spans="1:25" ht="18.75" x14ac:dyDescent="0.3">
      <c r="A504" s="22"/>
      <c r="B504" s="18"/>
      <c r="C504" s="18"/>
      <c r="D504" s="18"/>
      <c r="E504" s="18"/>
      <c r="F504" s="18"/>
      <c r="G504" s="18"/>
      <c r="H504" s="20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spans="1:25" ht="18.75" x14ac:dyDescent="0.3">
      <c r="A505" s="22"/>
      <c r="B505" s="18"/>
      <c r="C505" s="18"/>
      <c r="D505" s="18"/>
      <c r="E505" s="18"/>
      <c r="F505" s="18"/>
      <c r="G505" s="18"/>
      <c r="H505" s="20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spans="1:25" ht="18.75" x14ac:dyDescent="0.3">
      <c r="A506" s="22"/>
      <c r="B506" s="18"/>
      <c r="C506" s="18"/>
      <c r="D506" s="18"/>
      <c r="E506" s="18"/>
      <c r="F506" s="18"/>
      <c r="G506" s="18"/>
      <c r="H506" s="20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spans="1:25" ht="18.75" x14ac:dyDescent="0.3">
      <c r="A507" s="22"/>
      <c r="B507" s="18"/>
      <c r="C507" s="18"/>
      <c r="D507" s="18"/>
      <c r="E507" s="18"/>
      <c r="F507" s="18"/>
      <c r="G507" s="18"/>
      <c r="H507" s="20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spans="1:25" ht="18.75" x14ac:dyDescent="0.3">
      <c r="A508" s="22"/>
      <c r="B508" s="18"/>
      <c r="C508" s="18"/>
      <c r="D508" s="18"/>
      <c r="E508" s="18"/>
      <c r="F508" s="18"/>
      <c r="G508" s="18"/>
      <c r="H508" s="20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spans="1:25" ht="18.75" x14ac:dyDescent="0.3">
      <c r="A509" s="22"/>
      <c r="B509" s="18"/>
      <c r="C509" s="18"/>
      <c r="D509" s="18"/>
      <c r="E509" s="18"/>
      <c r="F509" s="18"/>
      <c r="G509" s="18"/>
      <c r="H509" s="20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spans="1:25" ht="18.75" x14ac:dyDescent="0.3">
      <c r="A510" s="22"/>
      <c r="B510" s="18"/>
      <c r="C510" s="18"/>
      <c r="D510" s="18"/>
      <c r="E510" s="18"/>
      <c r="F510" s="18"/>
      <c r="G510" s="18"/>
      <c r="H510" s="20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spans="1:25" ht="18.75" x14ac:dyDescent="0.3">
      <c r="A511" s="22"/>
      <c r="B511" s="18"/>
      <c r="C511" s="18"/>
      <c r="D511" s="18"/>
      <c r="E511" s="18"/>
      <c r="F511" s="18"/>
      <c r="G511" s="18"/>
      <c r="H511" s="20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spans="1:25" ht="18.75" x14ac:dyDescent="0.3">
      <c r="A512" s="22"/>
      <c r="B512" s="18"/>
      <c r="C512" s="18"/>
      <c r="D512" s="18"/>
      <c r="E512" s="18"/>
      <c r="F512" s="18"/>
      <c r="G512" s="18"/>
      <c r="H512" s="20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spans="1:25" ht="18.75" x14ac:dyDescent="0.3">
      <c r="A513" s="22"/>
      <c r="B513" s="18"/>
      <c r="C513" s="18"/>
      <c r="D513" s="18"/>
      <c r="E513" s="18"/>
      <c r="F513" s="18"/>
      <c r="G513" s="18"/>
      <c r="H513" s="20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spans="1:25" ht="18.75" x14ac:dyDescent="0.3">
      <c r="A514" s="22"/>
      <c r="B514" s="18"/>
      <c r="C514" s="18"/>
      <c r="D514" s="18"/>
      <c r="E514" s="18"/>
      <c r="F514" s="18"/>
      <c r="G514" s="18"/>
      <c r="H514" s="20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spans="1:25" ht="18.75" x14ac:dyDescent="0.3">
      <c r="A515" s="22"/>
      <c r="B515" s="18"/>
      <c r="C515" s="18"/>
      <c r="D515" s="18"/>
      <c r="E515" s="18"/>
      <c r="F515" s="18"/>
      <c r="G515" s="18"/>
      <c r="H515" s="20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spans="1:25" ht="18.75" x14ac:dyDescent="0.3">
      <c r="A516" s="22"/>
      <c r="B516" s="18"/>
      <c r="C516" s="18"/>
      <c r="D516" s="18"/>
      <c r="E516" s="18"/>
      <c r="F516" s="18"/>
      <c r="G516" s="18"/>
      <c r="H516" s="20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spans="1:25" ht="18.75" x14ac:dyDescent="0.3">
      <c r="A517" s="22"/>
      <c r="B517" s="18"/>
      <c r="C517" s="18"/>
      <c r="D517" s="18"/>
      <c r="E517" s="18"/>
      <c r="F517" s="18"/>
      <c r="G517" s="18"/>
      <c r="H517" s="20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spans="1:25" ht="18.75" x14ac:dyDescent="0.3">
      <c r="A518" s="22"/>
      <c r="B518" s="18"/>
      <c r="C518" s="18"/>
      <c r="D518" s="18"/>
      <c r="E518" s="18"/>
      <c r="F518" s="18"/>
      <c r="G518" s="18"/>
      <c r="H518" s="20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spans="1:25" ht="18.75" x14ac:dyDescent="0.3">
      <c r="A519" s="22"/>
      <c r="B519" s="18"/>
      <c r="C519" s="18"/>
      <c r="D519" s="18"/>
      <c r="E519" s="18"/>
      <c r="F519" s="18"/>
      <c r="G519" s="18"/>
      <c r="H519" s="20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spans="1:25" ht="18.75" x14ac:dyDescent="0.3">
      <c r="A520" s="22"/>
      <c r="B520" s="18"/>
      <c r="C520" s="18"/>
      <c r="D520" s="18"/>
      <c r="E520" s="18"/>
      <c r="F520" s="18"/>
      <c r="G520" s="18"/>
      <c r="H520" s="20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spans="1:25" ht="18.75" x14ac:dyDescent="0.3">
      <c r="A521" s="22"/>
      <c r="B521" s="18"/>
      <c r="C521" s="18"/>
      <c r="D521" s="18"/>
      <c r="E521" s="18"/>
      <c r="F521" s="18"/>
      <c r="G521" s="18"/>
      <c r="H521" s="20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spans="1:25" ht="18.75" x14ac:dyDescent="0.3">
      <c r="A522" s="22"/>
      <c r="B522" s="18"/>
      <c r="C522" s="18"/>
      <c r="D522" s="18"/>
      <c r="E522" s="18"/>
      <c r="F522" s="18"/>
      <c r="G522" s="18"/>
      <c r="H522" s="20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spans="1:25" ht="18.75" x14ac:dyDescent="0.3">
      <c r="A523" s="22"/>
      <c r="B523" s="18"/>
      <c r="C523" s="18"/>
      <c r="D523" s="18"/>
      <c r="E523" s="18"/>
      <c r="F523" s="18"/>
      <c r="G523" s="18"/>
      <c r="H523" s="20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spans="1:25" ht="18.75" x14ac:dyDescent="0.3">
      <c r="A524" s="22"/>
      <c r="B524" s="18"/>
      <c r="C524" s="18"/>
      <c r="D524" s="18"/>
      <c r="E524" s="18"/>
      <c r="F524" s="18"/>
      <c r="G524" s="18"/>
      <c r="H524" s="20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spans="1:25" ht="18.75" x14ac:dyDescent="0.3">
      <c r="A525" s="22"/>
      <c r="B525" s="18"/>
      <c r="C525" s="18"/>
      <c r="D525" s="18"/>
      <c r="E525" s="18"/>
      <c r="F525" s="18"/>
      <c r="G525" s="18"/>
      <c r="H525" s="20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spans="1:25" ht="18.75" x14ac:dyDescent="0.3">
      <c r="A526" s="22"/>
      <c r="B526" s="18"/>
      <c r="C526" s="18"/>
      <c r="D526" s="18"/>
      <c r="E526" s="18"/>
      <c r="F526" s="18"/>
      <c r="G526" s="18"/>
      <c r="H526" s="20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spans="1:25" ht="18.75" x14ac:dyDescent="0.3">
      <c r="A527" s="22"/>
      <c r="B527" s="18"/>
      <c r="C527" s="18"/>
      <c r="D527" s="18"/>
      <c r="E527" s="18"/>
      <c r="F527" s="18"/>
      <c r="G527" s="18"/>
      <c r="H527" s="20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spans="1:25" ht="18.75" x14ac:dyDescent="0.3">
      <c r="A528" s="22"/>
      <c r="B528" s="18"/>
      <c r="C528" s="18"/>
      <c r="D528" s="18"/>
      <c r="E528" s="18"/>
      <c r="F528" s="18"/>
      <c r="G528" s="18"/>
      <c r="H528" s="20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spans="1:25" ht="18.75" x14ac:dyDescent="0.3">
      <c r="A529" s="22"/>
      <c r="B529" s="18"/>
      <c r="C529" s="18"/>
      <c r="D529" s="18"/>
      <c r="E529" s="18"/>
      <c r="F529" s="18"/>
      <c r="G529" s="18"/>
      <c r="H529" s="20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spans="1:25" ht="18.75" x14ac:dyDescent="0.3">
      <c r="A530" s="22"/>
      <c r="B530" s="18"/>
      <c r="C530" s="18"/>
      <c r="D530" s="18"/>
      <c r="E530" s="18"/>
      <c r="F530" s="18"/>
      <c r="G530" s="18"/>
      <c r="H530" s="20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spans="1:25" ht="18.75" x14ac:dyDescent="0.3">
      <c r="A531" s="22"/>
      <c r="B531" s="18"/>
      <c r="C531" s="18"/>
      <c r="D531" s="18"/>
      <c r="E531" s="18"/>
      <c r="F531" s="18"/>
      <c r="G531" s="18"/>
      <c r="H531" s="20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spans="1:25" ht="18.75" x14ac:dyDescent="0.3">
      <c r="A532" s="22"/>
      <c r="B532" s="18"/>
      <c r="C532" s="18"/>
      <c r="D532" s="18"/>
      <c r="E532" s="18"/>
      <c r="F532" s="18"/>
      <c r="G532" s="18"/>
      <c r="H532" s="20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spans="1:25" ht="18.75" x14ac:dyDescent="0.3">
      <c r="A533" s="22"/>
      <c r="B533" s="18"/>
      <c r="C533" s="18"/>
      <c r="D533" s="18"/>
      <c r="E533" s="18"/>
      <c r="F533" s="18"/>
      <c r="G533" s="18"/>
      <c r="H533" s="20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spans="1:25" ht="18.75" x14ac:dyDescent="0.3">
      <c r="A534" s="22"/>
      <c r="B534" s="18"/>
      <c r="C534" s="18"/>
      <c r="D534" s="18"/>
      <c r="E534" s="18"/>
      <c r="F534" s="18"/>
      <c r="G534" s="18"/>
      <c r="H534" s="20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spans="1:25" ht="18.75" x14ac:dyDescent="0.3">
      <c r="A535" s="22"/>
      <c r="B535" s="18"/>
      <c r="C535" s="18"/>
      <c r="D535" s="18"/>
      <c r="E535" s="18"/>
      <c r="F535" s="18"/>
      <c r="G535" s="18"/>
      <c r="H535" s="20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spans="1:25" ht="18.75" x14ac:dyDescent="0.3">
      <c r="A536" s="22"/>
      <c r="B536" s="18"/>
      <c r="C536" s="18"/>
      <c r="D536" s="18"/>
      <c r="E536" s="18"/>
      <c r="F536" s="18"/>
      <c r="G536" s="18"/>
      <c r="H536" s="20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spans="1:25" ht="18.75" x14ac:dyDescent="0.3">
      <c r="A537" s="22"/>
      <c r="B537" s="18"/>
      <c r="C537" s="18"/>
      <c r="D537" s="18"/>
      <c r="E537" s="18"/>
      <c r="F537" s="18"/>
      <c r="G537" s="18"/>
      <c r="H537" s="20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spans="1:25" ht="18.75" x14ac:dyDescent="0.3">
      <c r="A538" s="22"/>
      <c r="B538" s="18"/>
      <c r="C538" s="18"/>
      <c r="D538" s="18"/>
      <c r="E538" s="18"/>
      <c r="F538" s="18"/>
      <c r="G538" s="18"/>
      <c r="H538" s="20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spans="1:25" ht="18.75" x14ac:dyDescent="0.3">
      <c r="A539" s="22"/>
      <c r="B539" s="18"/>
      <c r="C539" s="18"/>
      <c r="D539" s="18"/>
      <c r="E539" s="18"/>
      <c r="F539" s="18"/>
      <c r="G539" s="18"/>
      <c r="H539" s="20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spans="1:25" ht="18.75" x14ac:dyDescent="0.3">
      <c r="A540" s="22"/>
      <c r="B540" s="18"/>
      <c r="C540" s="18"/>
      <c r="D540" s="18"/>
      <c r="E540" s="18"/>
      <c r="F540" s="18"/>
      <c r="G540" s="18"/>
      <c r="H540" s="20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spans="1:25" ht="18.75" x14ac:dyDescent="0.3">
      <c r="A541" s="22"/>
      <c r="B541" s="18"/>
      <c r="C541" s="18"/>
      <c r="D541" s="18"/>
      <c r="E541" s="18"/>
      <c r="F541" s="18"/>
      <c r="G541" s="18"/>
      <c r="H541" s="20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spans="1:25" ht="18.75" x14ac:dyDescent="0.3">
      <c r="A542" s="22"/>
      <c r="B542" s="18"/>
      <c r="C542" s="18"/>
      <c r="D542" s="18"/>
      <c r="E542" s="18"/>
      <c r="F542" s="18"/>
      <c r="G542" s="18"/>
      <c r="H542" s="20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spans="1:25" ht="18.75" x14ac:dyDescent="0.3">
      <c r="A543" s="22"/>
      <c r="B543" s="18"/>
      <c r="C543" s="18"/>
      <c r="D543" s="18"/>
      <c r="E543" s="18"/>
      <c r="F543" s="18"/>
      <c r="G543" s="18"/>
      <c r="H543" s="20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spans="1:25" ht="18.75" x14ac:dyDescent="0.3">
      <c r="A544" s="22"/>
      <c r="B544" s="18"/>
      <c r="C544" s="18"/>
      <c r="D544" s="18"/>
      <c r="E544" s="18"/>
      <c r="F544" s="18"/>
      <c r="G544" s="18"/>
      <c r="H544" s="20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spans="1:25" ht="18.75" x14ac:dyDescent="0.3">
      <c r="A545" s="22"/>
      <c r="B545" s="18"/>
      <c r="C545" s="18"/>
      <c r="D545" s="18"/>
      <c r="E545" s="18"/>
      <c r="F545" s="18"/>
      <c r="G545" s="18"/>
      <c r="H545" s="20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spans="1:25" ht="18.75" x14ac:dyDescent="0.3">
      <c r="A546" s="22"/>
      <c r="B546" s="18"/>
      <c r="C546" s="18"/>
      <c r="D546" s="18"/>
      <c r="E546" s="18"/>
      <c r="F546" s="18"/>
      <c r="G546" s="18"/>
      <c r="H546" s="20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spans="1:25" ht="18.75" x14ac:dyDescent="0.3">
      <c r="A547" s="22"/>
      <c r="B547" s="18"/>
      <c r="C547" s="18"/>
      <c r="D547" s="18"/>
      <c r="E547" s="18"/>
      <c r="F547" s="18"/>
      <c r="G547" s="18"/>
      <c r="H547" s="20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spans="1:25" ht="18.75" x14ac:dyDescent="0.3">
      <c r="A548" s="22"/>
      <c r="B548" s="18"/>
      <c r="C548" s="18"/>
      <c r="D548" s="18"/>
      <c r="E548" s="18"/>
      <c r="F548" s="18"/>
      <c r="G548" s="18"/>
      <c r="H548" s="20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spans="1:25" ht="18.75" x14ac:dyDescent="0.3">
      <c r="A549" s="22"/>
      <c r="B549" s="18"/>
      <c r="C549" s="18"/>
      <c r="D549" s="18"/>
      <c r="E549" s="18"/>
      <c r="F549" s="18"/>
      <c r="G549" s="18"/>
      <c r="H549" s="20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spans="1:25" ht="18.75" x14ac:dyDescent="0.3">
      <c r="A550" s="22"/>
      <c r="B550" s="18"/>
      <c r="C550" s="18"/>
      <c r="D550" s="18"/>
      <c r="E550" s="18"/>
      <c r="F550" s="18"/>
      <c r="G550" s="18"/>
      <c r="H550" s="20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spans="1:25" ht="18.75" x14ac:dyDescent="0.3">
      <c r="A551" s="22"/>
      <c r="B551" s="18"/>
      <c r="C551" s="18"/>
      <c r="D551" s="18"/>
      <c r="E551" s="18"/>
      <c r="F551" s="18"/>
      <c r="G551" s="18"/>
      <c r="H551" s="20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spans="1:25" ht="18.75" x14ac:dyDescent="0.3">
      <c r="A552" s="22"/>
      <c r="B552" s="18"/>
      <c r="C552" s="18"/>
      <c r="D552" s="18"/>
      <c r="E552" s="18"/>
      <c r="F552" s="18"/>
      <c r="G552" s="18"/>
      <c r="H552" s="20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spans="1:25" ht="18.75" x14ac:dyDescent="0.3">
      <c r="A553" s="22"/>
      <c r="B553" s="18"/>
      <c r="C553" s="18"/>
      <c r="D553" s="18"/>
      <c r="E553" s="18"/>
      <c r="F553" s="18"/>
      <c r="G553" s="18"/>
      <c r="H553" s="20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spans="1:25" ht="18.75" x14ac:dyDescent="0.3">
      <c r="A554" s="22"/>
      <c r="B554" s="18"/>
      <c r="C554" s="18"/>
      <c r="D554" s="18"/>
      <c r="E554" s="18"/>
      <c r="F554" s="18"/>
      <c r="G554" s="18"/>
      <c r="H554" s="20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spans="1:25" ht="18.75" x14ac:dyDescent="0.3">
      <c r="A555" s="22"/>
      <c r="B555" s="18"/>
      <c r="C555" s="18"/>
      <c r="D555" s="18"/>
      <c r="E555" s="18"/>
      <c r="F555" s="18"/>
      <c r="G555" s="18"/>
      <c r="H555" s="20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25" ht="18.75" x14ac:dyDescent="0.3">
      <c r="A556" s="22"/>
      <c r="B556" s="18"/>
      <c r="C556" s="18"/>
      <c r="D556" s="18"/>
      <c r="E556" s="18"/>
      <c r="F556" s="18"/>
      <c r="G556" s="18"/>
      <c r="H556" s="20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25" ht="18.75" x14ac:dyDescent="0.3">
      <c r="A557" s="22"/>
      <c r="B557" s="18"/>
      <c r="C557" s="18"/>
      <c r="D557" s="18"/>
      <c r="E557" s="18"/>
      <c r="F557" s="18"/>
      <c r="G557" s="18"/>
      <c r="H557" s="20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25" ht="18.75" x14ac:dyDescent="0.3">
      <c r="A558" s="22"/>
      <c r="B558" s="18"/>
      <c r="C558" s="18"/>
      <c r="D558" s="18"/>
      <c r="E558" s="18"/>
      <c r="F558" s="18"/>
      <c r="G558" s="18"/>
      <c r="H558" s="20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spans="1:25" ht="18.75" x14ac:dyDescent="0.3">
      <c r="A559" s="22"/>
      <c r="B559" s="18"/>
      <c r="C559" s="18"/>
      <c r="D559" s="18"/>
      <c r="E559" s="18"/>
      <c r="F559" s="18"/>
      <c r="G559" s="18"/>
      <c r="H559" s="20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spans="1:25" ht="18.75" x14ac:dyDescent="0.3">
      <c r="A560" s="22"/>
      <c r="B560" s="18"/>
      <c r="C560" s="18"/>
      <c r="D560" s="18"/>
      <c r="E560" s="18"/>
      <c r="F560" s="18"/>
      <c r="G560" s="18"/>
      <c r="H560" s="20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spans="1:25" ht="18.75" x14ac:dyDescent="0.3">
      <c r="A561" s="22"/>
      <c r="B561" s="18"/>
      <c r="C561" s="18"/>
      <c r="D561" s="18"/>
      <c r="E561" s="18"/>
      <c r="F561" s="18"/>
      <c r="G561" s="18"/>
      <c r="H561" s="20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spans="1:25" ht="18.75" x14ac:dyDescent="0.3">
      <c r="A562" s="22"/>
      <c r="B562" s="18"/>
      <c r="C562" s="18"/>
      <c r="D562" s="18"/>
      <c r="E562" s="18"/>
      <c r="F562" s="18"/>
      <c r="G562" s="18"/>
      <c r="H562" s="20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spans="1:25" ht="18.75" x14ac:dyDescent="0.3">
      <c r="A563" s="22"/>
      <c r="B563" s="18"/>
      <c r="C563" s="18"/>
      <c r="D563" s="18"/>
      <c r="E563" s="18"/>
      <c r="F563" s="18"/>
      <c r="G563" s="18"/>
      <c r="H563" s="20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spans="1:25" ht="18.75" x14ac:dyDescent="0.3">
      <c r="A564" s="22"/>
      <c r="B564" s="18"/>
      <c r="C564" s="18"/>
      <c r="D564" s="18"/>
      <c r="E564" s="18"/>
      <c r="F564" s="18"/>
      <c r="G564" s="18"/>
      <c r="H564" s="20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spans="1:25" ht="18.75" x14ac:dyDescent="0.3">
      <c r="A565" s="22"/>
      <c r="B565" s="18"/>
      <c r="C565" s="18"/>
      <c r="D565" s="18"/>
      <c r="E565" s="18"/>
      <c r="F565" s="18"/>
      <c r="G565" s="18"/>
      <c r="H565" s="20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spans="1:25" ht="18.75" x14ac:dyDescent="0.3">
      <c r="A566" s="22"/>
      <c r="B566" s="18"/>
      <c r="C566" s="18"/>
      <c r="D566" s="18"/>
      <c r="E566" s="18"/>
      <c r="F566" s="18"/>
      <c r="G566" s="18"/>
      <c r="H566" s="20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spans="1:25" ht="18.75" x14ac:dyDescent="0.3">
      <c r="A567" s="22"/>
      <c r="B567" s="18"/>
      <c r="C567" s="18"/>
      <c r="D567" s="18"/>
      <c r="E567" s="18"/>
      <c r="F567" s="18"/>
      <c r="G567" s="18"/>
      <c r="H567" s="20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spans="1:25" ht="18.75" x14ac:dyDescent="0.3">
      <c r="A568" s="22"/>
      <c r="B568" s="18"/>
      <c r="C568" s="18"/>
      <c r="D568" s="18"/>
      <c r="E568" s="18"/>
      <c r="F568" s="18"/>
      <c r="G568" s="18"/>
      <c r="H568" s="20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spans="1:25" ht="18.75" x14ac:dyDescent="0.3">
      <c r="A569" s="22"/>
      <c r="B569" s="18"/>
      <c r="C569" s="18"/>
      <c r="D569" s="18"/>
      <c r="E569" s="18"/>
      <c r="F569" s="18"/>
      <c r="G569" s="18"/>
      <c r="H569" s="20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spans="1:25" ht="18.75" x14ac:dyDescent="0.3">
      <c r="A570" s="22"/>
      <c r="B570" s="18"/>
      <c r="C570" s="18"/>
      <c r="D570" s="18"/>
      <c r="E570" s="18"/>
      <c r="F570" s="18"/>
      <c r="G570" s="18"/>
      <c r="H570" s="20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spans="1:25" ht="18.75" x14ac:dyDescent="0.3">
      <c r="A571" s="22"/>
      <c r="B571" s="18"/>
      <c r="C571" s="18"/>
      <c r="D571" s="18"/>
      <c r="E571" s="18"/>
      <c r="F571" s="18"/>
      <c r="G571" s="18"/>
      <c r="H571" s="20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spans="1:25" ht="18.75" x14ac:dyDescent="0.3">
      <c r="A572" s="22"/>
      <c r="B572" s="18"/>
      <c r="C572" s="18"/>
      <c r="D572" s="18"/>
      <c r="E572" s="18"/>
      <c r="F572" s="18"/>
      <c r="G572" s="18"/>
      <c r="H572" s="20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spans="1:25" ht="18.75" x14ac:dyDescent="0.3">
      <c r="A573" s="22"/>
      <c r="B573" s="18"/>
      <c r="C573" s="18"/>
      <c r="D573" s="18"/>
      <c r="E573" s="18"/>
      <c r="F573" s="18"/>
      <c r="G573" s="18"/>
      <c r="H573" s="20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spans="1:25" ht="18.75" x14ac:dyDescent="0.3">
      <c r="A574" s="22"/>
      <c r="B574" s="18"/>
      <c r="C574" s="18"/>
      <c r="D574" s="18"/>
      <c r="E574" s="18"/>
      <c r="F574" s="18"/>
      <c r="G574" s="18"/>
      <c r="H574" s="20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spans="1:25" ht="18.75" x14ac:dyDescent="0.3">
      <c r="A575" s="22"/>
      <c r="B575" s="18"/>
      <c r="C575" s="18"/>
      <c r="D575" s="18"/>
      <c r="E575" s="18"/>
      <c r="F575" s="18"/>
      <c r="G575" s="18"/>
      <c r="H575" s="20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spans="1:25" ht="18.75" x14ac:dyDescent="0.3">
      <c r="A576" s="22"/>
      <c r="B576" s="18"/>
      <c r="C576" s="18"/>
      <c r="D576" s="18"/>
      <c r="E576" s="18"/>
      <c r="F576" s="18"/>
      <c r="G576" s="18"/>
      <c r="H576" s="20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spans="1:25" ht="18.75" x14ac:dyDescent="0.3">
      <c r="A577" s="22"/>
      <c r="B577" s="18"/>
      <c r="C577" s="18"/>
      <c r="D577" s="18"/>
      <c r="E577" s="18"/>
      <c r="F577" s="18"/>
      <c r="G577" s="18"/>
      <c r="H577" s="20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spans="1:25" ht="18.75" x14ac:dyDescent="0.3">
      <c r="A578" s="22"/>
      <c r="B578" s="18"/>
      <c r="C578" s="18"/>
      <c r="D578" s="18"/>
      <c r="E578" s="18"/>
      <c r="F578" s="18"/>
      <c r="G578" s="18"/>
      <c r="H578" s="20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spans="1:25" ht="18.75" x14ac:dyDescent="0.3">
      <c r="A579" s="22"/>
      <c r="B579" s="18"/>
      <c r="C579" s="18"/>
      <c r="D579" s="18"/>
      <c r="E579" s="18"/>
      <c r="F579" s="18"/>
      <c r="G579" s="18"/>
      <c r="H579" s="20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spans="1:25" ht="18.75" x14ac:dyDescent="0.3">
      <c r="A580" s="22"/>
      <c r="B580" s="18"/>
      <c r="C580" s="18"/>
      <c r="D580" s="18"/>
      <c r="E580" s="18"/>
      <c r="F580" s="18"/>
      <c r="G580" s="18"/>
      <c r="H580" s="20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spans="1:25" ht="18.75" x14ac:dyDescent="0.3">
      <c r="A581" s="22"/>
      <c r="B581" s="18"/>
      <c r="C581" s="18"/>
      <c r="D581" s="18"/>
      <c r="E581" s="18"/>
      <c r="F581" s="18"/>
      <c r="G581" s="18"/>
      <c r="H581" s="20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spans="1:25" ht="18.75" x14ac:dyDescent="0.3">
      <c r="A582" s="22"/>
      <c r="B582" s="18"/>
      <c r="C582" s="18"/>
      <c r="D582" s="18"/>
      <c r="E582" s="18"/>
      <c r="F582" s="18"/>
      <c r="G582" s="18"/>
      <c r="H582" s="20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spans="1:25" ht="18.75" x14ac:dyDescent="0.3">
      <c r="A583" s="22"/>
      <c r="B583" s="18"/>
      <c r="C583" s="18"/>
      <c r="D583" s="18"/>
      <c r="E583" s="18"/>
      <c r="F583" s="18"/>
      <c r="G583" s="18"/>
      <c r="H583" s="20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spans="1:25" ht="18.75" x14ac:dyDescent="0.3">
      <c r="A584" s="22"/>
      <c r="B584" s="18"/>
      <c r="C584" s="18"/>
      <c r="D584" s="18"/>
      <c r="E584" s="18"/>
      <c r="F584" s="18"/>
      <c r="G584" s="18"/>
      <c r="H584" s="20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spans="1:25" ht="18.75" x14ac:dyDescent="0.3">
      <c r="A585" s="22"/>
      <c r="B585" s="18"/>
      <c r="C585" s="18"/>
      <c r="D585" s="18"/>
      <c r="E585" s="18"/>
      <c r="F585" s="18"/>
      <c r="G585" s="18"/>
      <c r="H585" s="20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spans="1:25" ht="18.75" x14ac:dyDescent="0.3">
      <c r="A586" s="22"/>
      <c r="B586" s="18"/>
      <c r="C586" s="18"/>
      <c r="D586" s="18"/>
      <c r="E586" s="18"/>
      <c r="F586" s="18"/>
      <c r="G586" s="18"/>
      <c r="H586" s="20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spans="1:25" ht="18.75" x14ac:dyDescent="0.3">
      <c r="A587" s="22"/>
      <c r="B587" s="18"/>
      <c r="C587" s="18"/>
      <c r="D587" s="18"/>
      <c r="E587" s="18"/>
      <c r="F587" s="18"/>
      <c r="G587" s="18"/>
      <c r="H587" s="20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spans="1:25" ht="18.75" x14ac:dyDescent="0.3">
      <c r="A588" s="22"/>
      <c r="B588" s="18"/>
      <c r="C588" s="18"/>
      <c r="D588" s="18"/>
      <c r="E588" s="18"/>
      <c r="F588" s="18"/>
      <c r="G588" s="18"/>
      <c r="H588" s="20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spans="1:25" ht="18.75" x14ac:dyDescent="0.3">
      <c r="A589" s="22"/>
      <c r="B589" s="18"/>
      <c r="C589" s="18"/>
      <c r="D589" s="18"/>
      <c r="E589" s="18"/>
      <c r="F589" s="18"/>
      <c r="G589" s="18"/>
      <c r="H589" s="20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spans="1:25" ht="18.75" x14ac:dyDescent="0.3">
      <c r="A590" s="22"/>
      <c r="B590" s="18"/>
      <c r="C590" s="18"/>
      <c r="D590" s="18"/>
      <c r="E590" s="18"/>
      <c r="F590" s="18"/>
      <c r="G590" s="18"/>
      <c r="H590" s="20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spans="1:25" ht="18.75" x14ac:dyDescent="0.3">
      <c r="A591" s="22"/>
      <c r="B591" s="18"/>
      <c r="C591" s="18"/>
      <c r="D591" s="18"/>
      <c r="E591" s="18"/>
      <c r="F591" s="18"/>
      <c r="G591" s="18"/>
      <c r="H591" s="20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spans="1:25" ht="18.75" x14ac:dyDescent="0.3">
      <c r="A592" s="22"/>
      <c r="B592" s="18"/>
      <c r="C592" s="18"/>
      <c r="D592" s="18"/>
      <c r="E592" s="18"/>
      <c r="F592" s="18"/>
      <c r="G592" s="18"/>
      <c r="H592" s="20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spans="1:25" ht="18.75" x14ac:dyDescent="0.3">
      <c r="A593" s="22"/>
      <c r="B593" s="18"/>
      <c r="C593" s="18"/>
      <c r="D593" s="18"/>
      <c r="E593" s="18"/>
      <c r="F593" s="18"/>
      <c r="G593" s="18"/>
      <c r="H593" s="20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spans="1:25" ht="18.75" x14ac:dyDescent="0.3">
      <c r="A594" s="22"/>
      <c r="B594" s="18"/>
      <c r="C594" s="18"/>
      <c r="D594" s="18"/>
      <c r="E594" s="18"/>
      <c r="F594" s="18"/>
      <c r="G594" s="18"/>
      <c r="H594" s="20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spans="1:25" ht="18.75" x14ac:dyDescent="0.3">
      <c r="A595" s="22"/>
      <c r="B595" s="18"/>
      <c r="C595" s="18"/>
      <c r="D595" s="18"/>
      <c r="E595" s="18"/>
      <c r="F595" s="18"/>
      <c r="G595" s="18"/>
      <c r="H595" s="20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spans="1:25" ht="18.75" x14ac:dyDescent="0.3">
      <c r="A596" s="22"/>
      <c r="B596" s="18"/>
      <c r="C596" s="18"/>
      <c r="D596" s="18"/>
      <c r="E596" s="18"/>
      <c r="F596" s="18"/>
      <c r="G596" s="18"/>
      <c r="H596" s="20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spans="1:25" ht="18.75" x14ac:dyDescent="0.3">
      <c r="A597" s="22"/>
      <c r="B597" s="18"/>
      <c r="C597" s="18"/>
      <c r="D597" s="18"/>
      <c r="E597" s="18"/>
      <c r="F597" s="18"/>
      <c r="G597" s="18"/>
      <c r="H597" s="20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spans="1:25" ht="18.75" x14ac:dyDescent="0.3">
      <c r="A598" s="22"/>
      <c r="B598" s="18"/>
      <c r="C598" s="18"/>
      <c r="D598" s="18"/>
      <c r="E598" s="18"/>
      <c r="F598" s="18"/>
      <c r="G598" s="18"/>
      <c r="H598" s="20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spans="1:25" ht="18.75" x14ac:dyDescent="0.3">
      <c r="A599" s="22"/>
      <c r="B599" s="18"/>
      <c r="C599" s="18"/>
      <c r="D599" s="18"/>
      <c r="E599" s="18"/>
      <c r="F599" s="18"/>
      <c r="G599" s="18"/>
      <c r="H599" s="20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spans="1:25" ht="18.75" x14ac:dyDescent="0.3">
      <c r="A600" s="22"/>
      <c r="B600" s="18"/>
      <c r="C600" s="18"/>
      <c r="D600" s="18"/>
      <c r="E600" s="18"/>
      <c r="F600" s="18"/>
      <c r="G600" s="18"/>
      <c r="H600" s="20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spans="1:25" ht="18.75" x14ac:dyDescent="0.3">
      <c r="A601" s="22"/>
      <c r="B601" s="18"/>
      <c r="C601" s="18"/>
      <c r="D601" s="18"/>
      <c r="E601" s="18"/>
      <c r="F601" s="18"/>
      <c r="G601" s="18"/>
      <c r="H601" s="20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spans="1:25" ht="18.75" x14ac:dyDescent="0.3">
      <c r="A602" s="22"/>
      <c r="B602" s="18"/>
      <c r="C602" s="18"/>
      <c r="D602" s="18"/>
      <c r="E602" s="18"/>
      <c r="F602" s="18"/>
      <c r="G602" s="18"/>
      <c r="H602" s="20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spans="1:25" ht="18.75" x14ac:dyDescent="0.3">
      <c r="A603" s="22"/>
      <c r="B603" s="18"/>
      <c r="C603" s="18"/>
      <c r="D603" s="18"/>
      <c r="E603" s="18"/>
      <c r="F603" s="18"/>
      <c r="G603" s="18"/>
      <c r="H603" s="20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spans="1:25" ht="18.75" x14ac:dyDescent="0.3">
      <c r="A604" s="22"/>
      <c r="B604" s="18"/>
      <c r="C604" s="18"/>
      <c r="D604" s="18"/>
      <c r="E604" s="18"/>
      <c r="F604" s="18"/>
      <c r="G604" s="18"/>
      <c r="H604" s="20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spans="1:25" ht="18.75" x14ac:dyDescent="0.3">
      <c r="A605" s="22"/>
      <c r="B605" s="18"/>
      <c r="C605" s="18"/>
      <c r="D605" s="18"/>
      <c r="E605" s="18"/>
      <c r="F605" s="18"/>
      <c r="G605" s="18"/>
      <c r="H605" s="20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spans="1:25" ht="18.75" x14ac:dyDescent="0.3">
      <c r="A606" s="22"/>
      <c r="B606" s="18"/>
      <c r="C606" s="18"/>
      <c r="D606" s="18"/>
      <c r="E606" s="18"/>
      <c r="F606" s="18"/>
      <c r="G606" s="18"/>
      <c r="H606" s="20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spans="1:25" ht="18.75" x14ac:dyDescent="0.3">
      <c r="A607" s="22"/>
      <c r="B607" s="18"/>
      <c r="C607" s="18"/>
      <c r="D607" s="18"/>
      <c r="E607" s="18"/>
      <c r="F607" s="18"/>
      <c r="G607" s="18"/>
      <c r="H607" s="20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spans="1:25" ht="18.75" x14ac:dyDescent="0.3">
      <c r="A608" s="22"/>
      <c r="B608" s="18"/>
      <c r="C608" s="18"/>
      <c r="D608" s="18"/>
      <c r="E608" s="18"/>
      <c r="F608" s="18"/>
      <c r="G608" s="18"/>
      <c r="H608" s="20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spans="1:25" ht="18.75" x14ac:dyDescent="0.3">
      <c r="A609" s="22"/>
      <c r="B609" s="18"/>
      <c r="C609" s="18"/>
      <c r="D609" s="18"/>
      <c r="E609" s="18"/>
      <c r="F609" s="18"/>
      <c r="G609" s="18"/>
      <c r="H609" s="20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spans="1:25" ht="18.75" x14ac:dyDescent="0.3">
      <c r="A610" s="22"/>
      <c r="B610" s="18"/>
      <c r="C610" s="18"/>
      <c r="D610" s="18"/>
      <c r="E610" s="18"/>
      <c r="F610" s="18"/>
      <c r="G610" s="18"/>
      <c r="H610" s="20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spans="1:25" ht="18.75" x14ac:dyDescent="0.3">
      <c r="A611" s="22"/>
      <c r="B611" s="18"/>
      <c r="C611" s="18"/>
      <c r="D611" s="18"/>
      <c r="E611" s="18"/>
      <c r="F611" s="18"/>
      <c r="G611" s="18"/>
      <c r="H611" s="20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spans="1:25" ht="18.75" x14ac:dyDescent="0.3">
      <c r="A612" s="22"/>
      <c r="B612" s="18"/>
      <c r="C612" s="18"/>
      <c r="D612" s="18"/>
      <c r="E612" s="18"/>
      <c r="F612" s="18"/>
      <c r="G612" s="18"/>
      <c r="H612" s="20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spans="1:25" ht="18.75" x14ac:dyDescent="0.3">
      <c r="A613" s="22"/>
      <c r="B613" s="18"/>
      <c r="C613" s="18"/>
      <c r="D613" s="18"/>
      <c r="E613" s="18"/>
      <c r="F613" s="18"/>
      <c r="G613" s="18"/>
      <c r="H613" s="20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spans="1:25" ht="18.75" x14ac:dyDescent="0.3">
      <c r="A614" s="22"/>
      <c r="B614" s="18"/>
      <c r="C614" s="18"/>
      <c r="D614" s="18"/>
      <c r="E614" s="18"/>
      <c r="F614" s="18"/>
      <c r="G614" s="18"/>
      <c r="H614" s="20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spans="1:25" ht="18.75" x14ac:dyDescent="0.3">
      <c r="A615" s="22"/>
      <c r="B615" s="18"/>
      <c r="C615" s="18"/>
      <c r="D615" s="18"/>
      <c r="E615" s="18"/>
      <c r="F615" s="18"/>
      <c r="G615" s="18"/>
      <c r="H615" s="20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spans="1:25" ht="18.75" x14ac:dyDescent="0.3">
      <c r="A616" s="22"/>
      <c r="B616" s="18"/>
      <c r="C616" s="18"/>
      <c r="D616" s="18"/>
      <c r="E616" s="18"/>
      <c r="F616" s="18"/>
      <c r="G616" s="18"/>
      <c r="H616" s="20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spans="1:25" ht="18.75" x14ac:dyDescent="0.3">
      <c r="A617" s="22"/>
      <c r="B617" s="18"/>
      <c r="C617" s="18"/>
      <c r="D617" s="18"/>
      <c r="E617" s="18"/>
      <c r="F617" s="18"/>
      <c r="G617" s="18"/>
      <c r="H617" s="20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spans="1:25" ht="18.75" x14ac:dyDescent="0.3">
      <c r="A618" s="22"/>
      <c r="B618" s="18"/>
      <c r="C618" s="18"/>
      <c r="D618" s="18"/>
      <c r="E618" s="18"/>
      <c r="F618" s="18"/>
      <c r="G618" s="18"/>
      <c r="H618" s="20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spans="1:25" ht="18.75" x14ac:dyDescent="0.3">
      <c r="A619" s="22"/>
      <c r="B619" s="18"/>
      <c r="C619" s="18"/>
      <c r="D619" s="18"/>
      <c r="E619" s="18"/>
      <c r="F619" s="18"/>
      <c r="G619" s="18"/>
      <c r="H619" s="20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spans="1:25" ht="18.75" x14ac:dyDescent="0.3">
      <c r="A620" s="22"/>
      <c r="B620" s="18"/>
      <c r="C620" s="18"/>
      <c r="D620" s="18"/>
      <c r="E620" s="18"/>
      <c r="F620" s="18"/>
      <c r="G620" s="18"/>
      <c r="H620" s="20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spans="1:25" ht="18.75" x14ac:dyDescent="0.3">
      <c r="A621" s="22"/>
      <c r="B621" s="18"/>
      <c r="C621" s="18"/>
      <c r="D621" s="18"/>
      <c r="E621" s="18"/>
      <c r="F621" s="18"/>
      <c r="G621" s="18"/>
      <c r="H621" s="20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spans="1:25" ht="18.75" x14ac:dyDescent="0.3">
      <c r="A622" s="22"/>
      <c r="B622" s="18"/>
      <c r="C622" s="18"/>
      <c r="D622" s="18"/>
      <c r="E622" s="18"/>
      <c r="F622" s="18"/>
      <c r="G622" s="18"/>
      <c r="H622" s="20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spans="1:25" ht="18.75" x14ac:dyDescent="0.3">
      <c r="A623" s="22"/>
      <c r="B623" s="18"/>
      <c r="C623" s="18"/>
      <c r="D623" s="18"/>
      <c r="E623" s="18"/>
      <c r="F623" s="18"/>
      <c r="G623" s="18"/>
      <c r="H623" s="20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spans="1:25" ht="18.75" x14ac:dyDescent="0.3">
      <c r="A624" s="22"/>
      <c r="B624" s="18"/>
      <c r="C624" s="18"/>
      <c r="D624" s="18"/>
      <c r="E624" s="18"/>
      <c r="F624" s="18"/>
      <c r="G624" s="18"/>
      <c r="H624" s="20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spans="1:25" ht="18.75" x14ac:dyDescent="0.3">
      <c r="A625" s="22"/>
      <c r="B625" s="18"/>
      <c r="C625" s="18"/>
      <c r="D625" s="18"/>
      <c r="E625" s="18"/>
      <c r="F625" s="18"/>
      <c r="G625" s="18"/>
      <c r="H625" s="20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spans="1:25" ht="18.75" x14ac:dyDescent="0.3">
      <c r="A626" s="22"/>
      <c r="B626" s="18"/>
      <c r="C626" s="18"/>
      <c r="D626" s="18"/>
      <c r="E626" s="18"/>
      <c r="F626" s="18"/>
      <c r="G626" s="18"/>
      <c r="H626" s="20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spans="1:25" ht="18.75" x14ac:dyDescent="0.3">
      <c r="A627" s="22"/>
      <c r="B627" s="18"/>
      <c r="C627" s="18"/>
      <c r="D627" s="18"/>
      <c r="E627" s="18"/>
      <c r="F627" s="18"/>
      <c r="G627" s="18"/>
      <c r="H627" s="20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spans="1:25" ht="18.75" x14ac:dyDescent="0.3">
      <c r="A628" s="22"/>
      <c r="B628" s="18"/>
      <c r="C628" s="18"/>
      <c r="D628" s="18"/>
      <c r="E628" s="18"/>
      <c r="F628" s="18"/>
      <c r="G628" s="18"/>
      <c r="H628" s="20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spans="1:25" ht="18.75" x14ac:dyDescent="0.3">
      <c r="A629" s="22"/>
      <c r="B629" s="18"/>
      <c r="C629" s="18"/>
      <c r="D629" s="18"/>
      <c r="E629" s="18"/>
      <c r="F629" s="18"/>
      <c r="G629" s="18"/>
      <c r="H629" s="20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spans="1:25" ht="18.75" x14ac:dyDescent="0.3">
      <c r="A630" s="22"/>
      <c r="B630" s="18"/>
      <c r="C630" s="18"/>
      <c r="D630" s="18"/>
      <c r="E630" s="18"/>
      <c r="F630" s="18"/>
      <c r="G630" s="18"/>
      <c r="H630" s="20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spans="1:25" ht="18.75" x14ac:dyDescent="0.3">
      <c r="A631" s="22"/>
      <c r="B631" s="18"/>
      <c r="C631" s="18"/>
      <c r="D631" s="18"/>
      <c r="E631" s="18"/>
      <c r="F631" s="18"/>
      <c r="G631" s="18"/>
      <c r="H631" s="20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spans="1:25" ht="18.75" x14ac:dyDescent="0.3">
      <c r="A632" s="22"/>
      <c r="B632" s="18"/>
      <c r="C632" s="18"/>
      <c r="D632" s="18"/>
      <c r="E632" s="18"/>
      <c r="F632" s="18"/>
      <c r="G632" s="18"/>
      <c r="H632" s="20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spans="1:25" ht="18.75" x14ac:dyDescent="0.3">
      <c r="A633" s="22"/>
      <c r="B633" s="18"/>
      <c r="C633" s="18"/>
      <c r="D633" s="18"/>
      <c r="E633" s="18"/>
      <c r="F633" s="18"/>
      <c r="G633" s="18"/>
      <c r="H633" s="20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spans="1:25" ht="18.75" x14ac:dyDescent="0.3">
      <c r="A634" s="22"/>
      <c r="B634" s="18"/>
      <c r="C634" s="18"/>
      <c r="D634" s="18"/>
      <c r="E634" s="18"/>
      <c r="F634" s="18"/>
      <c r="G634" s="18"/>
      <c r="H634" s="20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spans="1:25" ht="18.75" x14ac:dyDescent="0.3">
      <c r="A635" s="22"/>
      <c r="B635" s="18"/>
      <c r="C635" s="18"/>
      <c r="D635" s="18"/>
      <c r="E635" s="18"/>
      <c r="F635" s="18"/>
      <c r="G635" s="18"/>
      <c r="H635" s="20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spans="1:25" ht="18.75" x14ac:dyDescent="0.3">
      <c r="A636" s="22"/>
      <c r="B636" s="18"/>
      <c r="C636" s="18"/>
      <c r="D636" s="18"/>
      <c r="E636" s="18"/>
      <c r="F636" s="18"/>
      <c r="G636" s="18"/>
      <c r="H636" s="20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spans="1:25" ht="18.75" x14ac:dyDescent="0.3">
      <c r="A637" s="22"/>
      <c r="B637" s="18"/>
      <c r="C637" s="18"/>
      <c r="D637" s="18"/>
      <c r="E637" s="18"/>
      <c r="F637" s="18"/>
      <c r="G637" s="18"/>
      <c r="H637" s="20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spans="1:25" ht="18.75" x14ac:dyDescent="0.3">
      <c r="A638" s="22"/>
      <c r="B638" s="18"/>
      <c r="C638" s="18"/>
      <c r="D638" s="18"/>
      <c r="E638" s="18"/>
      <c r="F638" s="18"/>
      <c r="G638" s="18"/>
      <c r="H638" s="20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spans="1:25" ht="18.75" x14ac:dyDescent="0.3">
      <c r="A639" s="22"/>
      <c r="B639" s="18"/>
      <c r="C639" s="18"/>
      <c r="D639" s="18"/>
      <c r="E639" s="18"/>
      <c r="F639" s="18"/>
      <c r="G639" s="18"/>
      <c r="H639" s="20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spans="1:25" ht="18.75" x14ac:dyDescent="0.3">
      <c r="A640" s="22"/>
      <c r="B640" s="18"/>
      <c r="C640" s="18"/>
      <c r="D640" s="18"/>
      <c r="E640" s="18"/>
      <c r="F640" s="18"/>
      <c r="G640" s="18"/>
      <c r="H640" s="20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5" ht="18.75" x14ac:dyDescent="0.3">
      <c r="A641" s="22"/>
      <c r="B641" s="18"/>
      <c r="C641" s="18"/>
      <c r="D641" s="18"/>
      <c r="E641" s="18"/>
      <c r="F641" s="18"/>
      <c r="G641" s="18"/>
      <c r="H641" s="20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spans="1:25" ht="18.75" x14ac:dyDescent="0.3">
      <c r="A642" s="22"/>
      <c r="B642" s="18"/>
      <c r="C642" s="18"/>
      <c r="D642" s="18"/>
      <c r="E642" s="18"/>
      <c r="F642" s="18"/>
      <c r="G642" s="18"/>
      <c r="H642" s="20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spans="1:25" ht="18.75" x14ac:dyDescent="0.3">
      <c r="A643" s="22"/>
      <c r="B643" s="18"/>
      <c r="C643" s="18"/>
      <c r="D643" s="18"/>
      <c r="E643" s="18"/>
      <c r="F643" s="18"/>
      <c r="G643" s="18"/>
      <c r="H643" s="20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spans="1:25" ht="18.75" x14ac:dyDescent="0.3">
      <c r="A644" s="22"/>
      <c r="B644" s="18"/>
      <c r="C644" s="18"/>
      <c r="D644" s="18"/>
      <c r="E644" s="18"/>
      <c r="F644" s="18"/>
      <c r="G644" s="18"/>
      <c r="H644" s="20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spans="1:25" ht="18.75" x14ac:dyDescent="0.3">
      <c r="A645" s="22"/>
      <c r="B645" s="18"/>
      <c r="C645" s="18"/>
      <c r="D645" s="18"/>
      <c r="E645" s="18"/>
      <c r="F645" s="18"/>
      <c r="G645" s="18"/>
      <c r="H645" s="20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spans="1:25" ht="18.75" x14ac:dyDescent="0.3">
      <c r="A646" s="22"/>
      <c r="B646" s="18"/>
      <c r="C646" s="18"/>
      <c r="D646" s="18"/>
      <c r="E646" s="18"/>
      <c r="F646" s="18"/>
      <c r="G646" s="18"/>
      <c r="H646" s="20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spans="1:25" ht="18.75" x14ac:dyDescent="0.3">
      <c r="A647" s="22"/>
      <c r="B647" s="18"/>
      <c r="C647" s="18"/>
      <c r="D647" s="18"/>
      <c r="E647" s="18"/>
      <c r="F647" s="18"/>
      <c r="G647" s="18"/>
      <c r="H647" s="20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spans="1:25" ht="18.75" x14ac:dyDescent="0.3">
      <c r="A648" s="22"/>
      <c r="B648" s="18"/>
      <c r="C648" s="18"/>
      <c r="D648" s="18"/>
      <c r="E648" s="18"/>
      <c r="F648" s="18"/>
      <c r="G648" s="18"/>
      <c r="H648" s="20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spans="1:25" ht="18.75" x14ac:dyDescent="0.3">
      <c r="A649" s="22"/>
      <c r="B649" s="18"/>
      <c r="C649" s="18"/>
      <c r="D649" s="18"/>
      <c r="E649" s="18"/>
      <c r="F649" s="18"/>
      <c r="G649" s="18"/>
      <c r="H649" s="20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spans="1:25" ht="18.75" x14ac:dyDescent="0.3">
      <c r="A650" s="22"/>
      <c r="B650" s="18"/>
      <c r="C650" s="18"/>
      <c r="D650" s="18"/>
      <c r="E650" s="18"/>
      <c r="F650" s="18"/>
      <c r="G650" s="18"/>
      <c r="H650" s="20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spans="1:25" ht="18.75" x14ac:dyDescent="0.3">
      <c r="A651" s="22"/>
      <c r="B651" s="18"/>
      <c r="C651" s="18"/>
      <c r="D651" s="18"/>
      <c r="E651" s="18"/>
      <c r="F651" s="18"/>
      <c r="G651" s="18"/>
      <c r="H651" s="20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spans="1:25" ht="18.75" x14ac:dyDescent="0.3">
      <c r="A652" s="22"/>
      <c r="B652" s="18"/>
      <c r="C652" s="18"/>
      <c r="D652" s="18"/>
      <c r="E652" s="18"/>
      <c r="F652" s="18"/>
      <c r="G652" s="18"/>
      <c r="H652" s="20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spans="1:25" ht="18.75" x14ac:dyDescent="0.3">
      <c r="A653" s="22"/>
      <c r="B653" s="18"/>
      <c r="C653" s="18"/>
      <c r="D653" s="18"/>
      <c r="E653" s="18"/>
      <c r="F653" s="18"/>
      <c r="G653" s="18"/>
      <c r="H653" s="20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spans="1:25" ht="18.75" x14ac:dyDescent="0.3">
      <c r="A654" s="22"/>
      <c r="B654" s="18"/>
      <c r="C654" s="18"/>
      <c r="D654" s="18"/>
      <c r="E654" s="18"/>
      <c r="F654" s="18"/>
      <c r="G654" s="18"/>
      <c r="H654" s="20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spans="1:25" ht="18.75" x14ac:dyDescent="0.3">
      <c r="A655" s="22"/>
      <c r="B655" s="18"/>
      <c r="C655" s="18"/>
      <c r="D655" s="18"/>
      <c r="E655" s="18"/>
      <c r="F655" s="18"/>
      <c r="G655" s="18"/>
      <c r="H655" s="20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spans="1:25" ht="18.75" x14ac:dyDescent="0.3">
      <c r="A656" s="22"/>
      <c r="B656" s="18"/>
      <c r="C656" s="18"/>
      <c r="D656" s="18"/>
      <c r="E656" s="18"/>
      <c r="F656" s="18"/>
      <c r="G656" s="18"/>
      <c r="H656" s="20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spans="1:25" ht="18.75" x14ac:dyDescent="0.3">
      <c r="A657" s="22"/>
      <c r="B657" s="18"/>
      <c r="C657" s="18"/>
      <c r="D657" s="18"/>
      <c r="E657" s="18"/>
      <c r="F657" s="18"/>
      <c r="G657" s="18"/>
      <c r="H657" s="20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spans="1:25" ht="18.75" x14ac:dyDescent="0.3">
      <c r="A658" s="22"/>
      <c r="B658" s="18"/>
      <c r="C658" s="18"/>
      <c r="D658" s="18"/>
      <c r="E658" s="18"/>
      <c r="F658" s="18"/>
      <c r="G658" s="18"/>
      <c r="H658" s="20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spans="1:25" ht="18.75" x14ac:dyDescent="0.3">
      <c r="A659" s="22"/>
      <c r="B659" s="18"/>
      <c r="C659" s="18"/>
      <c r="D659" s="18"/>
      <c r="E659" s="18"/>
      <c r="F659" s="18"/>
      <c r="G659" s="18"/>
      <c r="H659" s="20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spans="1:25" ht="18.75" x14ac:dyDescent="0.3">
      <c r="A660" s="22"/>
      <c r="B660" s="18"/>
      <c r="C660" s="18"/>
      <c r="D660" s="18"/>
      <c r="E660" s="18"/>
      <c r="F660" s="18"/>
      <c r="G660" s="18"/>
      <c r="H660" s="20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spans="1:25" ht="18.75" x14ac:dyDescent="0.3">
      <c r="A661" s="22"/>
      <c r="B661" s="18"/>
      <c r="C661" s="18"/>
      <c r="D661" s="18"/>
      <c r="E661" s="18"/>
      <c r="F661" s="18"/>
      <c r="G661" s="18"/>
      <c r="H661" s="20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spans="1:25" ht="18.75" x14ac:dyDescent="0.3">
      <c r="A662" s="22"/>
      <c r="B662" s="18"/>
      <c r="C662" s="18"/>
      <c r="D662" s="18"/>
      <c r="E662" s="18"/>
      <c r="F662" s="18"/>
      <c r="G662" s="18"/>
      <c r="H662" s="20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spans="1:25" ht="18.75" x14ac:dyDescent="0.3">
      <c r="A663" s="22"/>
      <c r="B663" s="18"/>
      <c r="C663" s="18"/>
      <c r="D663" s="18"/>
      <c r="E663" s="18"/>
      <c r="F663" s="18"/>
      <c r="G663" s="18"/>
      <c r="H663" s="20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spans="1:25" ht="18.75" x14ac:dyDescent="0.3">
      <c r="A664" s="22"/>
      <c r="B664" s="18"/>
      <c r="C664" s="18"/>
      <c r="D664" s="18"/>
      <c r="E664" s="18"/>
      <c r="F664" s="18"/>
      <c r="G664" s="18"/>
      <c r="H664" s="20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spans="1:25" ht="18.75" x14ac:dyDescent="0.3">
      <c r="A665" s="22"/>
      <c r="B665" s="18"/>
      <c r="C665" s="18"/>
      <c r="D665" s="18"/>
      <c r="E665" s="18"/>
      <c r="F665" s="18"/>
      <c r="G665" s="18"/>
      <c r="H665" s="20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spans="1:25" ht="18.75" x14ac:dyDescent="0.3">
      <c r="A666" s="22"/>
      <c r="B666" s="18"/>
      <c r="C666" s="18"/>
      <c r="D666" s="18"/>
      <c r="E666" s="18"/>
      <c r="F666" s="18"/>
      <c r="G666" s="18"/>
      <c r="H666" s="20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spans="1:25" ht="18.75" x14ac:dyDescent="0.3">
      <c r="A667" s="22"/>
      <c r="B667" s="18"/>
      <c r="C667" s="18"/>
      <c r="D667" s="18"/>
      <c r="E667" s="18"/>
      <c r="F667" s="18"/>
      <c r="G667" s="18"/>
      <c r="H667" s="20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spans="1:25" ht="18.75" x14ac:dyDescent="0.3">
      <c r="A668" s="22"/>
      <c r="B668" s="18"/>
      <c r="C668" s="18"/>
      <c r="D668" s="18"/>
      <c r="E668" s="18"/>
      <c r="F668" s="18"/>
      <c r="G668" s="18"/>
      <c r="H668" s="20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spans="1:25" ht="18.75" x14ac:dyDescent="0.3">
      <c r="A669" s="22"/>
      <c r="B669" s="18"/>
      <c r="C669" s="18"/>
      <c r="D669" s="18"/>
      <c r="E669" s="18"/>
      <c r="F669" s="18"/>
      <c r="G669" s="18"/>
      <c r="H669" s="20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spans="1:25" ht="18.75" x14ac:dyDescent="0.3">
      <c r="A670" s="22"/>
      <c r="B670" s="18"/>
      <c r="C670" s="18"/>
      <c r="D670" s="18"/>
      <c r="E670" s="18"/>
      <c r="F670" s="18"/>
      <c r="G670" s="18"/>
      <c r="H670" s="20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spans="1:25" ht="18.75" x14ac:dyDescent="0.3">
      <c r="A671" s="22"/>
      <c r="B671" s="18"/>
      <c r="C671" s="18"/>
      <c r="D671" s="18"/>
      <c r="E671" s="18"/>
      <c r="F671" s="18"/>
      <c r="G671" s="18"/>
      <c r="H671" s="20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spans="1:25" ht="18.75" x14ac:dyDescent="0.3">
      <c r="A672" s="22"/>
      <c r="B672" s="18"/>
      <c r="C672" s="18"/>
      <c r="D672" s="18"/>
      <c r="E672" s="18"/>
      <c r="F672" s="18"/>
      <c r="G672" s="18"/>
      <c r="H672" s="20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spans="1:25" ht="18.75" x14ac:dyDescent="0.3">
      <c r="A673" s="22"/>
      <c r="B673" s="18"/>
      <c r="C673" s="18"/>
      <c r="D673" s="18"/>
      <c r="E673" s="18"/>
      <c r="F673" s="18"/>
      <c r="G673" s="18"/>
      <c r="H673" s="20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spans="1:25" ht="18.75" x14ac:dyDescent="0.3">
      <c r="A674" s="22"/>
      <c r="B674" s="18"/>
      <c r="C674" s="18"/>
      <c r="D674" s="18"/>
      <c r="E674" s="18"/>
      <c r="F674" s="18"/>
      <c r="G674" s="18"/>
      <c r="H674" s="20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spans="1:25" ht="18.75" x14ac:dyDescent="0.3">
      <c r="A675" s="22"/>
      <c r="B675" s="18"/>
      <c r="C675" s="18"/>
      <c r="D675" s="18"/>
      <c r="E675" s="18"/>
      <c r="F675" s="18"/>
      <c r="G675" s="18"/>
      <c r="H675" s="20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spans="1:25" ht="18.75" x14ac:dyDescent="0.3">
      <c r="A676" s="22"/>
      <c r="B676" s="18"/>
      <c r="C676" s="18"/>
      <c r="D676" s="18"/>
      <c r="E676" s="18"/>
      <c r="F676" s="18"/>
      <c r="G676" s="18"/>
      <c r="H676" s="20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spans="1:25" ht="18.75" x14ac:dyDescent="0.3">
      <c r="A677" s="22"/>
      <c r="B677" s="18"/>
      <c r="C677" s="18"/>
      <c r="D677" s="18"/>
      <c r="E677" s="18"/>
      <c r="F677" s="18"/>
      <c r="G677" s="18"/>
      <c r="H677" s="20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spans="1:25" ht="18.75" x14ac:dyDescent="0.3">
      <c r="A678" s="22"/>
      <c r="B678" s="18"/>
      <c r="C678" s="18"/>
      <c r="D678" s="18"/>
      <c r="E678" s="18"/>
      <c r="F678" s="18"/>
      <c r="G678" s="18"/>
      <c r="H678" s="20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spans="1:25" ht="18.75" x14ac:dyDescent="0.3">
      <c r="A679" s="22"/>
      <c r="B679" s="18"/>
      <c r="C679" s="18"/>
      <c r="D679" s="18"/>
      <c r="E679" s="18"/>
      <c r="F679" s="18"/>
      <c r="G679" s="18"/>
      <c r="H679" s="20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spans="1:25" ht="18.75" x14ac:dyDescent="0.3">
      <c r="A680" s="22"/>
      <c r="B680" s="18"/>
      <c r="C680" s="18"/>
      <c r="D680" s="18"/>
      <c r="E680" s="18"/>
      <c r="F680" s="18"/>
      <c r="G680" s="18"/>
      <c r="H680" s="20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spans="1:25" ht="18.75" x14ac:dyDescent="0.3">
      <c r="A681" s="22"/>
      <c r="B681" s="18"/>
      <c r="C681" s="18"/>
      <c r="D681" s="18"/>
      <c r="E681" s="18"/>
      <c r="F681" s="18"/>
      <c r="G681" s="18"/>
      <c r="H681" s="20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spans="1:25" ht="18.75" x14ac:dyDescent="0.3">
      <c r="A682" s="22"/>
      <c r="B682" s="18"/>
      <c r="C682" s="18"/>
      <c r="D682" s="18"/>
      <c r="E682" s="18"/>
      <c r="F682" s="18"/>
      <c r="G682" s="18"/>
      <c r="H682" s="20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spans="1:25" ht="18.75" x14ac:dyDescent="0.3">
      <c r="A683" s="22"/>
      <c r="B683" s="18"/>
      <c r="C683" s="18"/>
      <c r="D683" s="18"/>
      <c r="E683" s="18"/>
      <c r="F683" s="18"/>
      <c r="G683" s="18"/>
      <c r="H683" s="20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spans="1:25" ht="18.75" x14ac:dyDescent="0.3">
      <c r="A684" s="22"/>
      <c r="B684" s="18"/>
      <c r="C684" s="18"/>
      <c r="D684" s="18"/>
      <c r="E684" s="18"/>
      <c r="F684" s="18"/>
      <c r="G684" s="18"/>
      <c r="H684" s="20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spans="1:25" ht="18.75" x14ac:dyDescent="0.3">
      <c r="A685" s="22"/>
      <c r="B685" s="18"/>
      <c r="C685" s="18"/>
      <c r="D685" s="18"/>
      <c r="E685" s="18"/>
      <c r="F685" s="18"/>
      <c r="G685" s="18"/>
      <c r="H685" s="20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spans="1:25" ht="18.75" x14ac:dyDescent="0.3">
      <c r="A686" s="22"/>
      <c r="B686" s="18"/>
      <c r="C686" s="18"/>
      <c r="D686" s="18"/>
      <c r="E686" s="18"/>
      <c r="F686" s="18"/>
      <c r="G686" s="18"/>
      <c r="H686" s="20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spans="1:25" ht="18.75" x14ac:dyDescent="0.3">
      <c r="A687" s="22"/>
      <c r="B687" s="18"/>
      <c r="C687" s="18"/>
      <c r="D687" s="18"/>
      <c r="E687" s="18"/>
      <c r="F687" s="18"/>
      <c r="G687" s="18"/>
      <c r="H687" s="20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spans="1:25" ht="18.75" x14ac:dyDescent="0.3">
      <c r="A688" s="22"/>
      <c r="B688" s="18"/>
      <c r="C688" s="18"/>
      <c r="D688" s="18"/>
      <c r="E688" s="18"/>
      <c r="F688" s="18"/>
      <c r="G688" s="18"/>
      <c r="H688" s="20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spans="1:25" ht="18.75" x14ac:dyDescent="0.3">
      <c r="A689" s="22"/>
      <c r="B689" s="18"/>
      <c r="C689" s="18"/>
      <c r="D689" s="18"/>
      <c r="E689" s="18"/>
      <c r="F689" s="18"/>
      <c r="G689" s="18"/>
      <c r="H689" s="20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spans="1:25" ht="18.75" x14ac:dyDescent="0.3">
      <c r="A690" s="22"/>
      <c r="B690" s="18"/>
      <c r="C690" s="18"/>
      <c r="D690" s="18"/>
      <c r="E690" s="18"/>
      <c r="F690" s="18"/>
      <c r="G690" s="18"/>
      <c r="H690" s="20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spans="1:25" ht="18.75" x14ac:dyDescent="0.3">
      <c r="A691" s="22"/>
      <c r="B691" s="18"/>
      <c r="C691" s="18"/>
      <c r="D691" s="18"/>
      <c r="E691" s="18"/>
      <c r="F691" s="18"/>
      <c r="G691" s="18"/>
      <c r="H691" s="20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spans="1:25" ht="18.75" x14ac:dyDescent="0.3">
      <c r="A692" s="22"/>
      <c r="B692" s="18"/>
      <c r="C692" s="18"/>
      <c r="D692" s="18"/>
      <c r="E692" s="18"/>
      <c r="F692" s="18"/>
      <c r="G692" s="18"/>
      <c r="H692" s="20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spans="1:25" ht="18.75" x14ac:dyDescent="0.3">
      <c r="A693" s="22"/>
      <c r="B693" s="18"/>
      <c r="C693" s="18"/>
      <c r="D693" s="18"/>
      <c r="E693" s="18"/>
      <c r="F693" s="18"/>
      <c r="G693" s="18"/>
      <c r="H693" s="20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spans="1:25" ht="18.75" x14ac:dyDescent="0.3">
      <c r="A694" s="22"/>
      <c r="B694" s="18"/>
      <c r="C694" s="18"/>
      <c r="D694" s="18"/>
      <c r="E694" s="18"/>
      <c r="F694" s="18"/>
      <c r="G694" s="18"/>
      <c r="H694" s="20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spans="1:25" ht="18.75" x14ac:dyDescent="0.3">
      <c r="A695" s="22"/>
      <c r="B695" s="18"/>
      <c r="C695" s="18"/>
      <c r="D695" s="18"/>
      <c r="E695" s="18"/>
      <c r="F695" s="18"/>
      <c r="G695" s="18"/>
      <c r="H695" s="20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spans="1:25" ht="18.75" x14ac:dyDescent="0.3">
      <c r="A696" s="22"/>
      <c r="B696" s="18"/>
      <c r="C696" s="18"/>
      <c r="D696" s="18"/>
      <c r="E696" s="18"/>
      <c r="F696" s="18"/>
      <c r="G696" s="18"/>
      <c r="H696" s="20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spans="1:25" ht="18.75" x14ac:dyDescent="0.3">
      <c r="A697" s="22"/>
      <c r="B697" s="18"/>
      <c r="C697" s="18"/>
      <c r="D697" s="18"/>
      <c r="E697" s="18"/>
      <c r="F697" s="18"/>
      <c r="G697" s="18"/>
      <c r="H697" s="20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spans="1:25" ht="18.75" x14ac:dyDescent="0.3">
      <c r="A698" s="22"/>
      <c r="B698" s="18"/>
      <c r="C698" s="18"/>
      <c r="D698" s="18"/>
      <c r="E698" s="18"/>
      <c r="F698" s="18"/>
      <c r="G698" s="18"/>
      <c r="H698" s="20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spans="1:25" ht="18.75" x14ac:dyDescent="0.3">
      <c r="A699" s="22"/>
      <c r="B699" s="18"/>
      <c r="C699" s="18"/>
      <c r="D699" s="18"/>
      <c r="E699" s="18"/>
      <c r="F699" s="18"/>
      <c r="G699" s="18"/>
      <c r="H699" s="20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spans="1:25" ht="18.75" x14ac:dyDescent="0.3">
      <c r="A700" s="22"/>
      <c r="B700" s="18"/>
      <c r="C700" s="18"/>
      <c r="D700" s="18"/>
      <c r="E700" s="18"/>
      <c r="F700" s="18"/>
      <c r="G700" s="18"/>
      <c r="H700" s="20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spans="1:25" ht="18.75" x14ac:dyDescent="0.3">
      <c r="A701" s="22"/>
      <c r="B701" s="18"/>
      <c r="C701" s="18"/>
      <c r="D701" s="18"/>
      <c r="E701" s="18"/>
      <c r="F701" s="18"/>
      <c r="G701" s="18"/>
      <c r="H701" s="20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spans="1:25" ht="18.75" x14ac:dyDescent="0.3">
      <c r="A702" s="22"/>
      <c r="B702" s="18"/>
      <c r="C702" s="18"/>
      <c r="D702" s="18"/>
      <c r="E702" s="18"/>
      <c r="F702" s="18"/>
      <c r="G702" s="18"/>
      <c r="H702" s="20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spans="1:25" ht="18.75" x14ac:dyDescent="0.3">
      <c r="A703" s="22"/>
      <c r="B703" s="18"/>
      <c r="C703" s="18"/>
      <c r="D703" s="18"/>
      <c r="E703" s="18"/>
      <c r="F703" s="18"/>
      <c r="G703" s="18"/>
      <c r="H703" s="20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spans="1:25" ht="18.75" x14ac:dyDescent="0.3">
      <c r="A704" s="22"/>
      <c r="B704" s="18"/>
      <c r="C704" s="18"/>
      <c r="D704" s="18"/>
      <c r="E704" s="18"/>
      <c r="F704" s="18"/>
      <c r="G704" s="18"/>
      <c r="H704" s="20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spans="1:25" ht="18.75" x14ac:dyDescent="0.3">
      <c r="A705" s="22"/>
      <c r="B705" s="18"/>
      <c r="C705" s="18"/>
      <c r="D705" s="18"/>
      <c r="E705" s="18"/>
      <c r="F705" s="18"/>
      <c r="G705" s="18"/>
      <c r="H705" s="20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spans="1:25" ht="18.75" x14ac:dyDescent="0.3">
      <c r="A706" s="22"/>
      <c r="B706" s="18"/>
      <c r="C706" s="18"/>
      <c r="D706" s="18"/>
      <c r="E706" s="18"/>
      <c r="F706" s="18"/>
      <c r="G706" s="18"/>
      <c r="H706" s="20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spans="1:25" ht="18.75" x14ac:dyDescent="0.3">
      <c r="A707" s="22"/>
      <c r="B707" s="18"/>
      <c r="C707" s="18"/>
      <c r="D707" s="18"/>
      <c r="E707" s="18"/>
      <c r="F707" s="18"/>
      <c r="G707" s="18"/>
      <c r="H707" s="20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spans="1:25" ht="18.75" x14ac:dyDescent="0.3">
      <c r="A708" s="22"/>
      <c r="B708" s="18"/>
      <c r="C708" s="18"/>
      <c r="D708" s="18"/>
      <c r="E708" s="18"/>
      <c r="F708" s="18"/>
      <c r="G708" s="18"/>
      <c r="H708" s="20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spans="1:25" ht="18.75" x14ac:dyDescent="0.3">
      <c r="A709" s="22"/>
      <c r="B709" s="18"/>
      <c r="C709" s="18"/>
      <c r="D709" s="18"/>
      <c r="E709" s="18"/>
      <c r="F709" s="18"/>
      <c r="G709" s="18"/>
      <c r="H709" s="20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spans="1:25" ht="18.75" x14ac:dyDescent="0.3">
      <c r="A710" s="22"/>
      <c r="B710" s="18"/>
      <c r="C710" s="18"/>
      <c r="D710" s="18"/>
      <c r="E710" s="18"/>
      <c r="F710" s="18"/>
      <c r="G710" s="18"/>
      <c r="H710" s="20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spans="1:25" ht="18.75" x14ac:dyDescent="0.3">
      <c r="A711" s="22"/>
      <c r="B711" s="18"/>
      <c r="C711" s="18"/>
      <c r="D711" s="18"/>
      <c r="E711" s="18"/>
      <c r="F711" s="18"/>
      <c r="G711" s="18"/>
      <c r="H711" s="20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spans="1:25" ht="18.75" x14ac:dyDescent="0.3">
      <c r="A712" s="22"/>
      <c r="B712" s="18"/>
      <c r="C712" s="18"/>
      <c r="D712" s="18"/>
      <c r="E712" s="18"/>
      <c r="F712" s="18"/>
      <c r="G712" s="18"/>
      <c r="H712" s="20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spans="1:25" ht="18.75" x14ac:dyDescent="0.3">
      <c r="A713" s="22"/>
      <c r="B713" s="18"/>
      <c r="C713" s="18"/>
      <c r="D713" s="18"/>
      <c r="E713" s="18"/>
      <c r="F713" s="18"/>
      <c r="G713" s="18"/>
      <c r="H713" s="20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spans="1:25" ht="18.75" x14ac:dyDescent="0.3">
      <c r="A714" s="22"/>
      <c r="B714" s="18"/>
      <c r="C714" s="18"/>
      <c r="D714" s="18"/>
      <c r="E714" s="18"/>
      <c r="F714" s="18"/>
      <c r="G714" s="18"/>
      <c r="H714" s="20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spans="1:25" ht="18.75" x14ac:dyDescent="0.3">
      <c r="A715" s="22"/>
      <c r="B715" s="18"/>
      <c r="C715" s="18"/>
      <c r="D715" s="18"/>
      <c r="E715" s="18"/>
      <c r="F715" s="18"/>
      <c r="G715" s="18"/>
      <c r="H715" s="20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spans="1:25" ht="18.75" x14ac:dyDescent="0.3">
      <c r="A716" s="22"/>
      <c r="B716" s="18"/>
      <c r="C716" s="18"/>
      <c r="D716" s="18"/>
      <c r="E716" s="18"/>
      <c r="F716" s="18"/>
      <c r="G716" s="18"/>
      <c r="H716" s="20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spans="1:25" ht="18.75" x14ac:dyDescent="0.3">
      <c r="A717" s="22"/>
      <c r="B717" s="18"/>
      <c r="C717" s="18"/>
      <c r="D717" s="18"/>
      <c r="E717" s="18"/>
      <c r="F717" s="18"/>
      <c r="G717" s="18"/>
      <c r="H717" s="20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spans="1:25" ht="18.75" x14ac:dyDescent="0.3">
      <c r="A718" s="22"/>
      <c r="B718" s="18"/>
      <c r="C718" s="18"/>
      <c r="D718" s="18"/>
      <c r="E718" s="18"/>
      <c r="F718" s="18"/>
      <c r="G718" s="18"/>
      <c r="H718" s="20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spans="1:25" ht="18.75" x14ac:dyDescent="0.3">
      <c r="A719" s="22"/>
      <c r="B719" s="18"/>
      <c r="C719" s="18"/>
      <c r="D719" s="18"/>
      <c r="E719" s="18"/>
      <c r="F719" s="18"/>
      <c r="G719" s="18"/>
      <c r="H719" s="20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spans="1:25" ht="18.75" x14ac:dyDescent="0.3">
      <c r="A720" s="22"/>
      <c r="B720" s="18"/>
      <c r="C720" s="18"/>
      <c r="D720" s="18"/>
      <c r="E720" s="18"/>
      <c r="F720" s="18"/>
      <c r="G720" s="18"/>
      <c r="H720" s="20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spans="1:25" ht="18.75" x14ac:dyDescent="0.3">
      <c r="A721" s="22"/>
      <c r="B721" s="18"/>
      <c r="C721" s="18"/>
      <c r="D721" s="18"/>
      <c r="E721" s="18"/>
      <c r="F721" s="18"/>
      <c r="G721" s="18"/>
      <c r="H721" s="20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spans="1:25" ht="18.75" x14ac:dyDescent="0.3">
      <c r="A722" s="22"/>
      <c r="B722" s="18"/>
      <c r="C722" s="18"/>
      <c r="D722" s="18"/>
      <c r="E722" s="18"/>
      <c r="F722" s="18"/>
      <c r="G722" s="18"/>
      <c r="H722" s="20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spans="1:25" ht="18.75" x14ac:dyDescent="0.3">
      <c r="A723" s="22"/>
      <c r="B723" s="18"/>
      <c r="C723" s="18"/>
      <c r="D723" s="18"/>
      <c r="E723" s="18"/>
      <c r="F723" s="18"/>
      <c r="G723" s="18"/>
      <c r="H723" s="20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spans="1:25" ht="18.75" x14ac:dyDescent="0.3">
      <c r="A724" s="22"/>
      <c r="B724" s="18"/>
      <c r="C724" s="18"/>
      <c r="D724" s="18"/>
      <c r="E724" s="18"/>
      <c r="F724" s="18"/>
      <c r="G724" s="18"/>
      <c r="H724" s="20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spans="1:25" ht="18.75" x14ac:dyDescent="0.3">
      <c r="A725" s="22"/>
      <c r="B725" s="18"/>
      <c r="C725" s="18"/>
      <c r="D725" s="18"/>
      <c r="E725" s="18"/>
      <c r="F725" s="18"/>
      <c r="G725" s="18"/>
      <c r="H725" s="20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spans="1:25" ht="18.75" x14ac:dyDescent="0.3">
      <c r="A726" s="22"/>
      <c r="B726" s="18"/>
      <c r="C726" s="18"/>
      <c r="D726" s="18"/>
      <c r="E726" s="18"/>
      <c r="F726" s="18"/>
      <c r="G726" s="18"/>
      <c r="H726" s="20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spans="1:25" ht="18.75" x14ac:dyDescent="0.3">
      <c r="A727" s="22"/>
      <c r="B727" s="18"/>
      <c r="C727" s="18"/>
      <c r="D727" s="18"/>
      <c r="E727" s="18"/>
      <c r="F727" s="18"/>
      <c r="G727" s="18"/>
      <c r="H727" s="20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spans="1:25" ht="18.75" x14ac:dyDescent="0.3">
      <c r="A728" s="22"/>
      <c r="B728" s="18"/>
      <c r="C728" s="18"/>
      <c r="D728" s="18"/>
      <c r="E728" s="18"/>
      <c r="F728" s="18"/>
      <c r="G728" s="18"/>
      <c r="H728" s="20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spans="1:25" ht="18.75" x14ac:dyDescent="0.3">
      <c r="A729" s="22"/>
      <c r="B729" s="18"/>
      <c r="C729" s="18"/>
      <c r="D729" s="18"/>
      <c r="E729" s="18"/>
      <c r="F729" s="18"/>
      <c r="G729" s="18"/>
      <c r="H729" s="20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spans="1:25" ht="18.75" x14ac:dyDescent="0.3">
      <c r="A730" s="22"/>
      <c r="B730" s="18"/>
      <c r="C730" s="18"/>
      <c r="D730" s="18"/>
      <c r="E730" s="18"/>
      <c r="F730" s="18"/>
      <c r="G730" s="18"/>
      <c r="H730" s="20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spans="1:25" ht="18.75" x14ac:dyDescent="0.3">
      <c r="A731" s="22"/>
      <c r="B731" s="18"/>
      <c r="C731" s="18"/>
      <c r="D731" s="18"/>
      <c r="E731" s="18"/>
      <c r="F731" s="18"/>
      <c r="G731" s="18"/>
      <c r="H731" s="20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spans="1:25" ht="18.75" x14ac:dyDescent="0.3">
      <c r="A732" s="22"/>
      <c r="B732" s="18"/>
      <c r="C732" s="18"/>
      <c r="D732" s="18"/>
      <c r="E732" s="18"/>
      <c r="F732" s="18"/>
      <c r="G732" s="18"/>
      <c r="H732" s="20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spans="1:25" ht="18.75" x14ac:dyDescent="0.3">
      <c r="A733" s="22"/>
      <c r="B733" s="18"/>
      <c r="C733" s="18"/>
      <c r="D733" s="18"/>
      <c r="E733" s="18"/>
      <c r="F733" s="18"/>
      <c r="G733" s="18"/>
      <c r="H733" s="20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spans="1:25" ht="18.75" x14ac:dyDescent="0.3">
      <c r="A734" s="22"/>
      <c r="B734" s="18"/>
      <c r="C734" s="18"/>
      <c r="D734" s="18"/>
      <c r="E734" s="18"/>
      <c r="F734" s="18"/>
      <c r="G734" s="18"/>
      <c r="H734" s="20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spans="1:25" ht="18.75" x14ac:dyDescent="0.3">
      <c r="A735" s="22"/>
      <c r="B735" s="18"/>
      <c r="C735" s="18"/>
      <c r="D735" s="18"/>
      <c r="E735" s="18"/>
      <c r="F735" s="18"/>
      <c r="G735" s="18"/>
      <c r="H735" s="20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spans="1:25" ht="18.75" x14ac:dyDescent="0.3">
      <c r="A736" s="22"/>
      <c r="B736" s="18"/>
      <c r="C736" s="18"/>
      <c r="D736" s="18"/>
      <c r="E736" s="18"/>
      <c r="F736" s="18"/>
      <c r="G736" s="18"/>
      <c r="H736" s="20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spans="1:25" ht="18.75" x14ac:dyDescent="0.3">
      <c r="A737" s="22"/>
      <c r="B737" s="18"/>
      <c r="C737" s="18"/>
      <c r="D737" s="18"/>
      <c r="E737" s="18"/>
      <c r="F737" s="18"/>
      <c r="G737" s="18"/>
      <c r="H737" s="20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spans="1:25" ht="18.75" x14ac:dyDescent="0.3">
      <c r="A738" s="22"/>
      <c r="B738" s="18"/>
      <c r="C738" s="18"/>
      <c r="D738" s="18"/>
      <c r="E738" s="18"/>
      <c r="F738" s="18"/>
      <c r="G738" s="18"/>
      <c r="H738" s="20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spans="1:25" ht="18.75" x14ac:dyDescent="0.3">
      <c r="A739" s="22"/>
      <c r="B739" s="18"/>
      <c r="C739" s="18"/>
      <c r="D739" s="18"/>
      <c r="E739" s="18"/>
      <c r="F739" s="18"/>
      <c r="G739" s="18"/>
      <c r="H739" s="20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spans="1:25" ht="18.75" x14ac:dyDescent="0.3">
      <c r="A740" s="22"/>
      <c r="B740" s="18"/>
      <c r="C740" s="18"/>
      <c r="D740" s="18"/>
      <c r="E740" s="18"/>
      <c r="F740" s="18"/>
      <c r="G740" s="18"/>
      <c r="H740" s="20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spans="1:25" ht="18.75" x14ac:dyDescent="0.3">
      <c r="A741" s="22"/>
      <c r="B741" s="18"/>
      <c r="C741" s="18"/>
      <c r="D741" s="18"/>
      <c r="E741" s="18"/>
      <c r="F741" s="18"/>
      <c r="G741" s="18"/>
      <c r="H741" s="20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spans="1:25" ht="18.75" x14ac:dyDescent="0.3">
      <c r="A742" s="22"/>
      <c r="B742" s="18"/>
      <c r="C742" s="18"/>
      <c r="D742" s="18"/>
      <c r="E742" s="18"/>
      <c r="F742" s="18"/>
      <c r="G742" s="18"/>
      <c r="H742" s="20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spans="1:25" ht="18.75" x14ac:dyDescent="0.3">
      <c r="A743" s="22"/>
      <c r="B743" s="18"/>
      <c r="C743" s="18"/>
      <c r="D743" s="18"/>
      <c r="E743" s="18"/>
      <c r="F743" s="18"/>
      <c r="G743" s="18"/>
      <c r="H743" s="20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spans="1:25" ht="18.75" x14ac:dyDescent="0.3">
      <c r="A744" s="22"/>
      <c r="B744" s="18"/>
      <c r="C744" s="18"/>
      <c r="D744" s="18"/>
      <c r="E744" s="18"/>
      <c r="F744" s="18"/>
      <c r="G744" s="18"/>
      <c r="H744" s="20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spans="1:25" ht="18.75" x14ac:dyDescent="0.3">
      <c r="A745" s="22"/>
      <c r="B745" s="18"/>
      <c r="C745" s="18"/>
      <c r="D745" s="18"/>
      <c r="E745" s="18"/>
      <c r="F745" s="18"/>
      <c r="G745" s="18"/>
      <c r="H745" s="20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spans="1:25" ht="18.75" x14ac:dyDescent="0.3">
      <c r="A746" s="22"/>
      <c r="B746" s="18"/>
      <c r="C746" s="18"/>
      <c r="D746" s="18"/>
      <c r="E746" s="18"/>
      <c r="F746" s="18"/>
      <c r="G746" s="18"/>
      <c r="H746" s="20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spans="1:25" ht="18.75" x14ac:dyDescent="0.3">
      <c r="A747" s="22"/>
      <c r="B747" s="18"/>
      <c r="C747" s="18"/>
      <c r="D747" s="18"/>
      <c r="E747" s="18"/>
      <c r="F747" s="18"/>
      <c r="G747" s="18"/>
      <c r="H747" s="20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spans="1:25" ht="18.75" x14ac:dyDescent="0.3">
      <c r="A748" s="22"/>
      <c r="B748" s="18"/>
      <c r="C748" s="18"/>
      <c r="D748" s="18"/>
      <c r="E748" s="18"/>
      <c r="F748" s="18"/>
      <c r="G748" s="18"/>
      <c r="H748" s="20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spans="1:25" ht="18.75" x14ac:dyDescent="0.3">
      <c r="A749" s="22"/>
      <c r="B749" s="18"/>
      <c r="C749" s="18"/>
      <c r="D749" s="18"/>
      <c r="E749" s="18"/>
      <c r="F749" s="18"/>
      <c r="G749" s="18"/>
      <c r="H749" s="20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spans="1:25" ht="18.75" x14ac:dyDescent="0.3">
      <c r="A750" s="22"/>
      <c r="B750" s="18"/>
      <c r="C750" s="18"/>
      <c r="D750" s="18"/>
      <c r="E750" s="18"/>
      <c r="F750" s="18"/>
      <c r="G750" s="18"/>
      <c r="H750" s="20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spans="1:25" ht="18.75" x14ac:dyDescent="0.3">
      <c r="A751" s="22"/>
      <c r="B751" s="18"/>
      <c r="C751" s="18"/>
      <c r="D751" s="18"/>
      <c r="E751" s="18"/>
      <c r="F751" s="18"/>
      <c r="G751" s="18"/>
      <c r="H751" s="20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spans="1:25" ht="18.75" x14ac:dyDescent="0.3">
      <c r="A752" s="22"/>
      <c r="B752" s="18"/>
      <c r="C752" s="18"/>
      <c r="D752" s="18"/>
      <c r="E752" s="18"/>
      <c r="F752" s="18"/>
      <c r="G752" s="18"/>
      <c r="H752" s="20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spans="1:25" ht="18.75" x14ac:dyDescent="0.3">
      <c r="A753" s="22"/>
      <c r="B753" s="18"/>
      <c r="C753" s="18"/>
      <c r="D753" s="18"/>
      <c r="E753" s="18"/>
      <c r="F753" s="18"/>
      <c r="G753" s="18"/>
      <c r="H753" s="20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spans="1:25" ht="18.75" x14ac:dyDescent="0.3">
      <c r="A754" s="22"/>
      <c r="B754" s="18"/>
      <c r="C754" s="18"/>
      <c r="D754" s="18"/>
      <c r="E754" s="18"/>
      <c r="F754" s="18"/>
      <c r="G754" s="18"/>
      <c r="H754" s="20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spans="1:25" ht="18.75" x14ac:dyDescent="0.3">
      <c r="A755" s="22"/>
      <c r="B755" s="18"/>
      <c r="C755" s="18"/>
      <c r="D755" s="18"/>
      <c r="E755" s="18"/>
      <c r="F755" s="18"/>
      <c r="G755" s="18"/>
      <c r="H755" s="20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spans="1:25" ht="18.75" x14ac:dyDescent="0.3">
      <c r="A756" s="22"/>
      <c r="B756" s="18"/>
      <c r="C756" s="18"/>
      <c r="D756" s="18"/>
      <c r="E756" s="18"/>
      <c r="F756" s="18"/>
      <c r="G756" s="18"/>
      <c r="H756" s="20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spans="1:25" ht="18.75" x14ac:dyDescent="0.3">
      <c r="A757" s="22"/>
      <c r="B757" s="18"/>
      <c r="C757" s="18"/>
      <c r="D757" s="18"/>
      <c r="E757" s="18"/>
      <c r="F757" s="18"/>
      <c r="G757" s="18"/>
      <c r="H757" s="20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spans="1:25" ht="18.75" x14ac:dyDescent="0.3">
      <c r="A758" s="22"/>
      <c r="B758" s="18"/>
      <c r="C758" s="18"/>
      <c r="D758" s="18"/>
      <c r="E758" s="18"/>
      <c r="F758" s="18"/>
      <c r="G758" s="18"/>
      <c r="H758" s="20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spans="1:25" ht="18.75" x14ac:dyDescent="0.3">
      <c r="A759" s="22"/>
      <c r="B759" s="18"/>
      <c r="C759" s="18"/>
      <c r="D759" s="18"/>
      <c r="E759" s="18"/>
      <c r="F759" s="18"/>
      <c r="G759" s="18"/>
      <c r="H759" s="20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spans="1:25" ht="18.75" x14ac:dyDescent="0.3">
      <c r="A760" s="22"/>
      <c r="B760" s="18"/>
      <c r="C760" s="18"/>
      <c r="D760" s="18"/>
      <c r="E760" s="18"/>
      <c r="F760" s="18"/>
      <c r="G760" s="18"/>
      <c r="H760" s="20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spans="1:25" ht="18.75" x14ac:dyDescent="0.3">
      <c r="A761" s="22"/>
      <c r="B761" s="18"/>
      <c r="C761" s="18"/>
      <c r="D761" s="18"/>
      <c r="E761" s="18"/>
      <c r="F761" s="18"/>
      <c r="G761" s="18"/>
      <c r="H761" s="20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spans="1:25" ht="18.75" x14ac:dyDescent="0.3">
      <c r="A762" s="22"/>
      <c r="B762" s="18"/>
      <c r="C762" s="18"/>
      <c r="D762" s="18"/>
      <c r="E762" s="18"/>
      <c r="F762" s="18"/>
      <c r="G762" s="18"/>
      <c r="H762" s="20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spans="1:25" ht="18.75" x14ac:dyDescent="0.3">
      <c r="A763" s="22"/>
      <c r="B763" s="18"/>
      <c r="C763" s="18"/>
      <c r="D763" s="18"/>
      <c r="E763" s="18"/>
      <c r="F763" s="18"/>
      <c r="G763" s="18"/>
      <c r="H763" s="20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spans="1:25" ht="18.75" x14ac:dyDescent="0.3">
      <c r="A764" s="22"/>
      <c r="B764" s="18"/>
      <c r="C764" s="18"/>
      <c r="D764" s="18"/>
      <c r="E764" s="18"/>
      <c r="F764" s="18"/>
      <c r="G764" s="18"/>
      <c r="H764" s="20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spans="1:25" ht="18.75" x14ac:dyDescent="0.3">
      <c r="A765" s="22"/>
      <c r="B765" s="18"/>
      <c r="C765" s="18"/>
      <c r="D765" s="18"/>
      <c r="E765" s="18"/>
      <c r="F765" s="18"/>
      <c r="G765" s="18"/>
      <c r="H765" s="20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spans="1:25" ht="18.75" x14ac:dyDescent="0.3">
      <c r="A766" s="22"/>
      <c r="B766" s="18"/>
      <c r="C766" s="18"/>
      <c r="D766" s="18"/>
      <c r="E766" s="18"/>
      <c r="F766" s="18"/>
      <c r="G766" s="18"/>
      <c r="H766" s="20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spans="1:25" ht="18.75" x14ac:dyDescent="0.3">
      <c r="A767" s="22"/>
      <c r="B767" s="18"/>
      <c r="C767" s="18"/>
      <c r="D767" s="18"/>
      <c r="E767" s="18"/>
      <c r="F767" s="18"/>
      <c r="G767" s="18"/>
      <c r="H767" s="20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spans="1:25" ht="18.75" x14ac:dyDescent="0.3">
      <c r="A768" s="22"/>
      <c r="B768" s="18"/>
      <c r="C768" s="18"/>
      <c r="D768" s="18"/>
      <c r="E768" s="18"/>
      <c r="F768" s="18"/>
      <c r="G768" s="18"/>
      <c r="H768" s="20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spans="1:25" ht="18.75" x14ac:dyDescent="0.3">
      <c r="A769" s="22"/>
      <c r="B769" s="18"/>
      <c r="C769" s="18"/>
      <c r="D769" s="18"/>
      <c r="E769" s="18"/>
      <c r="F769" s="18"/>
      <c r="G769" s="18"/>
      <c r="H769" s="20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spans="1:25" ht="18.75" x14ac:dyDescent="0.3">
      <c r="A770" s="22"/>
      <c r="B770" s="18"/>
      <c r="C770" s="18"/>
      <c r="D770" s="18"/>
      <c r="E770" s="18"/>
      <c r="F770" s="18"/>
      <c r="G770" s="18"/>
      <c r="H770" s="20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spans="1:25" ht="18.75" x14ac:dyDescent="0.3">
      <c r="A771" s="22"/>
      <c r="B771" s="18"/>
      <c r="C771" s="18"/>
      <c r="D771" s="18"/>
      <c r="E771" s="18"/>
      <c r="F771" s="18"/>
      <c r="G771" s="18"/>
      <c r="H771" s="20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spans="1:25" ht="18.75" x14ac:dyDescent="0.3">
      <c r="A772" s="22"/>
      <c r="B772" s="18"/>
      <c r="C772" s="18"/>
      <c r="D772" s="18"/>
      <c r="E772" s="18"/>
      <c r="F772" s="18"/>
      <c r="G772" s="18"/>
      <c r="H772" s="20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spans="1:25" ht="18.75" x14ac:dyDescent="0.3">
      <c r="A773" s="22"/>
      <c r="B773" s="18"/>
      <c r="C773" s="18"/>
      <c r="D773" s="18"/>
      <c r="E773" s="18"/>
      <c r="F773" s="18"/>
      <c r="G773" s="18"/>
      <c r="H773" s="20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spans="1:25" ht="18.75" x14ac:dyDescent="0.3">
      <c r="A774" s="22"/>
      <c r="B774" s="18"/>
      <c r="C774" s="18"/>
      <c r="D774" s="18"/>
      <c r="E774" s="18"/>
      <c r="F774" s="18"/>
      <c r="G774" s="18"/>
      <c r="H774" s="20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spans="1:25" ht="18.75" x14ac:dyDescent="0.3">
      <c r="A775" s="22"/>
      <c r="B775" s="18"/>
      <c r="C775" s="18"/>
      <c r="D775" s="18"/>
      <c r="E775" s="18"/>
      <c r="F775" s="18"/>
      <c r="G775" s="18"/>
      <c r="H775" s="20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spans="1:25" ht="18.75" x14ac:dyDescent="0.3">
      <c r="A776" s="22"/>
      <c r="B776" s="18"/>
      <c r="C776" s="18"/>
      <c r="D776" s="18"/>
      <c r="E776" s="18"/>
      <c r="F776" s="18"/>
      <c r="G776" s="18"/>
      <c r="H776" s="20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spans="1:25" ht="18.75" x14ac:dyDescent="0.3">
      <c r="A777" s="22"/>
      <c r="B777" s="18"/>
      <c r="C777" s="18"/>
      <c r="D777" s="18"/>
      <c r="E777" s="18"/>
      <c r="F777" s="18"/>
      <c r="G777" s="18"/>
      <c r="H777" s="20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spans="1:25" ht="18.75" x14ac:dyDescent="0.3">
      <c r="A778" s="22"/>
      <c r="B778" s="18"/>
      <c r="C778" s="18"/>
      <c r="D778" s="18"/>
      <c r="E778" s="18"/>
      <c r="F778" s="18"/>
      <c r="G778" s="18"/>
      <c r="H778" s="20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spans="1:25" ht="18.75" x14ac:dyDescent="0.3">
      <c r="A779" s="22"/>
      <c r="B779" s="18"/>
      <c r="C779" s="18"/>
      <c r="D779" s="18"/>
      <c r="E779" s="18"/>
      <c r="F779" s="18"/>
      <c r="G779" s="18"/>
      <c r="H779" s="20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spans="1:25" ht="18.75" x14ac:dyDescent="0.3">
      <c r="A780" s="22"/>
      <c r="B780" s="18"/>
      <c r="C780" s="18"/>
      <c r="D780" s="18"/>
      <c r="E780" s="18"/>
      <c r="F780" s="18"/>
      <c r="G780" s="18"/>
      <c r="H780" s="20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spans="1:25" ht="18.75" x14ac:dyDescent="0.3">
      <c r="A781" s="22"/>
      <c r="B781" s="18"/>
      <c r="C781" s="18"/>
      <c r="D781" s="18"/>
      <c r="E781" s="18"/>
      <c r="F781" s="18"/>
      <c r="G781" s="18"/>
      <c r="H781" s="20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spans="1:25" ht="18.75" x14ac:dyDescent="0.3">
      <c r="A782" s="22"/>
      <c r="B782" s="18"/>
      <c r="C782" s="18"/>
      <c r="D782" s="18"/>
      <c r="E782" s="18"/>
      <c r="F782" s="18"/>
      <c r="G782" s="18"/>
      <c r="H782" s="20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spans="1:25" ht="18.75" x14ac:dyDescent="0.3">
      <c r="A783" s="22"/>
      <c r="B783" s="18"/>
      <c r="C783" s="18"/>
      <c r="D783" s="18"/>
      <c r="E783" s="18"/>
      <c r="F783" s="18"/>
      <c r="G783" s="18"/>
      <c r="H783" s="20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spans="1:25" ht="18.75" x14ac:dyDescent="0.3">
      <c r="A784" s="22"/>
      <c r="B784" s="18"/>
      <c r="C784" s="18"/>
      <c r="D784" s="18"/>
      <c r="E784" s="18"/>
      <c r="F784" s="18"/>
      <c r="G784" s="18"/>
      <c r="H784" s="20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spans="1:25" ht="18.75" x14ac:dyDescent="0.3">
      <c r="A785" s="22"/>
      <c r="B785" s="18"/>
      <c r="C785" s="18"/>
      <c r="D785" s="18"/>
      <c r="E785" s="18"/>
      <c r="F785" s="18"/>
      <c r="G785" s="18"/>
      <c r="H785" s="20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spans="1:25" ht="18.75" x14ac:dyDescent="0.3">
      <c r="A786" s="22"/>
      <c r="B786" s="18"/>
      <c r="C786" s="18"/>
      <c r="D786" s="18"/>
      <c r="E786" s="18"/>
      <c r="F786" s="18"/>
      <c r="G786" s="18"/>
      <c r="H786" s="20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spans="1:25" ht="18.75" x14ac:dyDescent="0.3">
      <c r="A787" s="22"/>
      <c r="B787" s="18"/>
      <c r="C787" s="18"/>
      <c r="D787" s="18"/>
      <c r="E787" s="18"/>
      <c r="F787" s="18"/>
      <c r="G787" s="18"/>
      <c r="H787" s="20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spans="1:25" ht="18.75" x14ac:dyDescent="0.3">
      <c r="A788" s="22"/>
      <c r="B788" s="18"/>
      <c r="C788" s="18"/>
      <c r="D788" s="18"/>
      <c r="E788" s="18"/>
      <c r="F788" s="18"/>
      <c r="G788" s="18"/>
      <c r="H788" s="20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spans="1:25" ht="18.75" x14ac:dyDescent="0.3">
      <c r="A789" s="22"/>
      <c r="B789" s="18"/>
      <c r="C789" s="18"/>
      <c r="D789" s="18"/>
      <c r="E789" s="18"/>
      <c r="F789" s="18"/>
      <c r="G789" s="18"/>
      <c r="H789" s="20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spans="1:25" ht="18.75" x14ac:dyDescent="0.3">
      <c r="A790" s="22"/>
      <c r="B790" s="18"/>
      <c r="C790" s="18"/>
      <c r="D790" s="18"/>
      <c r="E790" s="18"/>
      <c r="F790" s="18"/>
      <c r="G790" s="18"/>
      <c r="H790" s="20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spans="1:25" ht="18.75" x14ac:dyDescent="0.3">
      <c r="A791" s="22"/>
      <c r="B791" s="18"/>
      <c r="C791" s="18"/>
      <c r="D791" s="18"/>
      <c r="E791" s="18"/>
      <c r="F791" s="18"/>
      <c r="G791" s="18"/>
      <c r="H791" s="20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spans="1:25" ht="18.75" x14ac:dyDescent="0.3">
      <c r="A792" s="22"/>
      <c r="B792" s="18"/>
      <c r="C792" s="18"/>
      <c r="D792" s="18"/>
      <c r="E792" s="18"/>
      <c r="F792" s="18"/>
      <c r="G792" s="18"/>
      <c r="H792" s="20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spans="1:25" ht="18.75" x14ac:dyDescent="0.3">
      <c r="A793" s="22"/>
      <c r="B793" s="18"/>
      <c r="C793" s="18"/>
      <c r="D793" s="18"/>
      <c r="E793" s="18"/>
      <c r="F793" s="18"/>
      <c r="G793" s="18"/>
      <c r="H793" s="20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spans="1:25" ht="18.75" x14ac:dyDescent="0.3">
      <c r="A794" s="22"/>
      <c r="B794" s="18"/>
      <c r="C794" s="18"/>
      <c r="D794" s="18"/>
      <c r="E794" s="18"/>
      <c r="F794" s="18"/>
      <c r="G794" s="18"/>
      <c r="H794" s="20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spans="1:25" ht="18.75" x14ac:dyDescent="0.3">
      <c r="A795" s="22"/>
      <c r="B795" s="18"/>
      <c r="C795" s="18"/>
      <c r="D795" s="18"/>
      <c r="E795" s="18"/>
      <c r="F795" s="18"/>
      <c r="G795" s="18"/>
      <c r="H795" s="20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spans="1:25" ht="18.75" x14ac:dyDescent="0.3">
      <c r="A796" s="22"/>
      <c r="B796" s="18"/>
      <c r="C796" s="18"/>
      <c r="D796" s="18"/>
      <c r="E796" s="18"/>
      <c r="F796" s="18"/>
      <c r="G796" s="18"/>
      <c r="H796" s="20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spans="1:25" ht="18.75" x14ac:dyDescent="0.3">
      <c r="A797" s="22"/>
      <c r="B797" s="18"/>
      <c r="C797" s="18"/>
      <c r="D797" s="18"/>
      <c r="E797" s="18"/>
      <c r="F797" s="18"/>
      <c r="G797" s="18"/>
      <c r="H797" s="20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spans="1:25" ht="18.75" x14ac:dyDescent="0.3">
      <c r="A798" s="22"/>
      <c r="B798" s="18"/>
      <c r="C798" s="18"/>
      <c r="D798" s="18"/>
      <c r="E798" s="18"/>
      <c r="F798" s="18"/>
      <c r="G798" s="18"/>
      <c r="H798" s="20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spans="1:25" ht="18.75" x14ac:dyDescent="0.3">
      <c r="A799" s="22"/>
      <c r="B799" s="18"/>
      <c r="C799" s="18"/>
      <c r="D799" s="18"/>
      <c r="E799" s="18"/>
      <c r="F799" s="18"/>
      <c r="G799" s="18"/>
      <c r="H799" s="20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spans="1:25" ht="18.75" x14ac:dyDescent="0.3">
      <c r="A800" s="22"/>
      <c r="B800" s="18"/>
      <c r="C800" s="18"/>
      <c r="D800" s="18"/>
      <c r="E800" s="18"/>
      <c r="F800" s="18"/>
      <c r="G800" s="18"/>
      <c r="H800" s="20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spans="1:25" ht="18.75" x14ac:dyDescent="0.3">
      <c r="A801" s="22"/>
      <c r="B801" s="18"/>
      <c r="C801" s="18"/>
      <c r="D801" s="18"/>
      <c r="E801" s="18"/>
      <c r="F801" s="18"/>
      <c r="G801" s="18"/>
      <c r="H801" s="20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spans="1:25" ht="18.75" x14ac:dyDescent="0.3">
      <c r="A802" s="22"/>
      <c r="B802" s="18"/>
      <c r="C802" s="18"/>
      <c r="D802" s="18"/>
      <c r="E802" s="18"/>
      <c r="F802" s="18"/>
      <c r="G802" s="18"/>
      <c r="H802" s="20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spans="1:25" ht="18.75" x14ac:dyDescent="0.3">
      <c r="A803" s="22"/>
      <c r="B803" s="18"/>
      <c r="C803" s="18"/>
      <c r="D803" s="18"/>
      <c r="E803" s="18"/>
      <c r="F803" s="18"/>
      <c r="G803" s="18"/>
      <c r="H803" s="20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spans="1:25" ht="18.75" x14ac:dyDescent="0.3">
      <c r="A804" s="22"/>
      <c r="B804" s="18"/>
      <c r="C804" s="18"/>
      <c r="D804" s="18"/>
      <c r="E804" s="18"/>
      <c r="F804" s="18"/>
      <c r="G804" s="18"/>
      <c r="H804" s="20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spans="1:25" ht="18.75" x14ac:dyDescent="0.3">
      <c r="A805" s="22"/>
      <c r="B805" s="18"/>
      <c r="C805" s="18"/>
      <c r="D805" s="18"/>
      <c r="E805" s="18"/>
      <c r="F805" s="18"/>
      <c r="G805" s="18"/>
      <c r="H805" s="20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spans="1:25" ht="18.75" x14ac:dyDescent="0.3">
      <c r="A806" s="22"/>
      <c r="B806" s="18"/>
      <c r="C806" s="18"/>
      <c r="D806" s="18"/>
      <c r="E806" s="18"/>
      <c r="F806" s="18"/>
      <c r="G806" s="18"/>
      <c r="H806" s="20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spans="1:25" ht="18.75" x14ac:dyDescent="0.3">
      <c r="A807" s="22"/>
      <c r="B807" s="18"/>
      <c r="C807" s="18"/>
      <c r="D807" s="18"/>
      <c r="E807" s="18"/>
      <c r="F807" s="18"/>
      <c r="G807" s="18"/>
      <c r="H807" s="20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spans="1:25" ht="18.75" x14ac:dyDescent="0.3">
      <c r="A808" s="22"/>
      <c r="B808" s="18"/>
      <c r="C808" s="18"/>
      <c r="D808" s="18"/>
      <c r="E808" s="18"/>
      <c r="F808" s="18"/>
      <c r="G808" s="18"/>
      <c r="H808" s="20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spans="1:25" ht="18.75" x14ac:dyDescent="0.3">
      <c r="A809" s="22"/>
      <c r="B809" s="18"/>
      <c r="C809" s="18"/>
      <c r="D809" s="18"/>
      <c r="E809" s="18"/>
      <c r="F809" s="18"/>
      <c r="G809" s="18"/>
      <c r="H809" s="20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spans="1:25" ht="18.75" x14ac:dyDescent="0.3">
      <c r="A810" s="22"/>
      <c r="B810" s="18"/>
      <c r="C810" s="18"/>
      <c r="D810" s="18"/>
      <c r="E810" s="18"/>
      <c r="F810" s="18"/>
      <c r="G810" s="18"/>
      <c r="H810" s="20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spans="1:25" ht="18.75" x14ac:dyDescent="0.3">
      <c r="A811" s="22"/>
      <c r="B811" s="18"/>
      <c r="C811" s="18"/>
      <c r="D811" s="18"/>
      <c r="E811" s="18"/>
      <c r="F811" s="18"/>
      <c r="G811" s="18"/>
      <c r="H811" s="20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spans="1:25" ht="18.75" x14ac:dyDescent="0.3">
      <c r="A812" s="22"/>
      <c r="B812" s="18"/>
      <c r="C812" s="18"/>
      <c r="D812" s="18"/>
      <c r="E812" s="18"/>
      <c r="F812" s="18"/>
      <c r="G812" s="18"/>
      <c r="H812" s="20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spans="1:25" ht="18.75" x14ac:dyDescent="0.3">
      <c r="A813" s="22"/>
      <c r="B813" s="18"/>
      <c r="C813" s="18"/>
      <c r="D813" s="18"/>
      <c r="E813" s="18"/>
      <c r="F813" s="18"/>
      <c r="G813" s="18"/>
      <c r="H813" s="20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spans="1:25" ht="18.75" x14ac:dyDescent="0.3">
      <c r="A814" s="22"/>
      <c r="B814" s="18"/>
      <c r="C814" s="18"/>
      <c r="D814" s="18"/>
      <c r="E814" s="18"/>
      <c r="F814" s="18"/>
      <c r="G814" s="18"/>
      <c r="H814" s="20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spans="1:25" ht="18.75" x14ac:dyDescent="0.3">
      <c r="A815" s="22"/>
      <c r="B815" s="18"/>
      <c r="C815" s="18"/>
      <c r="D815" s="18"/>
      <c r="E815" s="18"/>
      <c r="F815" s="18"/>
      <c r="G815" s="18"/>
      <c r="H815" s="20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spans="1:25" ht="18.75" x14ac:dyDescent="0.3">
      <c r="A816" s="22"/>
      <c r="B816" s="18"/>
      <c r="C816" s="18"/>
      <c r="D816" s="18"/>
      <c r="E816" s="18"/>
      <c r="F816" s="18"/>
      <c r="G816" s="18"/>
      <c r="H816" s="20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spans="1:25" ht="18.75" x14ac:dyDescent="0.3">
      <c r="A817" s="22"/>
      <c r="B817" s="18"/>
      <c r="C817" s="18"/>
      <c r="D817" s="18"/>
      <c r="E817" s="18"/>
      <c r="F817" s="18"/>
      <c r="G817" s="18"/>
      <c r="H817" s="20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spans="1:25" ht="18.75" x14ac:dyDescent="0.3">
      <c r="A818" s="22"/>
      <c r="B818" s="18"/>
      <c r="C818" s="18"/>
      <c r="D818" s="18"/>
      <c r="E818" s="18"/>
      <c r="F818" s="18"/>
      <c r="G818" s="18"/>
      <c r="H818" s="20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spans="1:25" ht="18.75" x14ac:dyDescent="0.3">
      <c r="A819" s="22"/>
      <c r="B819" s="18"/>
      <c r="C819" s="18"/>
      <c r="D819" s="18"/>
      <c r="E819" s="18"/>
      <c r="F819" s="18"/>
      <c r="G819" s="18"/>
      <c r="H819" s="20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spans="1:25" ht="18.75" x14ac:dyDescent="0.3">
      <c r="A820" s="22"/>
      <c r="B820" s="18"/>
      <c r="C820" s="18"/>
      <c r="D820" s="18"/>
      <c r="E820" s="18"/>
      <c r="F820" s="18"/>
      <c r="G820" s="18"/>
      <c r="H820" s="20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spans="1:25" ht="18.75" x14ac:dyDescent="0.3">
      <c r="A821" s="22"/>
      <c r="B821" s="18"/>
      <c r="C821" s="18"/>
      <c r="D821" s="18"/>
      <c r="E821" s="18"/>
      <c r="F821" s="18"/>
      <c r="G821" s="18"/>
      <c r="H821" s="20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spans="1:25" ht="18.75" x14ac:dyDescent="0.3">
      <c r="A822" s="22"/>
      <c r="B822" s="18"/>
      <c r="C822" s="18"/>
      <c r="D822" s="18"/>
      <c r="E822" s="18"/>
      <c r="F822" s="18"/>
      <c r="G822" s="18"/>
      <c r="H822" s="20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spans="1:25" ht="18.75" x14ac:dyDescent="0.3">
      <c r="A823" s="22"/>
      <c r="B823" s="18"/>
      <c r="C823" s="18"/>
      <c r="D823" s="18"/>
      <c r="E823" s="18"/>
      <c r="F823" s="18"/>
      <c r="G823" s="18"/>
      <c r="H823" s="20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spans="1:25" ht="18.75" x14ac:dyDescent="0.3">
      <c r="A824" s="22"/>
      <c r="B824" s="18"/>
      <c r="C824" s="18"/>
      <c r="D824" s="18"/>
      <c r="E824" s="18"/>
      <c r="F824" s="18"/>
      <c r="G824" s="18"/>
      <c r="H824" s="20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spans="1:25" ht="18.75" x14ac:dyDescent="0.3">
      <c r="A825" s="22"/>
      <c r="B825" s="18"/>
      <c r="C825" s="18"/>
      <c r="D825" s="18"/>
      <c r="E825" s="18"/>
      <c r="F825" s="18"/>
      <c r="G825" s="18"/>
      <c r="H825" s="20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spans="1:25" ht="18.75" x14ac:dyDescent="0.3">
      <c r="A826" s="22"/>
      <c r="B826" s="18"/>
      <c r="C826" s="18"/>
      <c r="D826" s="18"/>
      <c r="E826" s="18"/>
      <c r="F826" s="18"/>
      <c r="G826" s="18"/>
      <c r="H826" s="20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spans="1:25" ht="18.75" x14ac:dyDescent="0.3">
      <c r="A827" s="22"/>
      <c r="B827" s="18"/>
      <c r="C827" s="18"/>
      <c r="D827" s="18"/>
      <c r="E827" s="18"/>
      <c r="F827" s="18"/>
      <c r="G827" s="18"/>
      <c r="H827" s="20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spans="1:25" ht="18.75" x14ac:dyDescent="0.3">
      <c r="A828" s="22"/>
      <c r="B828" s="18"/>
      <c r="C828" s="18"/>
      <c r="D828" s="18"/>
      <c r="E828" s="18"/>
      <c r="F828" s="18"/>
      <c r="G828" s="18"/>
      <c r="H828" s="20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spans="1:25" ht="18.75" x14ac:dyDescent="0.3">
      <c r="A829" s="22"/>
      <c r="B829" s="18"/>
      <c r="C829" s="18"/>
      <c r="D829" s="18"/>
      <c r="E829" s="18"/>
      <c r="F829" s="18"/>
      <c r="G829" s="18"/>
      <c r="H829" s="20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spans="1:25" ht="18.75" x14ac:dyDescent="0.3">
      <c r="A830" s="22"/>
      <c r="B830" s="18"/>
      <c r="C830" s="18"/>
      <c r="D830" s="18"/>
      <c r="E830" s="18"/>
      <c r="F830" s="18"/>
      <c r="G830" s="18"/>
      <c r="H830" s="20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spans="1:25" ht="18.75" x14ac:dyDescent="0.3">
      <c r="A831" s="22"/>
      <c r="B831" s="18"/>
      <c r="C831" s="18"/>
      <c r="D831" s="18"/>
      <c r="E831" s="18"/>
      <c r="F831" s="18"/>
      <c r="G831" s="18"/>
      <c r="H831" s="20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spans="1:25" ht="18.75" x14ac:dyDescent="0.3">
      <c r="A832" s="22"/>
      <c r="B832" s="18"/>
      <c r="C832" s="18"/>
      <c r="D832" s="18"/>
      <c r="E832" s="18"/>
      <c r="F832" s="18"/>
      <c r="G832" s="18"/>
      <c r="H832" s="20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spans="1:25" ht="18.75" x14ac:dyDescent="0.3">
      <c r="A833" s="22"/>
      <c r="B833" s="18"/>
      <c r="C833" s="18"/>
      <c r="D833" s="18"/>
      <c r="E833" s="18"/>
      <c r="F833" s="18"/>
      <c r="G833" s="18"/>
      <c r="H833" s="20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spans="1:25" ht="18.75" x14ac:dyDescent="0.3">
      <c r="A834" s="22"/>
      <c r="B834" s="18"/>
      <c r="C834" s="18"/>
      <c r="D834" s="18"/>
      <c r="E834" s="18"/>
      <c r="F834" s="18"/>
      <c r="G834" s="18"/>
      <c r="H834" s="20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spans="1:25" ht="18.75" x14ac:dyDescent="0.3">
      <c r="A835" s="22"/>
      <c r="B835" s="18"/>
      <c r="C835" s="18"/>
      <c r="D835" s="18"/>
      <c r="E835" s="18"/>
      <c r="F835" s="18"/>
      <c r="G835" s="18"/>
      <c r="H835" s="20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spans="1:25" ht="18.75" x14ac:dyDescent="0.3">
      <c r="A836" s="22"/>
      <c r="B836" s="18"/>
      <c r="C836" s="18"/>
      <c r="D836" s="18"/>
      <c r="E836" s="18"/>
      <c r="F836" s="18"/>
      <c r="G836" s="18"/>
      <c r="H836" s="20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spans="1:25" ht="18.75" x14ac:dyDescent="0.3">
      <c r="A837" s="22"/>
      <c r="B837" s="18"/>
      <c r="C837" s="18"/>
      <c r="D837" s="18"/>
      <c r="E837" s="18"/>
      <c r="F837" s="18"/>
      <c r="G837" s="18"/>
      <c r="H837" s="20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spans="1:25" ht="18.75" x14ac:dyDescent="0.3">
      <c r="A838" s="22"/>
      <c r="B838" s="18"/>
      <c r="C838" s="18"/>
      <c r="D838" s="18"/>
      <c r="E838" s="18"/>
      <c r="F838" s="18"/>
      <c r="G838" s="18"/>
      <c r="H838" s="20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spans="1:25" ht="18.75" x14ac:dyDescent="0.3">
      <c r="A839" s="22"/>
      <c r="B839" s="18"/>
      <c r="C839" s="18"/>
      <c r="D839" s="18"/>
      <c r="E839" s="18"/>
      <c r="F839" s="18"/>
      <c r="G839" s="18"/>
      <c r="H839" s="20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spans="1:25" ht="18.75" x14ac:dyDescent="0.3">
      <c r="A840" s="22"/>
      <c r="B840" s="18"/>
      <c r="C840" s="18"/>
      <c r="D840" s="18"/>
      <c r="E840" s="18"/>
      <c r="F840" s="18"/>
      <c r="G840" s="18"/>
      <c r="H840" s="20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spans="1:25" ht="18.75" x14ac:dyDescent="0.3">
      <c r="A841" s="22"/>
      <c r="B841" s="18"/>
      <c r="C841" s="18"/>
      <c r="D841" s="18"/>
      <c r="E841" s="18"/>
      <c r="F841" s="18"/>
      <c r="G841" s="18"/>
      <c r="H841" s="20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spans="1:25" ht="18.75" x14ac:dyDescent="0.3">
      <c r="A842" s="22"/>
      <c r="B842" s="18"/>
      <c r="C842" s="18"/>
      <c r="D842" s="18"/>
      <c r="E842" s="18"/>
      <c r="F842" s="18"/>
      <c r="G842" s="18"/>
      <c r="H842" s="20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spans="1:25" ht="18.75" x14ac:dyDescent="0.3">
      <c r="A843" s="22"/>
      <c r="B843" s="18"/>
      <c r="C843" s="18"/>
      <c r="D843" s="18"/>
      <c r="E843" s="18"/>
      <c r="F843" s="18"/>
      <c r="G843" s="18"/>
      <c r="H843" s="20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spans="1:25" ht="18.75" x14ac:dyDescent="0.3">
      <c r="A844" s="22"/>
      <c r="B844" s="18"/>
      <c r="C844" s="18"/>
      <c r="D844" s="18"/>
      <c r="E844" s="18"/>
      <c r="F844" s="18"/>
      <c r="G844" s="18"/>
      <c r="H844" s="20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spans="1:25" ht="18.75" x14ac:dyDescent="0.3">
      <c r="A845" s="22"/>
      <c r="B845" s="18"/>
      <c r="C845" s="18"/>
      <c r="D845" s="18"/>
      <c r="E845" s="18"/>
      <c r="F845" s="18"/>
      <c r="G845" s="18"/>
      <c r="H845" s="20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spans="1:25" ht="18.75" x14ac:dyDescent="0.3">
      <c r="A846" s="22"/>
      <c r="B846" s="18"/>
      <c r="C846" s="18"/>
      <c r="D846" s="18"/>
      <c r="E846" s="18"/>
      <c r="F846" s="18"/>
      <c r="G846" s="18"/>
      <c r="H846" s="20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spans="1:25" ht="18.75" x14ac:dyDescent="0.3">
      <c r="A847" s="22"/>
      <c r="B847" s="18"/>
      <c r="C847" s="18"/>
      <c r="D847" s="18"/>
      <c r="E847" s="18"/>
      <c r="F847" s="18"/>
      <c r="G847" s="18"/>
      <c r="H847" s="20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spans="1:25" ht="18.75" x14ac:dyDescent="0.3">
      <c r="A848" s="22"/>
      <c r="B848" s="18"/>
      <c r="C848" s="18"/>
      <c r="D848" s="18"/>
      <c r="E848" s="18"/>
      <c r="F848" s="18"/>
      <c r="G848" s="18"/>
      <c r="H848" s="20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spans="1:25" ht="18.75" x14ac:dyDescent="0.3">
      <c r="A849" s="22"/>
      <c r="B849" s="18"/>
      <c r="C849" s="18"/>
      <c r="D849" s="18"/>
      <c r="E849" s="18"/>
      <c r="F849" s="18"/>
      <c r="G849" s="18"/>
      <c r="H849" s="20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spans="1:25" ht="18.75" x14ac:dyDescent="0.3">
      <c r="A850" s="22"/>
      <c r="B850" s="18"/>
      <c r="C850" s="18"/>
      <c r="D850" s="18"/>
      <c r="E850" s="18"/>
      <c r="F850" s="18"/>
      <c r="G850" s="18"/>
      <c r="H850" s="20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spans="1:25" ht="18.75" x14ac:dyDescent="0.3">
      <c r="A851" s="22"/>
      <c r="B851" s="18"/>
      <c r="C851" s="18"/>
      <c r="D851" s="18"/>
      <c r="E851" s="18"/>
      <c r="F851" s="18"/>
      <c r="G851" s="18"/>
      <c r="H851" s="20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spans="1:25" ht="18.75" x14ac:dyDescent="0.3">
      <c r="A852" s="22"/>
      <c r="B852" s="18"/>
      <c r="C852" s="18"/>
      <c r="D852" s="18"/>
      <c r="E852" s="18"/>
      <c r="F852" s="18"/>
      <c r="G852" s="18"/>
      <c r="H852" s="20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spans="1:25" ht="18.75" x14ac:dyDescent="0.3">
      <c r="A853" s="22"/>
      <c r="B853" s="18"/>
      <c r="C853" s="18"/>
      <c r="D853" s="18"/>
      <c r="E853" s="18"/>
      <c r="F853" s="18"/>
      <c r="G853" s="18"/>
      <c r="H853" s="20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spans="1:25" ht="18.75" x14ac:dyDescent="0.3">
      <c r="A854" s="22"/>
      <c r="B854" s="18"/>
      <c r="C854" s="18"/>
      <c r="D854" s="18"/>
      <c r="E854" s="18"/>
      <c r="F854" s="18"/>
      <c r="G854" s="18"/>
      <c r="H854" s="20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spans="1:25" ht="18.75" x14ac:dyDescent="0.3">
      <c r="A855" s="22"/>
      <c r="B855" s="18"/>
      <c r="C855" s="18"/>
      <c r="D855" s="18"/>
      <c r="E855" s="18"/>
      <c r="F855" s="18"/>
      <c r="G855" s="18"/>
      <c r="H855" s="20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spans="1:25" ht="18.75" x14ac:dyDescent="0.3">
      <c r="A856" s="22"/>
      <c r="B856" s="18"/>
      <c r="C856" s="18"/>
      <c r="D856" s="18"/>
      <c r="E856" s="18"/>
      <c r="F856" s="18"/>
      <c r="G856" s="18"/>
      <c r="H856" s="20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spans="1:25" ht="18.75" x14ac:dyDescent="0.3">
      <c r="A857" s="22"/>
      <c r="B857" s="18"/>
      <c r="C857" s="18"/>
      <c r="D857" s="18"/>
      <c r="E857" s="18"/>
      <c r="F857" s="18"/>
      <c r="G857" s="18"/>
      <c r="H857" s="20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spans="1:25" ht="18.75" x14ac:dyDescent="0.3">
      <c r="A858" s="22"/>
      <c r="B858" s="18"/>
      <c r="C858" s="18"/>
      <c r="D858" s="18"/>
      <c r="E858" s="18"/>
      <c r="F858" s="18"/>
      <c r="G858" s="18"/>
      <c r="H858" s="20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spans="1:25" ht="18.75" x14ac:dyDescent="0.3">
      <c r="A859" s="22"/>
      <c r="B859" s="18"/>
      <c r="C859" s="18"/>
      <c r="D859" s="18"/>
      <c r="E859" s="18"/>
      <c r="F859" s="18"/>
      <c r="G859" s="18"/>
      <c r="H859" s="20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spans="1:25" ht="18.75" x14ac:dyDescent="0.3">
      <c r="A860" s="22"/>
      <c r="B860" s="18"/>
      <c r="C860" s="18"/>
      <c r="D860" s="18"/>
      <c r="E860" s="18"/>
      <c r="F860" s="18"/>
      <c r="G860" s="18"/>
      <c r="H860" s="20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spans="1:25" ht="18.75" x14ac:dyDescent="0.3">
      <c r="A861" s="22"/>
      <c r="B861" s="18"/>
      <c r="C861" s="18"/>
      <c r="D861" s="18"/>
      <c r="E861" s="18"/>
      <c r="F861" s="18"/>
      <c r="G861" s="18"/>
      <c r="H861" s="20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spans="1:25" ht="18.75" x14ac:dyDescent="0.3">
      <c r="A862" s="22"/>
      <c r="B862" s="18"/>
      <c r="C862" s="18"/>
      <c r="D862" s="18"/>
      <c r="E862" s="18"/>
      <c r="F862" s="18"/>
      <c r="G862" s="18"/>
      <c r="H862" s="20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spans="1:25" ht="18.75" x14ac:dyDescent="0.3">
      <c r="A863" s="22"/>
      <c r="B863" s="18"/>
      <c r="C863" s="18"/>
      <c r="D863" s="18"/>
      <c r="E863" s="18"/>
      <c r="F863" s="18"/>
      <c r="G863" s="18"/>
      <c r="H863" s="20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spans="1:25" ht="18.75" x14ac:dyDescent="0.3">
      <c r="A864" s="22"/>
      <c r="B864" s="18"/>
      <c r="C864" s="18"/>
      <c r="D864" s="18"/>
      <c r="E864" s="18"/>
      <c r="F864" s="18"/>
      <c r="G864" s="18"/>
      <c r="H864" s="20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spans="1:25" ht="18.75" x14ac:dyDescent="0.3">
      <c r="A865" s="22"/>
      <c r="B865" s="18"/>
      <c r="C865" s="18"/>
      <c r="D865" s="18"/>
      <c r="E865" s="18"/>
      <c r="F865" s="18"/>
      <c r="G865" s="18"/>
      <c r="H865" s="20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spans="1:25" ht="18.75" x14ac:dyDescent="0.3">
      <c r="A866" s="22"/>
      <c r="B866" s="18"/>
      <c r="C866" s="18"/>
      <c r="D866" s="18"/>
      <c r="E866" s="18"/>
      <c r="F866" s="18"/>
      <c r="G866" s="18"/>
      <c r="H866" s="20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spans="1:25" ht="18.75" x14ac:dyDescent="0.3">
      <c r="A867" s="22"/>
      <c r="B867" s="18"/>
      <c r="C867" s="18"/>
      <c r="D867" s="18"/>
      <c r="E867" s="18"/>
      <c r="F867" s="18"/>
      <c r="G867" s="18"/>
      <c r="H867" s="20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spans="1:25" ht="18.75" x14ac:dyDescent="0.3">
      <c r="A868" s="22"/>
      <c r="B868" s="18"/>
      <c r="C868" s="18"/>
      <c r="D868" s="18"/>
      <c r="E868" s="18"/>
      <c r="F868" s="18"/>
      <c r="G868" s="18"/>
      <c r="H868" s="20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spans="1:25" ht="18.75" x14ac:dyDescent="0.3">
      <c r="A869" s="22"/>
      <c r="B869" s="18"/>
      <c r="C869" s="18"/>
      <c r="D869" s="18"/>
      <c r="E869" s="18"/>
      <c r="F869" s="18"/>
      <c r="G869" s="18"/>
      <c r="H869" s="20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spans="1:25" ht="18.75" x14ac:dyDescent="0.3">
      <c r="A870" s="22"/>
      <c r="B870" s="18"/>
      <c r="C870" s="18"/>
      <c r="D870" s="18"/>
      <c r="E870" s="18"/>
      <c r="F870" s="18"/>
      <c r="G870" s="18"/>
      <c r="H870" s="20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spans="1:25" ht="18.75" x14ac:dyDescent="0.3">
      <c r="A871" s="22"/>
      <c r="B871" s="18"/>
      <c r="C871" s="18"/>
      <c r="D871" s="18"/>
      <c r="E871" s="18"/>
      <c r="F871" s="18"/>
      <c r="G871" s="18"/>
      <c r="H871" s="20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spans="1:25" ht="18.75" x14ac:dyDescent="0.3">
      <c r="A872" s="22"/>
      <c r="B872" s="18"/>
      <c r="C872" s="18"/>
      <c r="D872" s="18"/>
      <c r="E872" s="18"/>
      <c r="F872" s="18"/>
      <c r="G872" s="18"/>
      <c r="H872" s="20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spans="1:25" ht="18.75" x14ac:dyDescent="0.3">
      <c r="A873" s="22"/>
      <c r="B873" s="18"/>
      <c r="C873" s="18"/>
      <c r="D873" s="18"/>
      <c r="E873" s="18"/>
      <c r="F873" s="18"/>
      <c r="G873" s="18"/>
      <c r="H873" s="20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spans="1:25" ht="18.75" x14ac:dyDescent="0.3">
      <c r="A874" s="22"/>
      <c r="B874" s="18"/>
      <c r="C874" s="18"/>
      <c r="D874" s="18"/>
      <c r="E874" s="18"/>
      <c r="F874" s="18"/>
      <c r="G874" s="18"/>
      <c r="H874" s="20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spans="1:25" ht="18.75" x14ac:dyDescent="0.3">
      <c r="A875" s="22"/>
      <c r="B875" s="18"/>
      <c r="C875" s="18"/>
      <c r="D875" s="18"/>
      <c r="E875" s="18"/>
      <c r="F875" s="18"/>
      <c r="G875" s="18"/>
      <c r="H875" s="20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spans="1:25" ht="18.75" x14ac:dyDescent="0.3">
      <c r="A876" s="22"/>
      <c r="B876" s="18"/>
      <c r="C876" s="18"/>
      <c r="D876" s="18"/>
      <c r="E876" s="18"/>
      <c r="F876" s="18"/>
      <c r="G876" s="18"/>
      <c r="H876" s="20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spans="1:25" ht="18.75" x14ac:dyDescent="0.3">
      <c r="A877" s="22"/>
      <c r="B877" s="18"/>
      <c r="C877" s="18"/>
      <c r="D877" s="18"/>
      <c r="E877" s="18"/>
      <c r="F877" s="18"/>
      <c r="G877" s="18"/>
      <c r="H877" s="20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spans="1:25" ht="18.75" x14ac:dyDescent="0.3">
      <c r="A878" s="22"/>
      <c r="B878" s="18"/>
      <c r="C878" s="18"/>
      <c r="D878" s="18"/>
      <c r="E878" s="18"/>
      <c r="F878" s="18"/>
      <c r="G878" s="18"/>
      <c r="H878" s="20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spans="1:25" ht="18.75" x14ac:dyDescent="0.3">
      <c r="A879" s="22"/>
      <c r="B879" s="18"/>
      <c r="C879" s="18"/>
      <c r="D879" s="18"/>
      <c r="E879" s="18"/>
      <c r="F879" s="18"/>
      <c r="G879" s="18"/>
      <c r="H879" s="20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spans="1:25" ht="18.75" x14ac:dyDescent="0.3">
      <c r="A880" s="22"/>
      <c r="B880" s="18"/>
      <c r="C880" s="18"/>
      <c r="D880" s="18"/>
      <c r="E880" s="18"/>
      <c r="F880" s="18"/>
      <c r="G880" s="18"/>
      <c r="H880" s="20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spans="1:25" ht="18.75" x14ac:dyDescent="0.3">
      <c r="A881" s="22"/>
      <c r="B881" s="18"/>
      <c r="C881" s="18"/>
      <c r="D881" s="18"/>
      <c r="E881" s="18"/>
      <c r="F881" s="18"/>
      <c r="G881" s="18"/>
      <c r="H881" s="20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spans="1:25" ht="18.75" x14ac:dyDescent="0.3">
      <c r="A882" s="22"/>
      <c r="B882" s="18"/>
      <c r="C882" s="18"/>
      <c r="D882" s="18"/>
      <c r="E882" s="18"/>
      <c r="F882" s="18"/>
      <c r="G882" s="18"/>
      <c r="H882" s="20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spans="1:25" ht="18.75" x14ac:dyDescent="0.3">
      <c r="A883" s="22"/>
      <c r="B883" s="18"/>
      <c r="C883" s="18"/>
      <c r="D883" s="18"/>
      <c r="E883" s="18"/>
      <c r="F883" s="18"/>
      <c r="G883" s="18"/>
      <c r="H883" s="20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spans="1:25" ht="18.75" x14ac:dyDescent="0.3">
      <c r="A884" s="22"/>
      <c r="B884" s="18"/>
      <c r="C884" s="18"/>
      <c r="D884" s="18"/>
      <c r="E884" s="18"/>
      <c r="F884" s="18"/>
      <c r="G884" s="18"/>
      <c r="H884" s="20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spans="1:25" ht="18.75" x14ac:dyDescent="0.3">
      <c r="A885" s="22"/>
      <c r="B885" s="18"/>
      <c r="C885" s="18"/>
      <c r="D885" s="18"/>
      <c r="E885" s="18"/>
      <c r="F885" s="18"/>
      <c r="G885" s="18"/>
      <c r="H885" s="20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spans="1:25" ht="18.75" x14ac:dyDescent="0.3">
      <c r="A886" s="22"/>
      <c r="B886" s="18"/>
      <c r="C886" s="18"/>
      <c r="D886" s="18"/>
      <c r="E886" s="18"/>
      <c r="F886" s="18"/>
      <c r="G886" s="18"/>
      <c r="H886" s="20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spans="1:25" ht="18.75" x14ac:dyDescent="0.3">
      <c r="A887" s="22"/>
      <c r="B887" s="18"/>
      <c r="C887" s="18"/>
      <c r="D887" s="18"/>
      <c r="E887" s="18"/>
      <c r="F887" s="18"/>
      <c r="G887" s="18"/>
      <c r="H887" s="20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spans="1:25" ht="18.75" x14ac:dyDescent="0.3">
      <c r="A888" s="22"/>
      <c r="B888" s="18"/>
      <c r="C888" s="18"/>
      <c r="D888" s="18"/>
      <c r="E888" s="18"/>
      <c r="F888" s="18"/>
      <c r="G888" s="18"/>
      <c r="H888" s="20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spans="1:25" ht="18.75" x14ac:dyDescent="0.3">
      <c r="A889" s="22"/>
      <c r="B889" s="18"/>
      <c r="C889" s="18"/>
      <c r="D889" s="18"/>
      <c r="E889" s="18"/>
      <c r="F889" s="18"/>
      <c r="G889" s="18"/>
      <c r="H889" s="20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spans="1:25" ht="18.75" x14ac:dyDescent="0.3">
      <c r="A890" s="22"/>
      <c r="B890" s="18"/>
      <c r="C890" s="18"/>
      <c r="D890" s="18"/>
      <c r="E890" s="18"/>
      <c r="F890" s="18"/>
      <c r="G890" s="18"/>
      <c r="H890" s="20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spans="1:25" ht="18.75" x14ac:dyDescent="0.3">
      <c r="A891" s="22"/>
      <c r="B891" s="18"/>
      <c r="C891" s="18"/>
      <c r="D891" s="18"/>
      <c r="E891" s="18"/>
      <c r="F891" s="18"/>
      <c r="G891" s="18"/>
      <c r="H891" s="20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spans="1:25" ht="18.75" x14ac:dyDescent="0.3">
      <c r="A892" s="22"/>
      <c r="B892" s="18"/>
      <c r="C892" s="18"/>
      <c r="D892" s="18"/>
      <c r="E892" s="18"/>
      <c r="F892" s="18"/>
      <c r="G892" s="18"/>
      <c r="H892" s="20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spans="1:25" ht="18.75" x14ac:dyDescent="0.3">
      <c r="A893" s="22"/>
      <c r="B893" s="18"/>
      <c r="C893" s="18"/>
      <c r="D893" s="18"/>
      <c r="E893" s="18"/>
      <c r="F893" s="18"/>
      <c r="G893" s="18"/>
      <c r="H893" s="20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spans="1:25" ht="18.75" x14ac:dyDescent="0.3">
      <c r="A894" s="22"/>
      <c r="B894" s="18"/>
      <c r="C894" s="18"/>
      <c r="D894" s="18"/>
      <c r="E894" s="18"/>
      <c r="F894" s="18"/>
      <c r="G894" s="18"/>
      <c r="H894" s="20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spans="1:25" ht="18.75" x14ac:dyDescent="0.3">
      <c r="A895" s="22"/>
      <c r="B895" s="18"/>
      <c r="C895" s="18"/>
      <c r="D895" s="18"/>
      <c r="E895" s="18"/>
      <c r="F895" s="18"/>
      <c r="G895" s="18"/>
      <c r="H895" s="20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spans="1:25" ht="18.75" x14ac:dyDescent="0.3">
      <c r="A896" s="22"/>
      <c r="B896" s="18"/>
      <c r="C896" s="18"/>
      <c r="D896" s="18"/>
      <c r="E896" s="18"/>
      <c r="F896" s="18"/>
      <c r="G896" s="18"/>
      <c r="H896" s="20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spans="1:25" ht="18.75" x14ac:dyDescent="0.3">
      <c r="A897" s="22"/>
      <c r="B897" s="18"/>
      <c r="C897" s="18"/>
      <c r="D897" s="18"/>
      <c r="E897" s="18"/>
      <c r="F897" s="18"/>
      <c r="G897" s="18"/>
      <c r="H897" s="20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spans="1:25" ht="18.75" x14ac:dyDescent="0.3">
      <c r="A898" s="22"/>
      <c r="B898" s="18"/>
      <c r="C898" s="18"/>
      <c r="D898" s="18"/>
      <c r="E898" s="18"/>
      <c r="F898" s="18"/>
      <c r="G898" s="18"/>
      <c r="H898" s="20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spans="1:25" ht="18.75" x14ac:dyDescent="0.3">
      <c r="A899" s="22"/>
      <c r="B899" s="18"/>
      <c r="C899" s="18"/>
      <c r="D899" s="18"/>
      <c r="E899" s="18"/>
      <c r="F899" s="18"/>
      <c r="G899" s="18"/>
      <c r="H899" s="20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spans="1:25" ht="18.75" x14ac:dyDescent="0.3">
      <c r="A900" s="22"/>
      <c r="B900" s="18"/>
      <c r="C900" s="18"/>
      <c r="D900" s="18"/>
      <c r="E900" s="18"/>
      <c r="F900" s="18"/>
      <c r="G900" s="18"/>
      <c r="H900" s="20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spans="1:25" ht="18.75" x14ac:dyDescent="0.3">
      <c r="A901" s="22"/>
      <c r="B901" s="18"/>
      <c r="C901" s="18"/>
      <c r="D901" s="18"/>
      <c r="E901" s="18"/>
      <c r="F901" s="18"/>
      <c r="G901" s="18"/>
      <c r="H901" s="20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spans="1:25" ht="18.75" x14ac:dyDescent="0.3">
      <c r="A902" s="22"/>
      <c r="B902" s="18"/>
      <c r="C902" s="18"/>
      <c r="D902" s="18"/>
      <c r="E902" s="18"/>
      <c r="F902" s="18"/>
      <c r="G902" s="18"/>
      <c r="H902" s="20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spans="1:25" ht="18.75" x14ac:dyDescent="0.3">
      <c r="A903" s="22"/>
      <c r="B903" s="18"/>
      <c r="C903" s="18"/>
      <c r="D903" s="18"/>
      <c r="E903" s="18"/>
      <c r="F903" s="18"/>
      <c r="G903" s="18"/>
      <c r="H903" s="20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spans="1:25" ht="18.75" x14ac:dyDescent="0.3">
      <c r="A904" s="22"/>
      <c r="B904" s="18"/>
      <c r="C904" s="18"/>
      <c r="D904" s="18"/>
      <c r="E904" s="18"/>
      <c r="F904" s="18"/>
      <c r="G904" s="18"/>
      <c r="H904" s="20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spans="1:25" ht="18.75" x14ac:dyDescent="0.3">
      <c r="A905" s="22"/>
      <c r="B905" s="18"/>
      <c r="C905" s="18"/>
      <c r="D905" s="18"/>
      <c r="E905" s="18"/>
      <c r="F905" s="18"/>
      <c r="G905" s="18"/>
      <c r="H905" s="20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spans="1:25" ht="18.75" x14ac:dyDescent="0.3">
      <c r="A906" s="22"/>
      <c r="B906" s="18"/>
      <c r="C906" s="18"/>
      <c r="D906" s="18"/>
      <c r="E906" s="18"/>
      <c r="F906" s="18"/>
      <c r="G906" s="18"/>
      <c r="H906" s="20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spans="1:25" ht="18.75" x14ac:dyDescent="0.3">
      <c r="A907" s="22"/>
      <c r="B907" s="18"/>
      <c r="C907" s="18"/>
      <c r="D907" s="18"/>
      <c r="E907" s="18"/>
      <c r="F907" s="18"/>
      <c r="G907" s="18"/>
      <c r="H907" s="20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spans="1:25" ht="18.75" x14ac:dyDescent="0.3">
      <c r="A908" s="22"/>
      <c r="B908" s="18"/>
      <c r="C908" s="18"/>
      <c r="D908" s="18"/>
      <c r="E908" s="18"/>
      <c r="F908" s="18"/>
      <c r="G908" s="18"/>
      <c r="H908" s="20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spans="1:25" ht="18.75" x14ac:dyDescent="0.3">
      <c r="A909" s="22"/>
      <c r="B909" s="18"/>
      <c r="C909" s="18"/>
      <c r="D909" s="18"/>
      <c r="E909" s="18"/>
      <c r="F909" s="18"/>
      <c r="G909" s="18"/>
      <c r="H909" s="20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spans="1:25" ht="18.75" x14ac:dyDescent="0.3">
      <c r="A910" s="22"/>
      <c r="B910" s="18"/>
      <c r="C910" s="18"/>
      <c r="D910" s="18"/>
      <c r="E910" s="18"/>
      <c r="F910" s="18"/>
      <c r="G910" s="18"/>
      <c r="H910" s="20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spans="1:25" ht="18.75" x14ac:dyDescent="0.3">
      <c r="A911" s="22"/>
      <c r="B911" s="18"/>
      <c r="C911" s="18"/>
      <c r="D911" s="18"/>
      <c r="E911" s="18"/>
      <c r="F911" s="18"/>
      <c r="G911" s="18"/>
      <c r="H911" s="20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spans="1:25" ht="18.75" x14ac:dyDescent="0.3">
      <c r="A912" s="22"/>
      <c r="B912" s="18"/>
      <c r="C912" s="18"/>
      <c r="D912" s="18"/>
      <c r="E912" s="18"/>
      <c r="F912" s="18"/>
      <c r="G912" s="18"/>
      <c r="H912" s="20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spans="1:25" ht="18.75" x14ac:dyDescent="0.3">
      <c r="A913" s="22"/>
      <c r="B913" s="18"/>
      <c r="C913" s="18"/>
      <c r="D913" s="18"/>
      <c r="E913" s="18"/>
      <c r="F913" s="18"/>
      <c r="G913" s="18"/>
      <c r="H913" s="20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spans="1:25" ht="18.75" x14ac:dyDescent="0.3">
      <c r="A914" s="22"/>
      <c r="B914" s="18"/>
      <c r="C914" s="18"/>
      <c r="D914" s="18"/>
      <c r="E914" s="18"/>
      <c r="F914" s="18"/>
      <c r="G914" s="18"/>
      <c r="H914" s="20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spans="1:25" ht="18.75" x14ac:dyDescent="0.3">
      <c r="A915" s="22"/>
      <c r="B915" s="18"/>
      <c r="C915" s="18"/>
      <c r="D915" s="18"/>
      <c r="E915" s="18"/>
      <c r="F915" s="18"/>
      <c r="G915" s="18"/>
      <c r="H915" s="20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spans="1:25" ht="18.75" x14ac:dyDescent="0.3">
      <c r="A916" s="22"/>
      <c r="B916" s="18"/>
      <c r="C916" s="18"/>
      <c r="D916" s="18"/>
      <c r="E916" s="18"/>
      <c r="F916" s="18"/>
      <c r="G916" s="18"/>
      <c r="H916" s="20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spans="1:25" ht="18.75" x14ac:dyDescent="0.3">
      <c r="A917" s="22"/>
      <c r="B917" s="18"/>
      <c r="C917" s="18"/>
      <c r="D917" s="18"/>
      <c r="E917" s="18"/>
      <c r="F917" s="18"/>
      <c r="G917" s="18"/>
      <c r="H917" s="20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spans="1:25" ht="18.75" x14ac:dyDescent="0.3">
      <c r="A918" s="22"/>
      <c r="B918" s="18"/>
      <c r="C918" s="18"/>
      <c r="D918" s="18"/>
      <c r="E918" s="18"/>
      <c r="F918" s="18"/>
      <c r="G918" s="18"/>
      <c r="H918" s="20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spans="1:25" ht="18.75" x14ac:dyDescent="0.3">
      <c r="A919" s="22"/>
      <c r="B919" s="18"/>
      <c r="C919" s="18"/>
      <c r="D919" s="18"/>
      <c r="E919" s="18"/>
      <c r="F919" s="18"/>
      <c r="G919" s="18"/>
      <c r="H919" s="20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spans="1:25" ht="18.75" x14ac:dyDescent="0.3">
      <c r="A920" s="22"/>
      <c r="B920" s="18"/>
      <c r="C920" s="18"/>
      <c r="D920" s="18"/>
      <c r="E920" s="18"/>
      <c r="F920" s="18"/>
      <c r="G920" s="18"/>
      <c r="H920" s="20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spans="1:25" ht="18.75" x14ac:dyDescent="0.3">
      <c r="A921" s="22"/>
      <c r="B921" s="18"/>
      <c r="C921" s="18"/>
      <c r="D921" s="18"/>
      <c r="E921" s="18"/>
      <c r="F921" s="18"/>
      <c r="G921" s="18"/>
      <c r="H921" s="20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spans="1:25" ht="18.75" x14ac:dyDescent="0.3">
      <c r="A922" s="22"/>
      <c r="B922" s="18"/>
      <c r="C922" s="18"/>
      <c r="D922" s="18"/>
      <c r="E922" s="18"/>
      <c r="F922" s="18"/>
      <c r="G922" s="18"/>
      <c r="H922" s="20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spans="1:25" ht="18.75" x14ac:dyDescent="0.3">
      <c r="A923" s="22"/>
      <c r="B923" s="18"/>
      <c r="C923" s="18"/>
      <c r="D923" s="18"/>
      <c r="E923" s="18"/>
      <c r="F923" s="18"/>
      <c r="G923" s="18"/>
      <c r="H923" s="20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spans="1:25" ht="18.75" x14ac:dyDescent="0.3">
      <c r="A924" s="22"/>
      <c r="B924" s="18"/>
      <c r="C924" s="18"/>
      <c r="D924" s="18"/>
      <c r="E924" s="18"/>
      <c r="F924" s="18"/>
      <c r="G924" s="18"/>
      <c r="H924" s="20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spans="1:25" ht="18.75" x14ac:dyDescent="0.3">
      <c r="A925" s="22"/>
      <c r="B925" s="18"/>
      <c r="C925" s="18"/>
      <c r="D925" s="18"/>
      <c r="E925" s="18"/>
      <c r="F925" s="18"/>
      <c r="G925" s="18"/>
      <c r="H925" s="20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spans="1:25" ht="18.75" x14ac:dyDescent="0.3">
      <c r="A926" s="22"/>
      <c r="B926" s="18"/>
      <c r="C926" s="18"/>
      <c r="D926" s="18"/>
      <c r="E926" s="18"/>
      <c r="F926" s="18"/>
      <c r="G926" s="18"/>
      <c r="H926" s="20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spans="1:25" ht="18.75" x14ac:dyDescent="0.3">
      <c r="A927" s="22"/>
      <c r="B927" s="18"/>
      <c r="C927" s="18"/>
      <c r="D927" s="18"/>
      <c r="E927" s="18"/>
      <c r="F927" s="18"/>
      <c r="G927" s="18"/>
      <c r="H927" s="20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spans="1:25" ht="18.75" x14ac:dyDescent="0.3">
      <c r="A928" s="22"/>
      <c r="B928" s="18"/>
      <c r="C928" s="18"/>
      <c r="D928" s="18"/>
      <c r="E928" s="18"/>
      <c r="F928" s="18"/>
      <c r="G928" s="18"/>
      <c r="H928" s="20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spans="1:25" ht="18.75" x14ac:dyDescent="0.3">
      <c r="A929" s="22"/>
      <c r="B929" s="18"/>
      <c r="C929" s="18"/>
      <c r="D929" s="18"/>
      <c r="E929" s="18"/>
      <c r="F929" s="18"/>
      <c r="G929" s="18"/>
      <c r="H929" s="20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spans="1:25" ht="18.75" x14ac:dyDescent="0.3">
      <c r="A930" s="22"/>
      <c r="B930" s="18"/>
      <c r="C930" s="18"/>
      <c r="D930" s="18"/>
      <c r="E930" s="18"/>
      <c r="F930" s="18"/>
      <c r="G930" s="18"/>
      <c r="H930" s="20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spans="1:25" ht="18.75" x14ac:dyDescent="0.3">
      <c r="A931" s="22"/>
      <c r="B931" s="18"/>
      <c r="C931" s="18"/>
      <c r="D931" s="18"/>
      <c r="E931" s="18"/>
      <c r="F931" s="18"/>
      <c r="G931" s="18"/>
      <c r="H931" s="20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spans="1:25" ht="18.75" x14ac:dyDescent="0.3">
      <c r="A932" s="22"/>
      <c r="B932" s="18"/>
      <c r="C932" s="18"/>
      <c r="D932" s="18"/>
      <c r="E932" s="18"/>
      <c r="F932" s="18"/>
      <c r="G932" s="18"/>
      <c r="H932" s="20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spans="1:25" ht="18.75" x14ac:dyDescent="0.3">
      <c r="A933" s="22"/>
      <c r="B933" s="18"/>
      <c r="C933" s="18"/>
      <c r="D933" s="18"/>
      <c r="E933" s="18"/>
      <c r="F933" s="18"/>
      <c r="G933" s="18"/>
      <c r="H933" s="20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spans="1:25" ht="18.75" x14ac:dyDescent="0.3">
      <c r="A934" s="22"/>
      <c r="B934" s="18"/>
      <c r="C934" s="18"/>
      <c r="D934" s="18"/>
      <c r="E934" s="18"/>
      <c r="F934" s="18"/>
      <c r="G934" s="18"/>
      <c r="H934" s="20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spans="1:25" ht="18.75" x14ac:dyDescent="0.3">
      <c r="A935" s="22"/>
      <c r="B935" s="18"/>
      <c r="C935" s="18"/>
      <c r="D935" s="18"/>
      <c r="E935" s="18"/>
      <c r="F935" s="18"/>
      <c r="G935" s="18"/>
      <c r="H935" s="20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spans="1:25" ht="18.75" x14ac:dyDescent="0.3">
      <c r="A936" s="22"/>
      <c r="B936" s="18"/>
      <c r="C936" s="18"/>
      <c r="D936" s="18"/>
      <c r="E936" s="18"/>
      <c r="F936" s="18"/>
      <c r="G936" s="18"/>
      <c r="H936" s="20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spans="1:25" ht="18.75" x14ac:dyDescent="0.3">
      <c r="A937" s="22"/>
      <c r="B937" s="18"/>
      <c r="C937" s="18"/>
      <c r="D937" s="18"/>
      <c r="E937" s="18"/>
      <c r="F937" s="18"/>
      <c r="G937" s="18"/>
      <c r="H937" s="20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spans="1:25" ht="18.75" x14ac:dyDescent="0.3">
      <c r="A938" s="22"/>
      <c r="B938" s="18"/>
      <c r="C938" s="18"/>
      <c r="D938" s="18"/>
      <c r="E938" s="18"/>
      <c r="F938" s="18"/>
      <c r="G938" s="18"/>
      <c r="H938" s="20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spans="1:25" ht="18.75" x14ac:dyDescent="0.3">
      <c r="A939" s="22"/>
      <c r="B939" s="18"/>
      <c r="C939" s="18"/>
      <c r="D939" s="18"/>
      <c r="E939" s="18"/>
      <c r="F939" s="18"/>
      <c r="G939" s="18"/>
      <c r="H939" s="20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spans="1:25" ht="18.75" x14ac:dyDescent="0.3">
      <c r="A940" s="22"/>
      <c r="B940" s="18"/>
      <c r="C940" s="18"/>
      <c r="D940" s="18"/>
      <c r="E940" s="18"/>
      <c r="F940" s="18"/>
      <c r="G940" s="18"/>
      <c r="H940" s="20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spans="1:25" ht="18.75" x14ac:dyDescent="0.3">
      <c r="A941" s="22"/>
      <c r="B941" s="18"/>
      <c r="C941" s="18"/>
      <c r="D941" s="18"/>
      <c r="E941" s="18"/>
      <c r="F941" s="18"/>
      <c r="G941" s="18"/>
      <c r="H941" s="20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spans="1:25" ht="18.75" x14ac:dyDescent="0.3">
      <c r="A942" s="22"/>
      <c r="B942" s="18"/>
      <c r="C942" s="18"/>
      <c r="D942" s="18"/>
      <c r="E942" s="18"/>
      <c r="F942" s="18"/>
      <c r="G942" s="18"/>
      <c r="H942" s="20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spans="1:25" ht="18.75" x14ac:dyDescent="0.3">
      <c r="A943" s="22"/>
      <c r="B943" s="18"/>
      <c r="C943" s="18"/>
      <c r="D943" s="18"/>
      <c r="E943" s="18"/>
      <c r="F943" s="18"/>
      <c r="G943" s="18"/>
      <c r="H943" s="20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spans="1:25" ht="18.75" x14ac:dyDescent="0.3">
      <c r="A944" s="22"/>
      <c r="B944" s="18"/>
      <c r="C944" s="18"/>
      <c r="D944" s="18"/>
      <c r="E944" s="18"/>
      <c r="F944" s="18"/>
      <c r="G944" s="18"/>
      <c r="H944" s="20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spans="1:25" ht="18.75" x14ac:dyDescent="0.3">
      <c r="A945" s="22"/>
      <c r="B945" s="18"/>
      <c r="C945" s="18"/>
      <c r="D945" s="18"/>
      <c r="E945" s="18"/>
      <c r="F945" s="18"/>
      <c r="G945" s="18"/>
      <c r="H945" s="20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spans="1:25" ht="18.75" x14ac:dyDescent="0.3">
      <c r="A946" s="22"/>
      <c r="B946" s="18"/>
      <c r="C946" s="18"/>
      <c r="D946" s="18"/>
      <c r="E946" s="18"/>
      <c r="F946" s="18"/>
      <c r="G946" s="18"/>
      <c r="H946" s="20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spans="1:25" ht="18.75" x14ac:dyDescent="0.3">
      <c r="A947" s="22"/>
      <c r="B947" s="18"/>
      <c r="C947" s="18"/>
      <c r="D947" s="18"/>
      <c r="E947" s="18"/>
      <c r="F947" s="18"/>
      <c r="G947" s="18"/>
      <c r="H947" s="20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spans="1:25" ht="18.75" x14ac:dyDescent="0.3">
      <c r="A948" s="22"/>
      <c r="B948" s="18"/>
      <c r="C948" s="18"/>
      <c r="D948" s="18"/>
      <c r="E948" s="18"/>
      <c r="F948" s="18"/>
      <c r="G948" s="18"/>
      <c r="H948" s="20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spans="1:25" ht="18.75" x14ac:dyDescent="0.3">
      <c r="A949" s="22"/>
      <c r="B949" s="18"/>
      <c r="C949" s="18"/>
      <c r="D949" s="18"/>
      <c r="E949" s="18"/>
      <c r="F949" s="18"/>
      <c r="G949" s="18"/>
      <c r="H949" s="20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spans="1:25" ht="18.75" x14ac:dyDescent="0.3">
      <c r="A950" s="22"/>
      <c r="B950" s="18"/>
      <c r="C950" s="18"/>
      <c r="D950" s="18"/>
      <c r="E950" s="18"/>
      <c r="F950" s="18"/>
      <c r="G950" s="18"/>
      <c r="H950" s="20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spans="1:25" ht="18.75" x14ac:dyDescent="0.3">
      <c r="A951" s="22"/>
      <c r="B951" s="18"/>
      <c r="C951" s="18"/>
      <c r="D951" s="18"/>
      <c r="E951" s="18"/>
      <c r="F951" s="18"/>
      <c r="G951" s="18"/>
      <c r="H951" s="20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spans="1:25" ht="18.75" x14ac:dyDescent="0.3">
      <c r="A952" s="22"/>
      <c r="B952" s="18"/>
      <c r="C952" s="18"/>
      <c r="D952" s="18"/>
      <c r="E952" s="18"/>
      <c r="F952" s="18"/>
      <c r="G952" s="18"/>
      <c r="H952" s="20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spans="1:25" ht="18.75" x14ac:dyDescent="0.3">
      <c r="A953" s="22"/>
      <c r="B953" s="18"/>
      <c r="C953" s="18"/>
      <c r="D953" s="18"/>
      <c r="E953" s="18"/>
      <c r="F953" s="18"/>
      <c r="G953" s="18"/>
      <c r="H953" s="20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spans="1:25" ht="18.75" x14ac:dyDescent="0.3">
      <c r="A954" s="22"/>
      <c r="B954" s="18"/>
      <c r="C954" s="18"/>
      <c r="D954" s="18"/>
      <c r="E954" s="18"/>
      <c r="F954" s="18"/>
      <c r="G954" s="18"/>
      <c r="H954" s="20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spans="1:25" ht="18.75" x14ac:dyDescent="0.3">
      <c r="A955" s="22"/>
      <c r="B955" s="18"/>
      <c r="C955" s="18"/>
      <c r="D955" s="18"/>
      <c r="E955" s="18"/>
      <c r="F955" s="18"/>
      <c r="G955" s="18"/>
      <c r="H955" s="20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spans="1:25" ht="18.75" x14ac:dyDescent="0.3">
      <c r="A956" s="22"/>
      <c r="B956" s="18"/>
      <c r="C956" s="18"/>
      <c r="D956" s="18"/>
      <c r="E956" s="18"/>
      <c r="F956" s="18"/>
      <c r="G956" s="18"/>
      <c r="H956" s="20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spans="1:25" ht="18.75" x14ac:dyDescent="0.3">
      <c r="A957" s="22"/>
      <c r="B957" s="18"/>
      <c r="C957" s="18"/>
      <c r="D957" s="18"/>
      <c r="E957" s="18"/>
      <c r="F957" s="18"/>
      <c r="G957" s="18"/>
      <c r="H957" s="20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spans="1:25" ht="18.75" x14ac:dyDescent="0.3">
      <c r="A958" s="22"/>
      <c r="B958" s="18"/>
      <c r="C958" s="18"/>
      <c r="D958" s="18"/>
      <c r="E958" s="18"/>
      <c r="F958" s="18"/>
      <c r="G958" s="18"/>
      <c r="H958" s="20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spans="1:25" ht="18.75" x14ac:dyDescent="0.3">
      <c r="A959" s="22"/>
      <c r="B959" s="18"/>
      <c r="C959" s="18"/>
      <c r="D959" s="18"/>
      <c r="E959" s="18"/>
      <c r="F959" s="18"/>
      <c r="G959" s="18"/>
      <c r="H959" s="20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spans="1:25" ht="18.75" x14ac:dyDescent="0.3">
      <c r="A960" s="22"/>
      <c r="B960" s="18"/>
      <c r="C960" s="18"/>
      <c r="D960" s="18"/>
      <c r="E960" s="18"/>
      <c r="F960" s="18"/>
      <c r="G960" s="18"/>
      <c r="H960" s="20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spans="1:25" ht="18.75" x14ac:dyDescent="0.3">
      <c r="A961" s="22"/>
      <c r="B961" s="18"/>
      <c r="C961" s="18"/>
      <c r="D961" s="18"/>
      <c r="E961" s="18"/>
      <c r="F961" s="18"/>
      <c r="G961" s="18"/>
      <c r="H961" s="20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spans="1:25" ht="18.75" x14ac:dyDescent="0.3">
      <c r="A962" s="22"/>
      <c r="B962" s="18"/>
      <c r="C962" s="18"/>
      <c r="D962" s="18"/>
      <c r="E962" s="18"/>
      <c r="F962" s="18"/>
      <c r="G962" s="18"/>
      <c r="H962" s="20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spans="1:25" ht="18.75" x14ac:dyDescent="0.3">
      <c r="A963" s="22"/>
      <c r="B963" s="18"/>
      <c r="C963" s="18"/>
      <c r="D963" s="18"/>
      <c r="E963" s="18"/>
      <c r="F963" s="18"/>
      <c r="G963" s="18"/>
      <c r="H963" s="20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spans="1:25" ht="18.75" x14ac:dyDescent="0.3">
      <c r="A964" s="22"/>
      <c r="B964" s="18"/>
      <c r="C964" s="18"/>
      <c r="D964" s="18"/>
      <c r="E964" s="18"/>
      <c r="F964" s="18"/>
      <c r="G964" s="18"/>
      <c r="H964" s="20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spans="1:25" ht="18.75" x14ac:dyDescent="0.3">
      <c r="A965" s="22"/>
      <c r="B965" s="18"/>
      <c r="C965" s="18"/>
      <c r="D965" s="18"/>
      <c r="E965" s="18"/>
      <c r="F965" s="18"/>
      <c r="G965" s="18"/>
      <c r="H965" s="20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spans="1:25" ht="18.75" x14ac:dyDescent="0.3">
      <c r="A966" s="22"/>
      <c r="B966" s="18"/>
      <c r="C966" s="18"/>
      <c r="D966" s="18"/>
      <c r="E966" s="18"/>
      <c r="F966" s="18"/>
      <c r="G966" s="18"/>
      <c r="H966" s="20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spans="1:25" ht="18.75" x14ac:dyDescent="0.3">
      <c r="A967" s="22"/>
      <c r="B967" s="18"/>
      <c r="C967" s="18"/>
      <c r="D967" s="18"/>
      <c r="E967" s="18"/>
      <c r="F967" s="18"/>
      <c r="G967" s="18"/>
      <c r="H967" s="20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spans="1:25" ht="18.75" x14ac:dyDescent="0.3">
      <c r="A968" s="22"/>
      <c r="B968" s="18"/>
      <c r="C968" s="18"/>
      <c r="D968" s="18"/>
      <c r="E968" s="18"/>
      <c r="F968" s="18"/>
      <c r="G968" s="18"/>
      <c r="H968" s="20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spans="1:25" ht="18.75" x14ac:dyDescent="0.3">
      <c r="A969" s="22"/>
      <c r="B969" s="18"/>
      <c r="C969" s="18"/>
      <c r="D969" s="18"/>
      <c r="E969" s="18"/>
      <c r="F969" s="18"/>
      <c r="G969" s="18"/>
      <c r="H969" s="20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spans="1:25" ht="18.75" x14ac:dyDescent="0.3">
      <c r="A970" s="22"/>
      <c r="B970" s="18"/>
      <c r="C970" s="18"/>
      <c r="D970" s="18"/>
      <c r="E970" s="18"/>
      <c r="F970" s="18"/>
      <c r="G970" s="18"/>
      <c r="H970" s="20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spans="1:25" ht="18.75" x14ac:dyDescent="0.3">
      <c r="A971" s="22"/>
      <c r="B971" s="18"/>
      <c r="C971" s="18"/>
      <c r="D971" s="18"/>
      <c r="E971" s="18"/>
      <c r="F971" s="18"/>
      <c r="G971" s="18"/>
      <c r="H971" s="20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spans="1:25" ht="18.75" x14ac:dyDescent="0.3">
      <c r="A972" s="22"/>
      <c r="B972" s="18"/>
      <c r="C972" s="18"/>
      <c r="D972" s="18"/>
      <c r="E972" s="18"/>
      <c r="F972" s="18"/>
      <c r="G972" s="18"/>
      <c r="H972" s="20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spans="1:25" ht="18.75" x14ac:dyDescent="0.3">
      <c r="A973" s="22"/>
      <c r="B973" s="18"/>
      <c r="C973" s="18"/>
      <c r="D973" s="18"/>
      <c r="E973" s="18"/>
      <c r="F973" s="18"/>
      <c r="G973" s="18"/>
      <c r="H973" s="20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spans="1:25" ht="18.75" x14ac:dyDescent="0.3">
      <c r="A974" s="22"/>
      <c r="B974" s="18"/>
      <c r="C974" s="18"/>
      <c r="D974" s="18"/>
      <c r="E974" s="18"/>
      <c r="F974" s="18"/>
      <c r="G974" s="18"/>
      <c r="H974" s="20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spans="1:25" ht="18.75" x14ac:dyDescent="0.3">
      <c r="A975" s="22"/>
      <c r="B975" s="18"/>
      <c r="C975" s="18"/>
      <c r="D975" s="18"/>
      <c r="E975" s="18"/>
      <c r="F975" s="18"/>
      <c r="G975" s="18"/>
      <c r="H975" s="20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spans="1:25" ht="18.75" x14ac:dyDescent="0.3">
      <c r="A976" s="22"/>
      <c r="B976" s="18"/>
      <c r="C976" s="18"/>
      <c r="D976" s="18"/>
      <c r="E976" s="18"/>
      <c r="F976" s="18"/>
      <c r="G976" s="18"/>
      <c r="H976" s="20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spans="1:25" ht="18.75" x14ac:dyDescent="0.3">
      <c r="A977" s="22"/>
      <c r="B977" s="18"/>
      <c r="C977" s="18"/>
      <c r="D977" s="18"/>
      <c r="E977" s="18"/>
      <c r="F977" s="18"/>
      <c r="G977" s="18"/>
      <c r="H977" s="20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spans="1:25" ht="18.75" x14ac:dyDescent="0.3">
      <c r="A978" s="22"/>
      <c r="B978" s="18"/>
      <c r="C978" s="18"/>
      <c r="D978" s="18"/>
      <c r="E978" s="18"/>
      <c r="F978" s="18"/>
      <c r="G978" s="18"/>
      <c r="H978" s="20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spans="1:25" ht="18.75" x14ac:dyDescent="0.3">
      <c r="A979" s="22"/>
      <c r="B979" s="18"/>
      <c r="C979" s="18"/>
      <c r="D979" s="18"/>
      <c r="E979" s="18"/>
      <c r="F979" s="18"/>
      <c r="G979" s="18"/>
      <c r="H979" s="20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spans="1:25" ht="18.75" x14ac:dyDescent="0.3">
      <c r="A980" s="22"/>
      <c r="B980" s="18"/>
      <c r="C980" s="18"/>
      <c r="D980" s="18"/>
      <c r="E980" s="18"/>
      <c r="F980" s="18"/>
      <c r="G980" s="18"/>
      <c r="H980" s="20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spans="1:25" ht="18.75" x14ac:dyDescent="0.3">
      <c r="A981" s="22"/>
      <c r="B981" s="18"/>
      <c r="C981" s="18"/>
      <c r="D981" s="18"/>
      <c r="E981" s="18"/>
      <c r="F981" s="18"/>
      <c r="G981" s="18"/>
      <c r="H981" s="20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spans="1:25" ht="18.75" x14ac:dyDescent="0.3">
      <c r="A982" s="22"/>
      <c r="B982" s="18"/>
      <c r="C982" s="18"/>
      <c r="D982" s="18"/>
      <c r="E982" s="18"/>
      <c r="F982" s="18"/>
      <c r="G982" s="18"/>
      <c r="H982" s="20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spans="1:25" ht="18.75" x14ac:dyDescent="0.3">
      <c r="A983" s="22"/>
      <c r="B983" s="18"/>
      <c r="C983" s="18"/>
      <c r="D983" s="18"/>
      <c r="E983" s="18"/>
      <c r="F983" s="18"/>
      <c r="G983" s="18"/>
      <c r="H983" s="20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spans="1:25" ht="18.75" x14ac:dyDescent="0.3">
      <c r="A984" s="22"/>
      <c r="B984" s="18"/>
      <c r="C984" s="18"/>
      <c r="D984" s="18"/>
      <c r="E984" s="18"/>
      <c r="F984" s="18"/>
      <c r="G984" s="18"/>
      <c r="H984" s="20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spans="1:25" ht="18.75" x14ac:dyDescent="0.3">
      <c r="A985" s="22"/>
      <c r="B985" s="18"/>
      <c r="C985" s="18"/>
      <c r="D985" s="18"/>
      <c r="E985" s="18"/>
      <c r="F985" s="18"/>
      <c r="G985" s="18"/>
      <c r="H985" s="20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spans="1:25" ht="18.75" x14ac:dyDescent="0.3">
      <c r="A986" s="22"/>
      <c r="B986" s="18"/>
      <c r="C986" s="18"/>
      <c r="D986" s="18"/>
      <c r="E986" s="18"/>
      <c r="F986" s="18"/>
      <c r="G986" s="18"/>
      <c r="H986" s="20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spans="1:25" ht="18.75" x14ac:dyDescent="0.3">
      <c r="A987" s="22"/>
      <c r="B987" s="18"/>
      <c r="C987" s="18"/>
      <c r="D987" s="18"/>
      <c r="E987" s="18"/>
      <c r="F987" s="18"/>
      <c r="G987" s="18"/>
      <c r="H987" s="20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spans="1:25" ht="18.75" x14ac:dyDescent="0.3">
      <c r="A988" s="22"/>
      <c r="B988" s="18"/>
      <c r="C988" s="18"/>
      <c r="D988" s="18"/>
      <c r="E988" s="18"/>
      <c r="F988" s="18"/>
      <c r="G988" s="18"/>
      <c r="H988" s="20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spans="1:25" ht="18.75" x14ac:dyDescent="0.3">
      <c r="A989" s="22"/>
      <c r="B989" s="18"/>
      <c r="C989" s="18"/>
      <c r="D989" s="18"/>
      <c r="E989" s="18"/>
      <c r="F989" s="18"/>
      <c r="G989" s="18"/>
      <c r="H989" s="20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spans="1:25" ht="18.75" x14ac:dyDescent="0.3">
      <c r="A990" s="22"/>
      <c r="B990" s="18"/>
      <c r="C990" s="18"/>
      <c r="D990" s="18"/>
      <c r="E990" s="18"/>
      <c r="F990" s="18"/>
      <c r="G990" s="18"/>
      <c r="H990" s="20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spans="1:25" ht="18.75" x14ac:dyDescent="0.3">
      <c r="A991" s="22"/>
      <c r="B991" s="18"/>
      <c r="C991" s="18"/>
      <c r="D991" s="18"/>
      <c r="E991" s="18"/>
      <c r="F991" s="18"/>
      <c r="G991" s="18"/>
      <c r="H991" s="20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spans="1:25" ht="18.75" x14ac:dyDescent="0.3">
      <c r="A992" s="22"/>
      <c r="B992" s="18"/>
      <c r="C992" s="18"/>
      <c r="D992" s="18"/>
      <c r="E992" s="18"/>
      <c r="F992" s="18"/>
      <c r="G992" s="18"/>
      <c r="H992" s="20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spans="1:25" ht="18.75" x14ac:dyDescent="0.3">
      <c r="A993" s="22"/>
      <c r="B993" s="18"/>
      <c r="C993" s="18"/>
      <c r="D993" s="18"/>
      <c r="E993" s="18"/>
      <c r="F993" s="18"/>
      <c r="G993" s="18"/>
      <c r="H993" s="20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spans="1:25" ht="18.75" x14ac:dyDescent="0.3">
      <c r="A994" s="22"/>
      <c r="B994" s="18"/>
      <c r="C994" s="18"/>
      <c r="D994" s="18"/>
      <c r="E994" s="18"/>
      <c r="F994" s="18"/>
      <c r="G994" s="18"/>
      <c r="H994" s="20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spans="1:25" ht="18.75" x14ac:dyDescent="0.3">
      <c r="A995" s="22"/>
      <c r="B995" s="18"/>
      <c r="C995" s="18"/>
      <c r="D995" s="18"/>
      <c r="E995" s="18"/>
      <c r="F995" s="18"/>
      <c r="G995" s="18"/>
      <c r="H995" s="20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spans="1:25" ht="18.75" x14ac:dyDescent="0.3">
      <c r="A996" s="22"/>
      <c r="B996" s="18"/>
      <c r="C996" s="18"/>
      <c r="D996" s="18"/>
      <c r="E996" s="18"/>
      <c r="F996" s="18"/>
      <c r="G996" s="18"/>
      <c r="H996" s="20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spans="1:25" ht="18.75" x14ac:dyDescent="0.3">
      <c r="A997" s="22"/>
      <c r="B997" s="18"/>
      <c r="C997" s="18"/>
      <c r="D997" s="18"/>
      <c r="E997" s="18"/>
      <c r="F997" s="18"/>
      <c r="G997" s="18"/>
      <c r="H997" s="20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spans="1:25" ht="18.75" x14ac:dyDescent="0.3">
      <c r="A998" s="22"/>
      <c r="B998" s="18"/>
      <c r="C998" s="18"/>
      <c r="D998" s="18"/>
      <c r="E998" s="18"/>
      <c r="F998" s="18"/>
      <c r="G998" s="18"/>
      <c r="H998" s="20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 spans="1:25" ht="18.75" x14ac:dyDescent="0.3">
      <c r="A999" s="22"/>
      <c r="B999" s="18"/>
      <c r="C999" s="18"/>
      <c r="D999" s="18"/>
      <c r="E999" s="18"/>
      <c r="F999" s="18"/>
      <c r="G999" s="18"/>
      <c r="H999" s="20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 spans="1:25" ht="18.75" x14ac:dyDescent="0.3">
      <c r="A1000" s="22"/>
      <c r="B1000" s="18"/>
      <c r="C1000" s="18"/>
      <c r="D1000" s="18"/>
      <c r="E1000" s="18"/>
      <c r="F1000" s="18"/>
      <c r="G1000" s="18"/>
      <c r="H1000" s="20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  <row r="1001" spans="1:25" ht="18.75" x14ac:dyDescent="0.3">
      <c r="A1001" s="22"/>
      <c r="B1001" s="18"/>
      <c r="C1001" s="18"/>
      <c r="D1001" s="18"/>
      <c r="E1001" s="18"/>
      <c r="F1001" s="18"/>
      <c r="G1001" s="18"/>
      <c r="H1001" s="20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</row>
  </sheetData>
  <sortState xmlns:xlrd2="http://schemas.microsoft.com/office/spreadsheetml/2017/richdata2" ref="A4:G127">
    <sortCondition descending="1" ref="F4:F127"/>
  </sortState>
  <mergeCells count="2">
    <mergeCell ref="A1:G1"/>
    <mergeCell ref="A2:A3"/>
  </mergeCells>
  <pageMargins left="0.7" right="0.7" top="0.75" bottom="0.75" header="0.3" footer="0.3"/>
  <pageSetup paperSize="9" scale="70" fitToHeight="4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45727-945D-AF43-A00F-35D2663C2B94}">
  <dimension ref="A1:Y1001"/>
  <sheetViews>
    <sheetView topLeftCell="A62" workbookViewId="0">
      <selection activeCell="B80" sqref="B80"/>
    </sheetView>
  </sheetViews>
  <sheetFormatPr defaultColWidth="12.7109375" defaultRowHeight="18.75" x14ac:dyDescent="0.3"/>
  <cols>
    <col min="1" max="1" width="12" style="50" customWidth="1"/>
    <col min="2" max="2" width="25.140625" style="5" customWidth="1"/>
    <col min="3" max="3" width="20.140625" style="5" customWidth="1"/>
    <col min="4" max="4" width="18.42578125" style="5" customWidth="1"/>
    <col min="5" max="5" width="22.85546875" style="5" customWidth="1"/>
    <col min="6" max="7" width="18.42578125" style="5" customWidth="1"/>
    <col min="8" max="8" width="17.28515625" style="41" customWidth="1"/>
    <col min="9" max="16384" width="12.7109375" style="4"/>
  </cols>
  <sheetData>
    <row r="1" spans="1:25" s="11" customFormat="1" ht="35.1" customHeight="1" x14ac:dyDescent="0.2">
      <c r="A1" s="132" t="s">
        <v>209</v>
      </c>
      <c r="B1" s="132"/>
      <c r="C1" s="132"/>
      <c r="D1" s="132"/>
      <c r="E1" s="132"/>
      <c r="F1" s="132"/>
      <c r="G1" s="132"/>
      <c r="H1" s="8"/>
    </row>
    <row r="2" spans="1:25" s="10" customFormat="1" ht="60" customHeight="1" x14ac:dyDescent="0.2">
      <c r="A2" s="133" t="s">
        <v>129</v>
      </c>
      <c r="B2" s="6" t="s">
        <v>151</v>
      </c>
      <c r="C2" s="1" t="s">
        <v>152</v>
      </c>
      <c r="D2" s="1" t="s">
        <v>210</v>
      </c>
      <c r="E2" s="1" t="s">
        <v>211</v>
      </c>
      <c r="F2" s="12" t="s">
        <v>156</v>
      </c>
      <c r="G2" s="1" t="s">
        <v>205</v>
      </c>
      <c r="H2" s="48" t="s">
        <v>207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ht="27.95" customHeight="1" x14ac:dyDescent="0.3">
      <c r="A3" s="134"/>
      <c r="B3" s="49" t="s">
        <v>127</v>
      </c>
      <c r="C3" s="14"/>
      <c r="D3" s="14"/>
      <c r="E3" s="14"/>
      <c r="F3" s="15" t="e">
        <f t="shared" ref="F3:F34" si="0">E3/D3</f>
        <v>#DIV/0!</v>
      </c>
      <c r="G3" s="16">
        <v>0.8</v>
      </c>
      <c r="H3" s="17" t="e">
        <f t="shared" ref="H3" si="1">F3/G3</f>
        <v>#DIV/0!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21" customHeight="1" x14ac:dyDescent="0.3">
      <c r="A4" s="21" cm="1">
        <f t="array" ref="A4">1+COUNT(_xlfn.UNIQUE(_xlfn._xlws.FILTER($H$4:$H$127, $H$4:$H$127 &gt; H4)))</f>
        <v>1</v>
      </c>
      <c r="B4" s="2" t="s">
        <v>24</v>
      </c>
      <c r="C4" s="2"/>
      <c r="D4" s="2"/>
      <c r="E4" s="2"/>
      <c r="F4" s="15" t="e">
        <f t="shared" si="0"/>
        <v>#DIV/0!</v>
      </c>
      <c r="G4" s="19">
        <v>0.85</v>
      </c>
      <c r="H4" s="17" t="e">
        <f t="shared" ref="H4:H35" si="2">F4/G4</f>
        <v>#DIV/0!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21" customHeight="1" x14ac:dyDescent="0.3">
      <c r="A5" s="21" cm="1">
        <f t="array" ref="A5">1+COUNT(_xlfn.UNIQUE(_xlfn._xlws.FILTER($F$4:$F$127, $F$4:$F$127 &gt; F5)))</f>
        <v>1</v>
      </c>
      <c r="B5" s="2" t="s">
        <v>17</v>
      </c>
      <c r="C5" s="2"/>
      <c r="D5" s="2"/>
      <c r="E5" s="2"/>
      <c r="F5" s="15" t="e">
        <f t="shared" si="0"/>
        <v>#DIV/0!</v>
      </c>
      <c r="G5" s="19">
        <v>0.85</v>
      </c>
      <c r="H5" s="17" t="e">
        <f t="shared" si="2"/>
        <v>#DIV/0!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ht="21" customHeight="1" x14ac:dyDescent="0.3">
      <c r="A6" s="21" cm="1">
        <f t="array" ref="A6">1+COUNT(_xlfn.UNIQUE(_xlfn._xlws.FILTER($F$4:$F$127, $F$4:$F$127 &gt; F6)))</f>
        <v>1</v>
      </c>
      <c r="B6" s="2" t="s">
        <v>5</v>
      </c>
      <c r="C6" s="2"/>
      <c r="D6" s="2"/>
      <c r="E6" s="2"/>
      <c r="F6" s="15" t="e">
        <f t="shared" si="0"/>
        <v>#DIV/0!</v>
      </c>
      <c r="G6" s="19">
        <v>0.85</v>
      </c>
      <c r="H6" s="17" t="e">
        <f t="shared" si="2"/>
        <v>#DIV/0!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ht="21" customHeight="1" x14ac:dyDescent="0.3">
      <c r="A7" s="21" cm="1">
        <f t="array" ref="A7">1+COUNT(_xlfn.UNIQUE(_xlfn._xlws.FILTER($F$4:$F$127, $F$4:$F$127 &gt; F7)))</f>
        <v>1</v>
      </c>
      <c r="B7" s="2" t="s">
        <v>2</v>
      </c>
      <c r="C7" s="2"/>
      <c r="D7" s="2"/>
      <c r="E7" s="2"/>
      <c r="F7" s="15" t="e">
        <f t="shared" si="0"/>
        <v>#DIV/0!</v>
      </c>
      <c r="G7" s="19">
        <v>0.85</v>
      </c>
      <c r="H7" s="17" t="e">
        <f t="shared" si="2"/>
        <v>#DIV/0!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ht="21" customHeight="1" x14ac:dyDescent="0.3">
      <c r="A8" s="21" cm="1">
        <f t="array" ref="A8">1+COUNT(_xlfn.UNIQUE(_xlfn._xlws.FILTER($F$4:$F$127, $F$4:$F$127 &gt; F8)))</f>
        <v>1</v>
      </c>
      <c r="B8" s="2" t="s">
        <v>11</v>
      </c>
      <c r="C8" s="2"/>
      <c r="D8" s="2"/>
      <c r="E8" s="2"/>
      <c r="F8" s="15" t="e">
        <f t="shared" si="0"/>
        <v>#DIV/0!</v>
      </c>
      <c r="G8" s="19">
        <v>0.85</v>
      </c>
      <c r="H8" s="17" t="e">
        <f t="shared" si="2"/>
        <v>#DIV/0!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ht="21" customHeight="1" x14ac:dyDescent="0.3">
      <c r="A9" s="21" cm="1">
        <f t="array" ref="A9">1+COUNT(_xlfn.UNIQUE(_xlfn._xlws.FILTER($F$4:$F$127, $F$4:$F$127 &gt; F9)))</f>
        <v>1</v>
      </c>
      <c r="B9" s="2" t="s">
        <v>59</v>
      </c>
      <c r="C9" s="2"/>
      <c r="D9" s="2"/>
      <c r="E9" s="2"/>
      <c r="F9" s="15" t="e">
        <f t="shared" si="0"/>
        <v>#DIV/0!</v>
      </c>
      <c r="G9" s="19">
        <v>0.85</v>
      </c>
      <c r="H9" s="17" t="e">
        <f t="shared" si="2"/>
        <v>#DIV/0!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ht="21" customHeight="1" x14ac:dyDescent="0.3">
      <c r="A10" s="21" cm="1">
        <f t="array" ref="A10">1+COUNT(_xlfn.UNIQUE(_xlfn._xlws.FILTER($F$4:$F$127, $F$4:$F$127 &gt; F10)))</f>
        <v>1</v>
      </c>
      <c r="B10" s="2" t="s">
        <v>37</v>
      </c>
      <c r="C10" s="2"/>
      <c r="D10" s="2"/>
      <c r="E10" s="2"/>
      <c r="F10" s="15" t="e">
        <f t="shared" si="0"/>
        <v>#DIV/0!</v>
      </c>
      <c r="G10" s="19">
        <v>0.85</v>
      </c>
      <c r="H10" s="17" t="e">
        <f t="shared" si="2"/>
        <v>#DIV/0!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ht="21" customHeight="1" x14ac:dyDescent="0.3">
      <c r="A11" s="21" cm="1">
        <f t="array" ref="A11">1+COUNT(_xlfn.UNIQUE(_xlfn._xlws.FILTER($F$4:$F$127, $F$4:$F$127 &gt; F11)))</f>
        <v>1</v>
      </c>
      <c r="B11" s="2" t="s">
        <v>15</v>
      </c>
      <c r="C11" s="2"/>
      <c r="D11" s="2"/>
      <c r="E11" s="2"/>
      <c r="F11" s="15" t="e">
        <f t="shared" si="0"/>
        <v>#DIV/0!</v>
      </c>
      <c r="G11" s="19">
        <v>0.82</v>
      </c>
      <c r="H11" s="17" t="e">
        <f t="shared" si="2"/>
        <v>#DIV/0!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21" customHeight="1" x14ac:dyDescent="0.3">
      <c r="A12" s="21" cm="1">
        <f t="array" ref="A12">1+COUNT(_xlfn.UNIQUE(_xlfn._xlws.FILTER($F$4:$F$127, $F$4:$F$127 &gt; F12)))</f>
        <v>1</v>
      </c>
      <c r="B12" s="2" t="s">
        <v>50</v>
      </c>
      <c r="C12" s="2"/>
      <c r="D12" s="2"/>
      <c r="E12" s="2"/>
      <c r="F12" s="15" t="e">
        <f t="shared" si="0"/>
        <v>#DIV/0!</v>
      </c>
      <c r="G12" s="19">
        <v>0.82</v>
      </c>
      <c r="H12" s="17" t="e">
        <f t="shared" si="2"/>
        <v>#DIV/0!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21" customHeight="1" x14ac:dyDescent="0.3">
      <c r="A13" s="21" cm="1">
        <f t="array" ref="A13">1+COUNT(_xlfn.UNIQUE(_xlfn._xlws.FILTER($F$4:$F$127, $F$4:$F$127 &gt; F13)))</f>
        <v>1</v>
      </c>
      <c r="B13" s="2" t="s">
        <v>57</v>
      </c>
      <c r="C13" s="2"/>
      <c r="D13" s="2"/>
      <c r="E13" s="2"/>
      <c r="F13" s="15" t="e">
        <f t="shared" si="0"/>
        <v>#DIV/0!</v>
      </c>
      <c r="G13" s="19">
        <v>0.8</v>
      </c>
      <c r="H13" s="17" t="e">
        <f t="shared" si="2"/>
        <v>#DIV/0!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21" customHeight="1" x14ac:dyDescent="0.3">
      <c r="A14" s="21" cm="1">
        <f t="array" ref="A14">1+COUNT(_xlfn.UNIQUE(_xlfn._xlws.FILTER($F$4:$F$127, $F$4:$F$127 &gt; F14)))</f>
        <v>1</v>
      </c>
      <c r="B14" s="2" t="s">
        <v>94</v>
      </c>
      <c r="C14" s="2"/>
      <c r="D14" s="2"/>
      <c r="E14" s="2"/>
      <c r="F14" s="15" t="e">
        <f t="shared" si="0"/>
        <v>#DIV/0!</v>
      </c>
      <c r="G14" s="19">
        <v>0.8</v>
      </c>
      <c r="H14" s="17" t="e">
        <f t="shared" si="2"/>
        <v>#DIV/0!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21" customHeight="1" x14ac:dyDescent="0.3">
      <c r="A15" s="21" cm="1">
        <f t="array" ref="A15">1+COUNT(_xlfn.UNIQUE(_xlfn._xlws.FILTER($F$4:$F$127, $F$4:$F$127 &gt; F15)))</f>
        <v>1</v>
      </c>
      <c r="B15" s="2" t="s">
        <v>40</v>
      </c>
      <c r="C15" s="2"/>
      <c r="D15" s="2"/>
      <c r="E15" s="2"/>
      <c r="F15" s="15" t="e">
        <f t="shared" si="0"/>
        <v>#DIV/0!</v>
      </c>
      <c r="G15" s="19">
        <v>0.8</v>
      </c>
      <c r="H15" s="17" t="e">
        <f t="shared" si="2"/>
        <v>#DIV/0!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21" customHeight="1" x14ac:dyDescent="0.3">
      <c r="A16" s="21" cm="1">
        <f t="array" ref="A16">1+COUNT(_xlfn.UNIQUE(_xlfn._xlws.FILTER($F$4:$F$127, $F$4:$F$127 &gt; F16)))</f>
        <v>1</v>
      </c>
      <c r="B16" s="2" t="s">
        <v>111</v>
      </c>
      <c r="C16" s="2"/>
      <c r="D16" s="2"/>
      <c r="E16" s="2"/>
      <c r="F16" s="15" t="e">
        <f t="shared" si="0"/>
        <v>#DIV/0!</v>
      </c>
      <c r="G16" s="19">
        <v>0.8</v>
      </c>
      <c r="H16" s="17" t="e">
        <f t="shared" si="2"/>
        <v>#DIV/0!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21" customHeight="1" x14ac:dyDescent="0.3">
      <c r="A17" s="21" cm="1">
        <f t="array" ref="A17">1+COUNT(_xlfn.UNIQUE(_xlfn._xlws.FILTER($F$4:$F$127, $F$4:$F$127 &gt; F17)))</f>
        <v>1</v>
      </c>
      <c r="B17" s="2" t="s">
        <v>87</v>
      </c>
      <c r="C17" s="2"/>
      <c r="D17" s="2"/>
      <c r="E17" s="2"/>
      <c r="F17" s="15" t="e">
        <f t="shared" si="0"/>
        <v>#DIV/0!</v>
      </c>
      <c r="G17" s="19">
        <v>0.8</v>
      </c>
      <c r="H17" s="17" t="e">
        <f t="shared" si="2"/>
        <v>#DIV/0!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21" customHeight="1" x14ac:dyDescent="0.3">
      <c r="A18" s="21" cm="1">
        <f t="array" ref="A18">1+COUNT(_xlfn.UNIQUE(_xlfn._xlws.FILTER($F$4:$F$127, $F$4:$F$127 &gt; F18)))</f>
        <v>1</v>
      </c>
      <c r="B18" s="2" t="s">
        <v>77</v>
      </c>
      <c r="C18" s="2"/>
      <c r="D18" s="2"/>
      <c r="E18" s="2"/>
      <c r="F18" s="15" t="e">
        <f t="shared" si="0"/>
        <v>#DIV/0!</v>
      </c>
      <c r="G18" s="19">
        <v>0.8</v>
      </c>
      <c r="H18" s="17" t="e">
        <f t="shared" si="2"/>
        <v>#DIV/0!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21" customHeight="1" x14ac:dyDescent="0.3">
      <c r="A19" s="21" cm="1">
        <f t="array" ref="A19">1+COUNT(_xlfn.UNIQUE(_xlfn._xlws.FILTER($F$4:$F$127, $F$4:$F$127 &gt; F19)))</f>
        <v>1</v>
      </c>
      <c r="B19" s="2" t="s">
        <v>46</v>
      </c>
      <c r="C19" s="2"/>
      <c r="D19" s="2"/>
      <c r="E19" s="2"/>
      <c r="F19" s="15" t="e">
        <f t="shared" si="0"/>
        <v>#DIV/0!</v>
      </c>
      <c r="G19" s="19">
        <v>0.8</v>
      </c>
      <c r="H19" s="17" t="e">
        <f t="shared" si="2"/>
        <v>#DIV/0!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ht="21" customHeight="1" x14ac:dyDescent="0.3">
      <c r="A20" s="21" cm="1">
        <f t="array" ref="A20">1+COUNT(_xlfn.UNIQUE(_xlfn._xlws.FILTER($F$4:$F$127, $F$4:$F$127 &gt; F20)))</f>
        <v>1</v>
      </c>
      <c r="B20" s="2" t="s">
        <v>64</v>
      </c>
      <c r="C20" s="2"/>
      <c r="D20" s="2"/>
      <c r="E20" s="2"/>
      <c r="F20" s="15" t="e">
        <f t="shared" si="0"/>
        <v>#DIV/0!</v>
      </c>
      <c r="G20" s="19">
        <v>0.8</v>
      </c>
      <c r="H20" s="17" t="e">
        <f t="shared" si="2"/>
        <v>#DIV/0!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ht="21" customHeight="1" x14ac:dyDescent="0.3">
      <c r="A21" s="21" cm="1">
        <f t="array" ref="A21">1+COUNT(_xlfn.UNIQUE(_xlfn._xlws.FILTER($F$4:$F$127, $F$4:$F$127 &gt; F21)))</f>
        <v>1</v>
      </c>
      <c r="B21" s="2" t="s">
        <v>27</v>
      </c>
      <c r="C21" s="2"/>
      <c r="D21" s="2"/>
      <c r="E21" s="2"/>
      <c r="F21" s="15" t="e">
        <f t="shared" si="0"/>
        <v>#DIV/0!</v>
      </c>
      <c r="G21" s="19">
        <v>0.8</v>
      </c>
      <c r="H21" s="17" t="e">
        <f t="shared" si="2"/>
        <v>#DIV/0!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ht="21" customHeight="1" x14ac:dyDescent="0.3">
      <c r="A22" s="21" cm="1">
        <f t="array" ref="A22">1+COUNT(_xlfn.UNIQUE(_xlfn._xlws.FILTER($F$4:$F$127, $F$4:$F$127 &gt; F22)))</f>
        <v>1</v>
      </c>
      <c r="B22" s="2" t="s">
        <v>110</v>
      </c>
      <c r="C22" s="2"/>
      <c r="D22" s="2"/>
      <c r="E22" s="2"/>
      <c r="F22" s="15" t="e">
        <f t="shared" si="0"/>
        <v>#DIV/0!</v>
      </c>
      <c r="G22" s="19">
        <v>0.8</v>
      </c>
      <c r="H22" s="17" t="e">
        <f t="shared" si="2"/>
        <v>#DIV/0!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21" customHeight="1" x14ac:dyDescent="0.3">
      <c r="A23" s="21" cm="1">
        <f t="array" ref="A23">1+COUNT(_xlfn.UNIQUE(_xlfn._xlws.FILTER($F$4:$F$127, $F$4:$F$127 &gt; F23)))</f>
        <v>1</v>
      </c>
      <c r="B23" s="2" t="s">
        <v>92</v>
      </c>
      <c r="C23" s="2"/>
      <c r="D23" s="2"/>
      <c r="E23" s="2"/>
      <c r="F23" s="15" t="e">
        <f t="shared" si="0"/>
        <v>#DIV/0!</v>
      </c>
      <c r="G23" s="19">
        <v>0.8</v>
      </c>
      <c r="H23" s="17" t="e">
        <f t="shared" si="2"/>
        <v>#DIV/0!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21" customHeight="1" x14ac:dyDescent="0.3">
      <c r="A24" s="21" cm="1">
        <f t="array" ref="A24">1+COUNT(_xlfn.UNIQUE(_xlfn._xlws.FILTER($F$4:$F$127, $F$4:$F$127 &gt; F24)))</f>
        <v>1</v>
      </c>
      <c r="B24" s="2" t="s">
        <v>22</v>
      </c>
      <c r="C24" s="2"/>
      <c r="D24" s="2"/>
      <c r="E24" s="2"/>
      <c r="F24" s="15" t="e">
        <f t="shared" si="0"/>
        <v>#DIV/0!</v>
      </c>
      <c r="G24" s="19">
        <v>0.82</v>
      </c>
      <c r="H24" s="17" t="e">
        <f t="shared" si="2"/>
        <v>#DIV/0!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21" customHeight="1" x14ac:dyDescent="0.3">
      <c r="A25" s="21" cm="1">
        <f t="array" ref="A25">1+COUNT(_xlfn.UNIQUE(_xlfn._xlws.FILTER($F$4:$F$127, $F$4:$F$127 &gt; F25)))</f>
        <v>1</v>
      </c>
      <c r="B25" s="2" t="s">
        <v>70</v>
      </c>
      <c r="C25" s="2"/>
      <c r="D25" s="2"/>
      <c r="E25" s="2"/>
      <c r="F25" s="15" t="e">
        <f t="shared" si="0"/>
        <v>#DIV/0!</v>
      </c>
      <c r="G25" s="19">
        <v>0.8</v>
      </c>
      <c r="H25" s="17" t="e">
        <f t="shared" si="2"/>
        <v>#DIV/0!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21" customHeight="1" x14ac:dyDescent="0.3">
      <c r="A26" s="21" cm="1">
        <f t="array" ref="A26">1+COUNT(_xlfn.UNIQUE(_xlfn._xlws.FILTER($F$4:$F$127, $F$4:$F$127 &gt; F26)))</f>
        <v>1</v>
      </c>
      <c r="B26" s="2" t="s">
        <v>116</v>
      </c>
      <c r="C26" s="2"/>
      <c r="D26" s="2"/>
      <c r="E26" s="2"/>
      <c r="F26" s="15" t="e">
        <f t="shared" si="0"/>
        <v>#DIV/0!</v>
      </c>
      <c r="G26" s="19">
        <v>0.8</v>
      </c>
      <c r="H26" s="17" t="e">
        <f t="shared" si="2"/>
        <v>#DIV/0!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ht="21" customHeight="1" x14ac:dyDescent="0.3">
      <c r="A27" s="21" cm="1">
        <f t="array" ref="A27">1+COUNT(_xlfn.UNIQUE(_xlfn._xlws.FILTER($F$4:$F$127, $F$4:$F$127 &gt; F27)))</f>
        <v>1</v>
      </c>
      <c r="B27" s="2" t="s">
        <v>4</v>
      </c>
      <c r="C27" s="2"/>
      <c r="D27" s="2"/>
      <c r="E27" s="2"/>
      <c r="F27" s="15" t="e">
        <f t="shared" si="0"/>
        <v>#DIV/0!</v>
      </c>
      <c r="G27" s="19">
        <v>0.8</v>
      </c>
      <c r="H27" s="17" t="e">
        <f t="shared" si="2"/>
        <v>#DIV/0!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ht="21" customHeight="1" x14ac:dyDescent="0.3">
      <c r="A28" s="21" cm="1">
        <f t="array" ref="A28">1+COUNT(_xlfn.UNIQUE(_xlfn._xlws.FILTER($F$4:$F$127, $F$4:$F$127 &gt; F28)))</f>
        <v>1</v>
      </c>
      <c r="B28" s="2" t="s">
        <v>58</v>
      </c>
      <c r="C28" s="2"/>
      <c r="D28" s="2"/>
      <c r="E28" s="2"/>
      <c r="F28" s="15" t="e">
        <f t="shared" si="0"/>
        <v>#DIV/0!</v>
      </c>
      <c r="G28" s="19">
        <v>0.82</v>
      </c>
      <c r="H28" s="17" t="e">
        <f t="shared" si="2"/>
        <v>#DIV/0!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21" customHeight="1" x14ac:dyDescent="0.3">
      <c r="A29" s="21" cm="1">
        <f t="array" ref="A29">1+COUNT(_xlfn.UNIQUE(_xlfn._xlws.FILTER($F$4:$F$127, $F$4:$F$127 &gt; F29)))</f>
        <v>1</v>
      </c>
      <c r="B29" s="2" t="s">
        <v>36</v>
      </c>
      <c r="C29" s="2"/>
      <c r="D29" s="2"/>
      <c r="E29" s="2"/>
      <c r="F29" s="15" t="e">
        <f t="shared" si="0"/>
        <v>#DIV/0!</v>
      </c>
      <c r="G29" s="19">
        <v>0.8</v>
      </c>
      <c r="H29" s="17" t="e">
        <f t="shared" si="2"/>
        <v>#DIV/0!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ht="21" customHeight="1" x14ac:dyDescent="0.3">
      <c r="A30" s="21" cm="1">
        <f t="array" ref="A30">1+COUNT(_xlfn.UNIQUE(_xlfn._xlws.FILTER($F$4:$F$127, $F$4:$F$127 &gt; F30)))</f>
        <v>1</v>
      </c>
      <c r="B30" s="2" t="s">
        <v>78</v>
      </c>
      <c r="C30" s="2"/>
      <c r="D30" s="2"/>
      <c r="E30" s="2"/>
      <c r="F30" s="15" t="e">
        <f t="shared" si="0"/>
        <v>#DIV/0!</v>
      </c>
      <c r="G30" s="19">
        <v>0.8</v>
      </c>
      <c r="H30" s="17" t="e">
        <f t="shared" si="2"/>
        <v>#DIV/0!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ht="21" customHeight="1" x14ac:dyDescent="0.3">
      <c r="A31" s="21" cm="1">
        <f t="array" ref="A31">1+COUNT(_xlfn.UNIQUE(_xlfn._xlws.FILTER($F$4:$F$127, $F$4:$F$127 &gt; F31)))</f>
        <v>1</v>
      </c>
      <c r="B31" s="2" t="s">
        <v>119</v>
      </c>
      <c r="C31" s="2"/>
      <c r="D31" s="2"/>
      <c r="E31" s="2"/>
      <c r="F31" s="15" t="e">
        <f t="shared" si="0"/>
        <v>#DIV/0!</v>
      </c>
      <c r="G31" s="19">
        <v>0.8</v>
      </c>
      <c r="H31" s="17" t="e">
        <f t="shared" si="2"/>
        <v>#DIV/0!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ht="21" customHeight="1" x14ac:dyDescent="0.3">
      <c r="A32" s="21" cm="1">
        <f t="array" ref="A32">1+COUNT(_xlfn.UNIQUE(_xlfn._xlws.FILTER($F$4:$F$127, $F$4:$F$127 &gt; F32)))</f>
        <v>1</v>
      </c>
      <c r="B32" s="2" t="s">
        <v>68</v>
      </c>
      <c r="C32" s="2"/>
      <c r="D32" s="2"/>
      <c r="E32" s="2"/>
      <c r="F32" s="15" t="e">
        <f t="shared" si="0"/>
        <v>#DIV/0!</v>
      </c>
      <c r="G32" s="19">
        <v>0.8</v>
      </c>
      <c r="H32" s="17" t="e">
        <f t="shared" si="2"/>
        <v>#DIV/0!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ht="21" customHeight="1" x14ac:dyDescent="0.3">
      <c r="A33" s="21" cm="1">
        <f t="array" ref="A33">1+COUNT(_xlfn.UNIQUE(_xlfn._xlws.FILTER($F$4:$F$127, $F$4:$F$127 &gt; F33)))</f>
        <v>1</v>
      </c>
      <c r="B33" s="2" t="s">
        <v>0</v>
      </c>
      <c r="C33" s="2"/>
      <c r="D33" s="2"/>
      <c r="E33" s="2"/>
      <c r="F33" s="15" t="e">
        <f t="shared" si="0"/>
        <v>#DIV/0!</v>
      </c>
      <c r="G33" s="19">
        <v>0.8</v>
      </c>
      <c r="H33" s="17" t="e">
        <f t="shared" si="2"/>
        <v>#DIV/0!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21" customHeight="1" x14ac:dyDescent="0.3">
      <c r="A34" s="21" cm="1">
        <f t="array" ref="A34">1+COUNT(_xlfn.UNIQUE(_xlfn._xlws.FILTER($F$4:$F$127, $F$4:$F$127 &gt; F34)))</f>
        <v>1</v>
      </c>
      <c r="B34" s="2" t="s">
        <v>21</v>
      </c>
      <c r="C34" s="2"/>
      <c r="D34" s="2"/>
      <c r="E34" s="2"/>
      <c r="F34" s="15" t="e">
        <f t="shared" si="0"/>
        <v>#DIV/0!</v>
      </c>
      <c r="G34" s="19">
        <v>0.82</v>
      </c>
      <c r="H34" s="17" t="e">
        <f t="shared" si="2"/>
        <v>#DIV/0!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21" customHeight="1" x14ac:dyDescent="0.3">
      <c r="A35" s="21" cm="1">
        <f t="array" ref="A35">1+COUNT(_xlfn.UNIQUE(_xlfn._xlws.FILTER($F$4:$F$127, $F$4:$F$127 &gt; F35)))</f>
        <v>1</v>
      </c>
      <c r="B35" s="2" t="s">
        <v>102</v>
      </c>
      <c r="C35" s="2"/>
      <c r="D35" s="2"/>
      <c r="E35" s="2"/>
      <c r="F35" s="15" t="e">
        <f t="shared" ref="F35:F66" si="3">E35/D35</f>
        <v>#DIV/0!</v>
      </c>
      <c r="G35" s="19">
        <v>0.8</v>
      </c>
      <c r="H35" s="17" t="e">
        <f t="shared" si="2"/>
        <v>#DIV/0!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21" customHeight="1" x14ac:dyDescent="0.3">
      <c r="A36" s="21" cm="1">
        <f t="array" ref="A36">1+COUNT(_xlfn.UNIQUE(_xlfn._xlws.FILTER($F$4:$F$127, $F$4:$F$127 &gt; F36)))</f>
        <v>1</v>
      </c>
      <c r="B36" s="2" t="s">
        <v>29</v>
      </c>
      <c r="C36" s="2"/>
      <c r="D36" s="2"/>
      <c r="E36" s="2"/>
      <c r="F36" s="15" t="e">
        <f t="shared" si="3"/>
        <v>#DIV/0!</v>
      </c>
      <c r="G36" s="19">
        <v>0.8</v>
      </c>
      <c r="H36" s="17" t="e">
        <f t="shared" ref="H36:H67" si="4">F36/G36</f>
        <v>#DIV/0!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ht="21" customHeight="1" x14ac:dyDescent="0.3">
      <c r="A37" s="21" cm="1">
        <f t="array" ref="A37">1+COUNT(_xlfn.UNIQUE(_xlfn._xlws.FILTER($F$4:$F$127, $F$4:$F$127 &gt; F37)))</f>
        <v>1</v>
      </c>
      <c r="B37" s="2" t="s">
        <v>38</v>
      </c>
      <c r="C37" s="2"/>
      <c r="D37" s="2"/>
      <c r="E37" s="2"/>
      <c r="F37" s="15" t="e">
        <f t="shared" si="3"/>
        <v>#DIV/0!</v>
      </c>
      <c r="G37" s="19">
        <v>0.82</v>
      </c>
      <c r="H37" s="17" t="e">
        <f t="shared" si="4"/>
        <v>#DIV/0!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21" customHeight="1" x14ac:dyDescent="0.3">
      <c r="A38" s="21" cm="1">
        <f t="array" ref="A38">1+COUNT(_xlfn.UNIQUE(_xlfn._xlws.FILTER($F$4:$F$127, $F$4:$F$127 &gt; F38)))</f>
        <v>1</v>
      </c>
      <c r="B38" s="2" t="s">
        <v>69</v>
      </c>
      <c r="C38" s="2"/>
      <c r="D38" s="2"/>
      <c r="E38" s="2"/>
      <c r="F38" s="15" t="e">
        <f t="shared" si="3"/>
        <v>#DIV/0!</v>
      </c>
      <c r="G38" s="19">
        <v>0.8</v>
      </c>
      <c r="H38" s="17" t="e">
        <f t="shared" si="4"/>
        <v>#DIV/0!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21" customHeight="1" x14ac:dyDescent="0.3">
      <c r="A39" s="21" cm="1">
        <f t="array" ref="A39">1+COUNT(_xlfn.UNIQUE(_xlfn._xlws.FILTER($F$4:$F$127, $F$4:$F$127 &gt; F39)))</f>
        <v>1</v>
      </c>
      <c r="B39" s="2" t="s">
        <v>93</v>
      </c>
      <c r="C39" s="2"/>
      <c r="D39" s="2"/>
      <c r="E39" s="2"/>
      <c r="F39" s="15" t="e">
        <f t="shared" si="3"/>
        <v>#DIV/0!</v>
      </c>
      <c r="G39" s="19">
        <v>0.8</v>
      </c>
      <c r="H39" s="17" t="e">
        <f t="shared" si="4"/>
        <v>#DIV/0!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21" customHeight="1" x14ac:dyDescent="0.3">
      <c r="A40" s="21" cm="1">
        <f t="array" ref="A40">1+COUNT(_xlfn.UNIQUE(_xlfn._xlws.FILTER($F$4:$F$127, $F$4:$F$127 &gt; F40)))</f>
        <v>1</v>
      </c>
      <c r="B40" s="2" t="s">
        <v>65</v>
      </c>
      <c r="C40" s="2"/>
      <c r="D40" s="2"/>
      <c r="E40" s="2"/>
      <c r="F40" s="15" t="e">
        <f t="shared" si="3"/>
        <v>#DIV/0!</v>
      </c>
      <c r="G40" s="19">
        <v>0.8</v>
      </c>
      <c r="H40" s="17" t="e">
        <f t="shared" si="4"/>
        <v>#DIV/0!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21" customHeight="1" x14ac:dyDescent="0.3">
      <c r="A41" s="21" cm="1">
        <f t="array" ref="A41">1+COUNT(_xlfn.UNIQUE(_xlfn._xlws.FILTER($F$4:$F$127, $F$4:$F$127 &gt; F41)))</f>
        <v>1</v>
      </c>
      <c r="B41" s="2" t="s">
        <v>35</v>
      </c>
      <c r="C41" s="2"/>
      <c r="D41" s="2"/>
      <c r="E41" s="2"/>
      <c r="F41" s="15" t="e">
        <f t="shared" si="3"/>
        <v>#DIV/0!</v>
      </c>
      <c r="G41" s="19">
        <v>0.8</v>
      </c>
      <c r="H41" s="17" t="e">
        <f t="shared" si="4"/>
        <v>#DIV/0!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21" customHeight="1" x14ac:dyDescent="0.3">
      <c r="A42" s="21" cm="1">
        <f t="array" ref="A42">1+COUNT(_xlfn.UNIQUE(_xlfn._xlws.FILTER($F$4:$F$127, $F$4:$F$127 &gt; F42)))</f>
        <v>1</v>
      </c>
      <c r="B42" s="2" t="s">
        <v>39</v>
      </c>
      <c r="C42" s="2"/>
      <c r="D42" s="2"/>
      <c r="E42" s="2"/>
      <c r="F42" s="15" t="e">
        <f t="shared" si="3"/>
        <v>#DIV/0!</v>
      </c>
      <c r="G42" s="19">
        <v>0.8</v>
      </c>
      <c r="H42" s="17" t="e">
        <f t="shared" si="4"/>
        <v>#DIV/0!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21" customHeight="1" x14ac:dyDescent="0.3">
      <c r="A43" s="21" cm="1">
        <f t="array" ref="A43">1+COUNT(_xlfn.UNIQUE(_xlfn._xlws.FILTER($F$4:$F$127, $F$4:$F$127 &gt; F43)))</f>
        <v>1</v>
      </c>
      <c r="B43" s="2" t="s">
        <v>49</v>
      </c>
      <c r="C43" s="2"/>
      <c r="D43" s="2"/>
      <c r="E43" s="2"/>
      <c r="F43" s="15" t="e">
        <f t="shared" si="3"/>
        <v>#DIV/0!</v>
      </c>
      <c r="G43" s="19">
        <v>0.8</v>
      </c>
      <c r="H43" s="17" t="e">
        <f t="shared" si="4"/>
        <v>#DIV/0!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21" customHeight="1" x14ac:dyDescent="0.3">
      <c r="A44" s="21" cm="1">
        <f t="array" ref="A44">1+COUNT(_xlfn.UNIQUE(_xlfn._xlws.FILTER($F$4:$F$127, $F$4:$F$127 &gt; F44)))</f>
        <v>1</v>
      </c>
      <c r="B44" s="2" t="s">
        <v>71</v>
      </c>
      <c r="C44" s="2"/>
      <c r="D44" s="2"/>
      <c r="E44" s="2"/>
      <c r="F44" s="15" t="e">
        <f t="shared" si="3"/>
        <v>#DIV/0!</v>
      </c>
      <c r="G44" s="19">
        <v>0.8</v>
      </c>
      <c r="H44" s="17" t="e">
        <f t="shared" si="4"/>
        <v>#DIV/0!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21" customHeight="1" x14ac:dyDescent="0.3">
      <c r="A45" s="21" cm="1">
        <f t="array" ref="A45">1+COUNT(_xlfn.UNIQUE(_xlfn._xlws.FILTER($F$4:$F$127, $F$4:$F$127 &gt; F45)))</f>
        <v>1</v>
      </c>
      <c r="B45" s="2" t="s">
        <v>3</v>
      </c>
      <c r="C45" s="2"/>
      <c r="D45" s="2"/>
      <c r="E45" s="2"/>
      <c r="F45" s="15" t="e">
        <f t="shared" si="3"/>
        <v>#DIV/0!</v>
      </c>
      <c r="G45" s="19">
        <v>0.8</v>
      </c>
      <c r="H45" s="17" t="e">
        <f t="shared" si="4"/>
        <v>#DIV/0!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21" customHeight="1" x14ac:dyDescent="0.3">
      <c r="A46" s="21" cm="1">
        <f t="array" ref="A46">1+COUNT(_xlfn.UNIQUE(_xlfn._xlws.FILTER($F$4:$F$127, $F$4:$F$127 &gt; F46)))</f>
        <v>1</v>
      </c>
      <c r="B46" s="2" t="s">
        <v>56</v>
      </c>
      <c r="C46" s="2"/>
      <c r="D46" s="2"/>
      <c r="E46" s="2"/>
      <c r="F46" s="15" t="e">
        <f t="shared" si="3"/>
        <v>#DIV/0!</v>
      </c>
      <c r="G46" s="19">
        <v>0.8</v>
      </c>
      <c r="H46" s="17" t="e">
        <f t="shared" si="4"/>
        <v>#DIV/0!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21" customHeight="1" x14ac:dyDescent="0.3">
      <c r="A47" s="21" cm="1">
        <f t="array" ref="A47">1+COUNT(_xlfn.UNIQUE(_xlfn._xlws.FILTER($F$4:$F$127, $F$4:$F$127 &gt; F47)))</f>
        <v>1</v>
      </c>
      <c r="B47" s="2" t="s">
        <v>26</v>
      </c>
      <c r="C47" s="2"/>
      <c r="D47" s="2"/>
      <c r="E47" s="2"/>
      <c r="F47" s="15" t="e">
        <f t="shared" si="3"/>
        <v>#DIV/0!</v>
      </c>
      <c r="G47" s="19">
        <v>0.8</v>
      </c>
      <c r="H47" s="17" t="e">
        <f t="shared" si="4"/>
        <v>#DIV/0!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ht="21" customHeight="1" x14ac:dyDescent="0.3">
      <c r="A48" s="21" cm="1">
        <f t="array" ref="A48">1+COUNT(_xlfn.UNIQUE(_xlfn._xlws.FILTER($F$4:$F$127, $F$4:$F$127 &gt; F48)))</f>
        <v>1</v>
      </c>
      <c r="B48" s="2" t="s">
        <v>33</v>
      </c>
      <c r="C48" s="2"/>
      <c r="D48" s="2"/>
      <c r="E48" s="2"/>
      <c r="F48" s="15" t="e">
        <f t="shared" si="3"/>
        <v>#DIV/0!</v>
      </c>
      <c r="G48" s="19">
        <v>0.82</v>
      </c>
      <c r="H48" s="17" t="e">
        <f t="shared" si="4"/>
        <v>#DIV/0!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21" customHeight="1" x14ac:dyDescent="0.3">
      <c r="A49" s="21" cm="1">
        <f t="array" ref="A49">1+COUNT(_xlfn.UNIQUE(_xlfn._xlws.FILTER($F$4:$F$127, $F$4:$F$127 &gt; F49)))</f>
        <v>1</v>
      </c>
      <c r="B49" s="2" t="s">
        <v>89</v>
      </c>
      <c r="C49" s="2"/>
      <c r="D49" s="2"/>
      <c r="E49" s="2"/>
      <c r="F49" s="15" t="e">
        <f t="shared" si="3"/>
        <v>#DIV/0!</v>
      </c>
      <c r="G49" s="19">
        <v>0.8</v>
      </c>
      <c r="H49" s="17" t="e">
        <f t="shared" si="4"/>
        <v>#DIV/0!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21" customHeight="1" x14ac:dyDescent="0.3">
      <c r="A50" s="21" cm="1">
        <f t="array" ref="A50">1+COUNT(_xlfn.UNIQUE(_xlfn._xlws.FILTER($F$4:$F$127, $F$4:$F$127 &gt; F50)))</f>
        <v>1</v>
      </c>
      <c r="B50" s="2" t="s">
        <v>112</v>
      </c>
      <c r="C50" s="2"/>
      <c r="D50" s="2"/>
      <c r="E50" s="2"/>
      <c r="F50" s="15" t="e">
        <f t="shared" si="3"/>
        <v>#DIV/0!</v>
      </c>
      <c r="G50" s="19">
        <v>0.8</v>
      </c>
      <c r="H50" s="17" t="e">
        <f t="shared" si="4"/>
        <v>#DIV/0!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21" customHeight="1" x14ac:dyDescent="0.3">
      <c r="A51" s="21" cm="1">
        <f t="array" ref="A51">1+COUNT(_xlfn.UNIQUE(_xlfn._xlws.FILTER($F$4:$F$127, $F$4:$F$127 &gt; F51)))</f>
        <v>1</v>
      </c>
      <c r="B51" s="2" t="s">
        <v>123</v>
      </c>
      <c r="C51" s="2"/>
      <c r="D51" s="2"/>
      <c r="E51" s="2"/>
      <c r="F51" s="15" t="e">
        <f t="shared" si="3"/>
        <v>#DIV/0!</v>
      </c>
      <c r="G51" s="19">
        <v>0.8</v>
      </c>
      <c r="H51" s="17" t="e">
        <f t="shared" si="4"/>
        <v>#DIV/0!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21" customHeight="1" x14ac:dyDescent="0.3">
      <c r="A52" s="21" cm="1">
        <f t="array" ref="A52">1+COUNT(_xlfn.UNIQUE(_xlfn._xlws.FILTER($F$4:$F$127, $F$4:$F$127 &gt; F52)))</f>
        <v>1</v>
      </c>
      <c r="B52" s="2" t="s">
        <v>79</v>
      </c>
      <c r="C52" s="2"/>
      <c r="D52" s="2"/>
      <c r="E52" s="2"/>
      <c r="F52" s="15" t="e">
        <f t="shared" si="3"/>
        <v>#DIV/0!</v>
      </c>
      <c r="G52" s="19">
        <v>0.8</v>
      </c>
      <c r="H52" s="17" t="e">
        <f t="shared" si="4"/>
        <v>#DIV/0!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ht="21" customHeight="1" x14ac:dyDescent="0.3">
      <c r="A53" s="21" cm="1">
        <f t="array" ref="A53">1+COUNT(_xlfn.UNIQUE(_xlfn._xlws.FILTER($F$4:$F$127, $F$4:$F$127 &gt; F53)))</f>
        <v>1</v>
      </c>
      <c r="B53" s="2" t="s">
        <v>96</v>
      </c>
      <c r="C53" s="2"/>
      <c r="D53" s="2"/>
      <c r="E53" s="2"/>
      <c r="F53" s="15" t="e">
        <f t="shared" si="3"/>
        <v>#DIV/0!</v>
      </c>
      <c r="G53" s="19">
        <v>0.8</v>
      </c>
      <c r="H53" s="17" t="e">
        <f t="shared" si="4"/>
        <v>#DIV/0!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ht="21" customHeight="1" x14ac:dyDescent="0.3">
      <c r="A54" s="21" cm="1">
        <f t="array" ref="A54">1+COUNT(_xlfn.UNIQUE(_xlfn._xlws.FILTER($F$4:$F$127, $F$4:$F$127 &gt; F54)))</f>
        <v>1</v>
      </c>
      <c r="B54" s="117" t="s">
        <v>108</v>
      </c>
      <c r="C54" s="2"/>
      <c r="D54" s="2"/>
      <c r="E54" s="2"/>
      <c r="F54" s="15" t="e">
        <f t="shared" si="3"/>
        <v>#DIV/0!</v>
      </c>
      <c r="G54" s="19">
        <v>0.8</v>
      </c>
      <c r="H54" s="17" t="e">
        <f t="shared" si="4"/>
        <v>#DIV/0!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ht="21" customHeight="1" x14ac:dyDescent="0.3">
      <c r="A55" s="21" cm="1">
        <f t="array" ref="A55">1+COUNT(_xlfn.UNIQUE(_xlfn._xlws.FILTER($F$4:$F$127, $F$4:$F$127 &gt; F55)))</f>
        <v>1</v>
      </c>
      <c r="B55" s="2" t="s">
        <v>104</v>
      </c>
      <c r="C55" s="2"/>
      <c r="D55" s="2"/>
      <c r="E55" s="2"/>
      <c r="F55" s="15" t="e">
        <f t="shared" si="3"/>
        <v>#DIV/0!</v>
      </c>
      <c r="G55" s="19">
        <v>0.8</v>
      </c>
      <c r="H55" s="17" t="e">
        <f t="shared" si="4"/>
        <v>#DIV/0!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ht="21" customHeight="1" x14ac:dyDescent="0.3">
      <c r="A56" s="21" cm="1">
        <f t="array" ref="A56">1+COUNT(_xlfn.UNIQUE(_xlfn._xlws.FILTER($F$4:$F$127, $F$4:$F$127 &gt; F56)))</f>
        <v>1</v>
      </c>
      <c r="B56" s="2" t="s">
        <v>106</v>
      </c>
      <c r="C56" s="2"/>
      <c r="D56" s="2"/>
      <c r="E56" s="2"/>
      <c r="F56" s="15" t="e">
        <f t="shared" si="3"/>
        <v>#DIV/0!</v>
      </c>
      <c r="G56" s="19">
        <v>0.8</v>
      </c>
      <c r="H56" s="17" t="e">
        <f t="shared" si="4"/>
        <v>#DIV/0!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ht="21" customHeight="1" x14ac:dyDescent="0.3">
      <c r="A57" s="21" cm="1">
        <f t="array" ref="A57">1+COUNT(_xlfn.UNIQUE(_xlfn._xlws.FILTER($F$4:$F$127, $F$4:$F$127 &gt; F57)))</f>
        <v>1</v>
      </c>
      <c r="B57" s="2" t="s">
        <v>7</v>
      </c>
      <c r="C57" s="2"/>
      <c r="D57" s="2"/>
      <c r="E57" s="2"/>
      <c r="F57" s="15" t="e">
        <f t="shared" si="3"/>
        <v>#DIV/0!</v>
      </c>
      <c r="G57" s="19">
        <v>0.82</v>
      </c>
      <c r="H57" s="17" t="e">
        <f t="shared" si="4"/>
        <v>#DIV/0!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 ht="21" customHeight="1" x14ac:dyDescent="0.3">
      <c r="A58" s="21" cm="1">
        <f t="array" ref="A58">1+COUNT(_xlfn.UNIQUE(_xlfn._xlws.FILTER($F$4:$F$127, $F$4:$F$127 &gt; F58)))</f>
        <v>1</v>
      </c>
      <c r="B58" s="2" t="s">
        <v>95</v>
      </c>
      <c r="C58" s="2"/>
      <c r="D58" s="2"/>
      <c r="E58" s="2"/>
      <c r="F58" s="15" t="e">
        <f t="shared" si="3"/>
        <v>#DIV/0!</v>
      </c>
      <c r="G58" s="19">
        <v>0.8</v>
      </c>
      <c r="H58" s="17" t="e">
        <f t="shared" si="4"/>
        <v>#DIV/0!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 ht="21" customHeight="1" x14ac:dyDescent="0.3">
      <c r="A59" s="21" cm="1">
        <f t="array" ref="A59">1+COUNT(_xlfn.UNIQUE(_xlfn._xlws.FILTER($F$4:$F$127, $F$4:$F$127 &gt; F59)))</f>
        <v>1</v>
      </c>
      <c r="B59" s="2" t="s">
        <v>30</v>
      </c>
      <c r="C59" s="2"/>
      <c r="D59" s="2"/>
      <c r="E59" s="2"/>
      <c r="F59" s="15" t="e">
        <f t="shared" si="3"/>
        <v>#DIV/0!</v>
      </c>
      <c r="G59" s="19">
        <v>0.8</v>
      </c>
      <c r="H59" s="17" t="e">
        <f t="shared" si="4"/>
        <v>#DIV/0!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 ht="21" customHeight="1" x14ac:dyDescent="0.3">
      <c r="A60" s="21" cm="1">
        <f t="array" ref="A60">1+COUNT(_xlfn.UNIQUE(_xlfn._xlws.FILTER($F$4:$F$127, $F$4:$F$127 &gt; F60)))</f>
        <v>1</v>
      </c>
      <c r="B60" s="2" t="s">
        <v>80</v>
      </c>
      <c r="C60" s="2"/>
      <c r="D60" s="2"/>
      <c r="E60" s="2"/>
      <c r="F60" s="15" t="e">
        <f t="shared" si="3"/>
        <v>#DIV/0!</v>
      </c>
      <c r="G60" s="19">
        <v>0.8</v>
      </c>
      <c r="H60" s="17" t="e">
        <f t="shared" si="4"/>
        <v>#DIV/0!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 ht="21" customHeight="1" x14ac:dyDescent="0.3">
      <c r="A61" s="21" cm="1">
        <f t="array" ref="A61">1+COUNT(_xlfn.UNIQUE(_xlfn._xlws.FILTER($F$4:$F$127, $F$4:$F$127 &gt; F61)))</f>
        <v>1</v>
      </c>
      <c r="B61" s="2" t="s">
        <v>82</v>
      </c>
      <c r="C61" s="2"/>
      <c r="D61" s="2"/>
      <c r="E61" s="2"/>
      <c r="F61" s="15" t="e">
        <f t="shared" si="3"/>
        <v>#DIV/0!</v>
      </c>
      <c r="G61" s="19">
        <v>0.8</v>
      </c>
      <c r="H61" s="17" t="e">
        <f t="shared" si="4"/>
        <v>#DIV/0!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ht="21" customHeight="1" x14ac:dyDescent="0.3">
      <c r="A62" s="21" cm="1">
        <f t="array" ref="A62">1+COUNT(_xlfn.UNIQUE(_xlfn._xlws.FILTER($F$4:$F$127, $F$4:$F$127 &gt; F62)))</f>
        <v>1</v>
      </c>
      <c r="B62" s="2" t="s">
        <v>47</v>
      </c>
      <c r="C62" s="2"/>
      <c r="D62" s="2"/>
      <c r="E62" s="2"/>
      <c r="F62" s="15" t="e">
        <f t="shared" si="3"/>
        <v>#DIV/0!</v>
      </c>
      <c r="G62" s="19">
        <v>0.8</v>
      </c>
      <c r="H62" s="17" t="e">
        <f t="shared" si="4"/>
        <v>#DIV/0!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 ht="21" customHeight="1" x14ac:dyDescent="0.3">
      <c r="A63" s="21" cm="1">
        <f t="array" ref="A63">1+COUNT(_xlfn.UNIQUE(_xlfn._xlws.FILTER($F$4:$F$127, $F$4:$F$127 &gt; F63)))</f>
        <v>1</v>
      </c>
      <c r="B63" s="2" t="s">
        <v>28</v>
      </c>
      <c r="C63" s="2"/>
      <c r="D63" s="2"/>
      <c r="E63" s="2"/>
      <c r="F63" s="15" t="e">
        <f t="shared" si="3"/>
        <v>#DIV/0!</v>
      </c>
      <c r="G63" s="19">
        <v>0.82</v>
      </c>
      <c r="H63" s="17" t="e">
        <f t="shared" si="4"/>
        <v>#DIV/0!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 ht="21" customHeight="1" x14ac:dyDescent="0.3">
      <c r="A64" s="21" cm="1">
        <f t="array" ref="A64">1+COUNT(_xlfn.UNIQUE(_xlfn._xlws.FILTER($F$4:$F$127, $F$4:$F$127 &gt; F64)))</f>
        <v>1</v>
      </c>
      <c r="B64" s="2" t="s">
        <v>107</v>
      </c>
      <c r="C64" s="2"/>
      <c r="D64" s="2"/>
      <c r="E64" s="2"/>
      <c r="F64" s="15" t="e">
        <f t="shared" si="3"/>
        <v>#DIV/0!</v>
      </c>
      <c r="G64" s="19">
        <v>0.8</v>
      </c>
      <c r="H64" s="17" t="e">
        <f t="shared" si="4"/>
        <v>#DIV/0!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 ht="21" customHeight="1" x14ac:dyDescent="0.3">
      <c r="A65" s="21" cm="1">
        <f t="array" ref="A65">1+COUNT(_xlfn.UNIQUE(_xlfn._xlws.FILTER($F$4:$F$127, $F$4:$F$127 &gt; F65)))</f>
        <v>1</v>
      </c>
      <c r="B65" s="2" t="s">
        <v>105</v>
      </c>
      <c r="C65" s="2"/>
      <c r="D65" s="2"/>
      <c r="E65" s="2"/>
      <c r="F65" s="15" t="e">
        <f t="shared" si="3"/>
        <v>#DIV/0!</v>
      </c>
      <c r="G65" s="19">
        <v>0.8</v>
      </c>
      <c r="H65" s="17" t="e">
        <f t="shared" si="4"/>
        <v>#DIV/0!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ht="21" customHeight="1" x14ac:dyDescent="0.3">
      <c r="A66" s="21" cm="1">
        <f t="array" ref="A66">1+COUNT(_xlfn.UNIQUE(_xlfn._xlws.FILTER($F$4:$F$127, $F$4:$F$127 &gt; F66)))</f>
        <v>1</v>
      </c>
      <c r="B66" s="2" t="s">
        <v>97</v>
      </c>
      <c r="C66" s="2"/>
      <c r="D66" s="2"/>
      <c r="E66" s="2"/>
      <c r="F66" s="15" t="e">
        <f t="shared" si="3"/>
        <v>#DIV/0!</v>
      </c>
      <c r="G66" s="19">
        <v>0.8</v>
      </c>
      <c r="H66" s="17" t="e">
        <f t="shared" si="4"/>
        <v>#DIV/0!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 ht="21" customHeight="1" x14ac:dyDescent="0.3">
      <c r="A67" s="21" cm="1">
        <f t="array" ref="A67">1+COUNT(_xlfn.UNIQUE(_xlfn._xlws.FILTER($F$4:$F$127, $F$4:$F$127 &gt; F67)))</f>
        <v>1</v>
      </c>
      <c r="B67" s="2" t="s">
        <v>76</v>
      </c>
      <c r="C67" s="2"/>
      <c r="D67" s="2"/>
      <c r="E67" s="2"/>
      <c r="F67" s="15" t="e">
        <f t="shared" ref="F67:F98" si="5">E67/D67</f>
        <v>#DIV/0!</v>
      </c>
      <c r="G67" s="19">
        <v>0.8</v>
      </c>
      <c r="H67" s="17" t="e">
        <f t="shared" si="4"/>
        <v>#DIV/0!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ht="21" customHeight="1" x14ac:dyDescent="0.3">
      <c r="A68" s="21" cm="1">
        <f t="array" ref="A68">1+COUNT(_xlfn.UNIQUE(_xlfn._xlws.FILTER($F$4:$F$127, $F$4:$F$127 &gt; F68)))</f>
        <v>1</v>
      </c>
      <c r="B68" s="2" t="s">
        <v>118</v>
      </c>
      <c r="C68" s="2"/>
      <c r="D68" s="2"/>
      <c r="E68" s="2"/>
      <c r="F68" s="15" t="e">
        <f t="shared" si="5"/>
        <v>#DIV/0!</v>
      </c>
      <c r="G68" s="19">
        <v>0.8</v>
      </c>
      <c r="H68" s="17" t="e">
        <f t="shared" ref="H68:H99" si="6">F68/G68</f>
        <v>#DIV/0!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 ht="21" customHeight="1" x14ac:dyDescent="0.3">
      <c r="A69" s="21" cm="1">
        <f t="array" ref="A69">1+COUNT(_xlfn.UNIQUE(_xlfn._xlws.FILTER($F$4:$F$127, $F$4:$F$127 &gt; F69)))</f>
        <v>1</v>
      </c>
      <c r="B69" s="2" t="s">
        <v>43</v>
      </c>
      <c r="C69" s="2"/>
      <c r="D69" s="2"/>
      <c r="E69" s="2"/>
      <c r="F69" s="15" t="e">
        <f t="shared" si="5"/>
        <v>#DIV/0!</v>
      </c>
      <c r="G69" s="19">
        <v>0.8</v>
      </c>
      <c r="H69" s="17" t="e">
        <f t="shared" si="6"/>
        <v>#DIV/0!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 ht="21" customHeight="1" x14ac:dyDescent="0.3">
      <c r="A70" s="21" cm="1">
        <f t="array" ref="A70">1+COUNT(_xlfn.UNIQUE(_xlfn._xlws.FILTER($F$4:$F$127, $F$4:$F$127 &gt; F70)))</f>
        <v>1</v>
      </c>
      <c r="B70" s="2" t="s">
        <v>73</v>
      </c>
      <c r="C70" s="2"/>
      <c r="D70" s="2"/>
      <c r="E70" s="2"/>
      <c r="F70" s="15" t="e">
        <f t="shared" si="5"/>
        <v>#DIV/0!</v>
      </c>
      <c r="G70" s="19">
        <v>0.8</v>
      </c>
      <c r="H70" s="17" t="e">
        <f t="shared" si="6"/>
        <v>#DIV/0!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 ht="21" customHeight="1" x14ac:dyDescent="0.3">
      <c r="A71" s="21" cm="1">
        <f t="array" ref="A71">1+COUNT(_xlfn.UNIQUE(_xlfn._xlws.FILTER($F$4:$F$127, $F$4:$F$127 &gt; F71)))</f>
        <v>1</v>
      </c>
      <c r="B71" s="2" t="s">
        <v>23</v>
      </c>
      <c r="C71" s="2"/>
      <c r="D71" s="2"/>
      <c r="E71" s="2"/>
      <c r="F71" s="15" t="e">
        <f t="shared" si="5"/>
        <v>#DIV/0!</v>
      </c>
      <c r="G71" s="19">
        <v>0.8</v>
      </c>
      <c r="H71" s="17" t="e">
        <f t="shared" si="6"/>
        <v>#DIV/0!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 ht="21" customHeight="1" x14ac:dyDescent="0.3">
      <c r="A72" s="21" cm="1">
        <f t="array" ref="A72">1+COUNT(_xlfn.UNIQUE(_xlfn._xlws.FILTER($F$4:$F$127, $F$4:$F$127 &gt; F72)))</f>
        <v>1</v>
      </c>
      <c r="B72" s="117" t="s">
        <v>114</v>
      </c>
      <c r="C72" s="2"/>
      <c r="D72" s="2"/>
      <c r="E72" s="2"/>
      <c r="F72" s="15" t="e">
        <f t="shared" si="5"/>
        <v>#DIV/0!</v>
      </c>
      <c r="G72" s="19">
        <v>0.8</v>
      </c>
      <c r="H72" s="17" t="e">
        <f t="shared" si="6"/>
        <v>#DIV/0!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 ht="21" customHeight="1" x14ac:dyDescent="0.3">
      <c r="A73" s="21" cm="1">
        <f t="array" ref="A73">1+COUNT(_xlfn.UNIQUE(_xlfn._xlws.FILTER($F$4:$F$127, $F$4:$F$127 &gt; F73)))</f>
        <v>1</v>
      </c>
      <c r="B73" s="2" t="s">
        <v>85</v>
      </c>
      <c r="C73" s="2"/>
      <c r="D73" s="2"/>
      <c r="E73" s="2"/>
      <c r="F73" s="15" t="e">
        <f t="shared" si="5"/>
        <v>#DIV/0!</v>
      </c>
      <c r="G73" s="19">
        <v>0.8</v>
      </c>
      <c r="H73" s="17" t="e">
        <f t="shared" si="6"/>
        <v>#DIV/0!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 ht="21" customHeight="1" x14ac:dyDescent="0.3">
      <c r="A74" s="21" cm="1">
        <f t="array" ref="A74">1+COUNT(_xlfn.UNIQUE(_xlfn._xlws.FILTER($F$4:$F$127, $F$4:$F$127 &gt; F74)))</f>
        <v>1</v>
      </c>
      <c r="B74" s="2" t="s">
        <v>60</v>
      </c>
      <c r="C74" s="2"/>
      <c r="D74" s="2"/>
      <c r="E74" s="2"/>
      <c r="F74" s="15" t="e">
        <f t="shared" si="5"/>
        <v>#DIV/0!</v>
      </c>
      <c r="G74" s="19">
        <v>0.8</v>
      </c>
      <c r="H74" s="17" t="e">
        <f t="shared" si="6"/>
        <v>#DIV/0!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 ht="21" customHeight="1" x14ac:dyDescent="0.3">
      <c r="A75" s="21" cm="1">
        <f t="array" ref="A75">1+COUNT(_xlfn.UNIQUE(_xlfn._xlws.FILTER($F$4:$F$127, $F$4:$F$127 &gt; F75)))</f>
        <v>1</v>
      </c>
      <c r="B75" s="2" t="s">
        <v>44</v>
      </c>
      <c r="C75" s="2"/>
      <c r="D75" s="2"/>
      <c r="E75" s="2"/>
      <c r="F75" s="15" t="e">
        <f t="shared" si="5"/>
        <v>#DIV/0!</v>
      </c>
      <c r="G75" s="19">
        <v>0.8</v>
      </c>
      <c r="H75" s="17" t="e">
        <f t="shared" si="6"/>
        <v>#DIV/0!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 ht="21" customHeight="1" x14ac:dyDescent="0.3">
      <c r="A76" s="21" cm="1">
        <f t="array" ref="A76">1+COUNT(_xlfn.UNIQUE(_xlfn._xlws.FILTER($F$4:$F$127, $F$4:$F$127 &gt; F76)))</f>
        <v>1</v>
      </c>
      <c r="B76" s="2" t="s">
        <v>91</v>
      </c>
      <c r="C76" s="2"/>
      <c r="D76" s="2"/>
      <c r="E76" s="2"/>
      <c r="F76" s="15" t="e">
        <f t="shared" si="5"/>
        <v>#DIV/0!</v>
      </c>
      <c r="G76" s="19">
        <v>0.8</v>
      </c>
      <c r="H76" s="17" t="e">
        <f t="shared" si="6"/>
        <v>#DIV/0!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 ht="21" customHeight="1" x14ac:dyDescent="0.3">
      <c r="A77" s="21" cm="1">
        <f t="array" ref="A77">1+COUNT(_xlfn.UNIQUE(_xlfn._xlws.FILTER($F$4:$F$127, $F$4:$F$127 &gt; F77)))</f>
        <v>1</v>
      </c>
      <c r="B77" s="2" t="s">
        <v>10</v>
      </c>
      <c r="C77" s="2"/>
      <c r="D77" s="2"/>
      <c r="E77" s="2"/>
      <c r="F77" s="15" t="e">
        <f t="shared" si="5"/>
        <v>#DIV/0!</v>
      </c>
      <c r="G77" s="19">
        <v>0.82</v>
      </c>
      <c r="H77" s="17" t="e">
        <f t="shared" si="6"/>
        <v>#DIV/0!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 ht="21" customHeight="1" x14ac:dyDescent="0.3">
      <c r="A78" s="21" cm="1">
        <f t="array" ref="A78">1+COUNT(_xlfn.UNIQUE(_xlfn._xlws.FILTER($F$4:$F$127, $F$4:$F$127 &gt; F78)))</f>
        <v>1</v>
      </c>
      <c r="B78" s="2" t="s">
        <v>6</v>
      </c>
      <c r="C78" s="2"/>
      <c r="D78" s="2"/>
      <c r="E78" s="2"/>
      <c r="F78" s="15" t="e">
        <f t="shared" si="5"/>
        <v>#DIV/0!</v>
      </c>
      <c r="G78" s="19">
        <v>0.82</v>
      </c>
      <c r="H78" s="17" t="e">
        <f t="shared" si="6"/>
        <v>#DIV/0!</v>
      </c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 ht="21" customHeight="1" x14ac:dyDescent="0.3">
      <c r="A79" s="21" cm="1">
        <f t="array" ref="A79">1+COUNT(_xlfn.UNIQUE(_xlfn._xlws.FILTER($F$4:$F$127, $F$4:$F$127 &gt; F79)))</f>
        <v>1</v>
      </c>
      <c r="B79" s="2" t="s">
        <v>67</v>
      </c>
      <c r="C79" s="2"/>
      <c r="D79" s="2"/>
      <c r="E79" s="2"/>
      <c r="F79" s="15" t="e">
        <f t="shared" si="5"/>
        <v>#DIV/0!</v>
      </c>
      <c r="G79" s="19">
        <v>0.8</v>
      </c>
      <c r="H79" s="17" t="e">
        <f t="shared" si="6"/>
        <v>#DIV/0!</v>
      </c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ht="21" customHeight="1" x14ac:dyDescent="0.3">
      <c r="A80" s="21" cm="1">
        <f t="array" ref="A80">1+COUNT(_xlfn.UNIQUE(_xlfn._xlws.FILTER($F$4:$F$127, $F$4:$F$127 &gt; F80)))</f>
        <v>1</v>
      </c>
      <c r="B80" s="123" t="s">
        <v>109</v>
      </c>
      <c r="C80" s="2"/>
      <c r="D80" s="2"/>
      <c r="E80" s="2"/>
      <c r="F80" s="15" t="e">
        <f t="shared" si="5"/>
        <v>#DIV/0!</v>
      </c>
      <c r="G80" s="19">
        <v>0.8</v>
      </c>
      <c r="H80" s="17" t="e">
        <f t="shared" si="6"/>
        <v>#DIV/0!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 ht="21" customHeight="1" x14ac:dyDescent="0.3">
      <c r="A81" s="21" cm="1">
        <f t="array" ref="A81">1+COUNT(_xlfn.UNIQUE(_xlfn._xlws.FILTER($F$4:$F$127, $F$4:$F$127 &gt; F81)))</f>
        <v>1</v>
      </c>
      <c r="B81" s="2" t="s">
        <v>32</v>
      </c>
      <c r="C81" s="2"/>
      <c r="D81" s="2"/>
      <c r="E81" s="2"/>
      <c r="F81" s="15" t="e">
        <f t="shared" si="5"/>
        <v>#DIV/0!</v>
      </c>
      <c r="G81" s="19">
        <v>0.82</v>
      </c>
      <c r="H81" s="17" t="e">
        <f t="shared" si="6"/>
        <v>#DIV/0!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 ht="21" customHeight="1" x14ac:dyDescent="0.3">
      <c r="A82" s="21" cm="1">
        <f t="array" ref="A82">1+COUNT(_xlfn.UNIQUE(_xlfn._xlws.FILTER($F$4:$F$127, $F$4:$F$127 &gt; F82)))</f>
        <v>1</v>
      </c>
      <c r="B82" s="2" t="s">
        <v>54</v>
      </c>
      <c r="C82" s="2"/>
      <c r="D82" s="2"/>
      <c r="E82" s="2"/>
      <c r="F82" s="15" t="e">
        <f t="shared" si="5"/>
        <v>#DIV/0!</v>
      </c>
      <c r="G82" s="19">
        <v>0.8</v>
      </c>
      <c r="H82" s="17" t="e">
        <f t="shared" si="6"/>
        <v>#DIV/0!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 ht="21" customHeight="1" x14ac:dyDescent="0.3">
      <c r="A83" s="21" cm="1">
        <f t="array" ref="A83">1+COUNT(_xlfn.UNIQUE(_xlfn._xlws.FILTER($F$4:$F$127, $F$4:$F$127 &gt; F83)))</f>
        <v>1</v>
      </c>
      <c r="B83" s="2" t="s">
        <v>62</v>
      </c>
      <c r="C83" s="2"/>
      <c r="D83" s="2"/>
      <c r="E83" s="2"/>
      <c r="F83" s="15" t="e">
        <f t="shared" si="5"/>
        <v>#DIV/0!</v>
      </c>
      <c r="G83" s="19">
        <v>0.8</v>
      </c>
      <c r="H83" s="17" t="e">
        <f t="shared" si="6"/>
        <v>#DIV/0!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 ht="21" customHeight="1" x14ac:dyDescent="0.3">
      <c r="A84" s="21" cm="1">
        <f t="array" ref="A84">1+COUNT(_xlfn.UNIQUE(_xlfn._xlws.FILTER($F$4:$F$127, $F$4:$F$127 &gt; F84)))</f>
        <v>1</v>
      </c>
      <c r="B84" s="2" t="s">
        <v>74</v>
      </c>
      <c r="C84" s="2"/>
      <c r="D84" s="2"/>
      <c r="E84" s="2"/>
      <c r="F84" s="15" t="e">
        <f t="shared" si="5"/>
        <v>#DIV/0!</v>
      </c>
      <c r="G84" s="19">
        <v>0.8</v>
      </c>
      <c r="H84" s="17" t="e">
        <f t="shared" si="6"/>
        <v>#DIV/0!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1:25" ht="21" customHeight="1" x14ac:dyDescent="0.3">
      <c r="A85" s="21" cm="1">
        <f t="array" ref="A85">1+COUNT(_xlfn.UNIQUE(_xlfn._xlws.FILTER($F$4:$F$127, $F$4:$F$127 &gt; F85)))</f>
        <v>1</v>
      </c>
      <c r="B85" s="2" t="s">
        <v>42</v>
      </c>
      <c r="C85" s="2"/>
      <c r="D85" s="2"/>
      <c r="E85" s="2"/>
      <c r="F85" s="15" t="e">
        <f t="shared" si="5"/>
        <v>#DIV/0!</v>
      </c>
      <c r="G85" s="19">
        <v>0.8</v>
      </c>
      <c r="H85" s="17" t="e">
        <f t="shared" si="6"/>
        <v>#DIV/0!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 ht="21" customHeight="1" x14ac:dyDescent="0.3">
      <c r="A86" s="21" cm="1">
        <f t="array" ref="A86">1+COUNT(_xlfn.UNIQUE(_xlfn._xlws.FILTER($F$4:$F$127, $F$4:$F$127 &gt; F86)))</f>
        <v>1</v>
      </c>
      <c r="B86" s="2" t="s">
        <v>31</v>
      </c>
      <c r="C86" s="2"/>
      <c r="D86" s="2"/>
      <c r="E86" s="2"/>
      <c r="F86" s="15" t="e">
        <f t="shared" si="5"/>
        <v>#DIV/0!</v>
      </c>
      <c r="G86" s="19">
        <v>0.8</v>
      </c>
      <c r="H86" s="17" t="e">
        <f t="shared" si="6"/>
        <v>#DIV/0!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 ht="21" customHeight="1" x14ac:dyDescent="0.3">
      <c r="A87" s="21" cm="1">
        <f t="array" ref="A87">1+COUNT(_xlfn.UNIQUE(_xlfn._xlws.FILTER($F$4:$F$127, $F$4:$F$127 &gt; F87)))</f>
        <v>1</v>
      </c>
      <c r="B87" s="2" t="s">
        <v>16</v>
      </c>
      <c r="C87" s="2"/>
      <c r="D87" s="2"/>
      <c r="E87" s="2"/>
      <c r="F87" s="15" t="e">
        <f t="shared" si="5"/>
        <v>#DIV/0!</v>
      </c>
      <c r="G87" s="19">
        <v>0.8</v>
      </c>
      <c r="H87" s="17" t="e">
        <f t="shared" si="6"/>
        <v>#DIV/0!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 ht="21" customHeight="1" x14ac:dyDescent="0.3">
      <c r="A88" s="21" cm="1">
        <f t="array" ref="A88">1+COUNT(_xlfn.UNIQUE(_xlfn._xlws.FILTER($F$4:$F$127, $F$4:$F$127 &gt; F88)))</f>
        <v>1</v>
      </c>
      <c r="B88" s="2" t="s">
        <v>72</v>
      </c>
      <c r="C88" s="2"/>
      <c r="D88" s="2"/>
      <c r="E88" s="2"/>
      <c r="F88" s="15" t="e">
        <f t="shared" si="5"/>
        <v>#DIV/0!</v>
      </c>
      <c r="G88" s="19">
        <v>0.8</v>
      </c>
      <c r="H88" s="17" t="e">
        <f t="shared" si="6"/>
        <v>#DIV/0!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ht="21" customHeight="1" x14ac:dyDescent="0.3">
      <c r="A89" s="21" cm="1">
        <f t="array" ref="A89">1+COUNT(_xlfn.UNIQUE(_xlfn._xlws.FILTER($F$4:$F$127, $F$4:$F$127 &gt; F89)))</f>
        <v>1</v>
      </c>
      <c r="B89" s="2" t="s">
        <v>63</v>
      </c>
      <c r="C89" s="2"/>
      <c r="D89" s="2"/>
      <c r="E89" s="2"/>
      <c r="F89" s="15" t="e">
        <f t="shared" si="5"/>
        <v>#DIV/0!</v>
      </c>
      <c r="G89" s="19">
        <v>0.8</v>
      </c>
      <c r="H89" s="17" t="e">
        <f t="shared" si="6"/>
        <v>#DIV/0!</v>
      </c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ht="21" customHeight="1" x14ac:dyDescent="0.3">
      <c r="A90" s="21" cm="1">
        <f t="array" ref="A90">1+COUNT(_xlfn.UNIQUE(_xlfn._xlws.FILTER($F$4:$F$127, $F$4:$F$127 &gt; F90)))</f>
        <v>1</v>
      </c>
      <c r="B90" s="2" t="s">
        <v>52</v>
      </c>
      <c r="C90" s="2"/>
      <c r="D90" s="2"/>
      <c r="E90" s="2"/>
      <c r="F90" s="15" t="e">
        <f t="shared" si="5"/>
        <v>#DIV/0!</v>
      </c>
      <c r="G90" s="19">
        <v>0.8</v>
      </c>
      <c r="H90" s="17" t="e">
        <f t="shared" si="6"/>
        <v>#DIV/0!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5" ht="21" customHeight="1" x14ac:dyDescent="0.3">
      <c r="A91" s="21" cm="1">
        <f t="array" ref="A91">1+COUNT(_xlfn.UNIQUE(_xlfn._xlws.FILTER($F$4:$F$127, $F$4:$F$127 &gt; F91)))</f>
        <v>1</v>
      </c>
      <c r="B91" s="2" t="s">
        <v>9</v>
      </c>
      <c r="C91" s="2"/>
      <c r="D91" s="2"/>
      <c r="E91" s="2"/>
      <c r="F91" s="15" t="e">
        <f t="shared" si="5"/>
        <v>#DIV/0!</v>
      </c>
      <c r="G91" s="19">
        <v>0.8</v>
      </c>
      <c r="H91" s="17" t="e">
        <f t="shared" si="6"/>
        <v>#DIV/0!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spans="1:25" ht="21" customHeight="1" x14ac:dyDescent="0.3">
      <c r="A92" s="21" cm="1">
        <f t="array" ref="A92">1+COUNT(_xlfn.UNIQUE(_xlfn._xlws.FILTER($F$4:$F$127, $F$4:$F$127 &gt; F92)))</f>
        <v>1</v>
      </c>
      <c r="B92" s="2" t="s">
        <v>83</v>
      </c>
      <c r="C92" s="2"/>
      <c r="D92" s="2"/>
      <c r="E92" s="2"/>
      <c r="F92" s="15" t="e">
        <f t="shared" si="5"/>
        <v>#DIV/0!</v>
      </c>
      <c r="G92" s="19">
        <v>0.8</v>
      </c>
      <c r="H92" s="17" t="e">
        <f t="shared" si="6"/>
        <v>#DIV/0!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 ht="21" customHeight="1" x14ac:dyDescent="0.3">
      <c r="A93" s="21" cm="1">
        <f t="array" ref="A93">1+COUNT(_xlfn.UNIQUE(_xlfn._xlws.FILTER($F$4:$F$127, $F$4:$F$127 &gt; F93)))</f>
        <v>1</v>
      </c>
      <c r="B93" s="2" t="s">
        <v>117</v>
      </c>
      <c r="C93" s="2"/>
      <c r="D93" s="2"/>
      <c r="E93" s="2"/>
      <c r="F93" s="15" t="e">
        <f t="shared" si="5"/>
        <v>#DIV/0!</v>
      </c>
      <c r="G93" s="19">
        <v>0.8</v>
      </c>
      <c r="H93" s="17" t="e">
        <f t="shared" si="6"/>
        <v>#DIV/0!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 ht="21" customHeight="1" x14ac:dyDescent="0.3">
      <c r="A94" s="21" cm="1">
        <f t="array" ref="A94">1+COUNT(_xlfn.UNIQUE(_xlfn._xlws.FILTER($F$4:$F$127, $F$4:$F$127 &gt; F94)))</f>
        <v>1</v>
      </c>
      <c r="B94" s="2" t="s">
        <v>45</v>
      </c>
      <c r="C94" s="2"/>
      <c r="D94" s="2"/>
      <c r="E94" s="2"/>
      <c r="F94" s="15" t="e">
        <f t="shared" si="5"/>
        <v>#DIV/0!</v>
      </c>
      <c r="G94" s="19">
        <v>0.8</v>
      </c>
      <c r="H94" s="17" t="e">
        <f t="shared" si="6"/>
        <v>#DIV/0!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1:25" ht="21" customHeight="1" x14ac:dyDescent="0.3">
      <c r="A95" s="21" cm="1">
        <f t="array" ref="A95">1+COUNT(_xlfn.UNIQUE(_xlfn._xlws.FILTER($F$4:$F$127, $F$4:$F$127 &gt; F95)))</f>
        <v>1</v>
      </c>
      <c r="B95" s="2" t="s">
        <v>51</v>
      </c>
      <c r="C95" s="2"/>
      <c r="D95" s="2"/>
      <c r="E95" s="2"/>
      <c r="F95" s="15" t="e">
        <f t="shared" si="5"/>
        <v>#DIV/0!</v>
      </c>
      <c r="G95" s="19">
        <v>0.8</v>
      </c>
      <c r="H95" s="17" t="e">
        <f t="shared" si="6"/>
        <v>#DIV/0!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 ht="21" customHeight="1" x14ac:dyDescent="0.3">
      <c r="A96" s="21" cm="1">
        <f t="array" ref="A96">1+COUNT(_xlfn.UNIQUE(_xlfn._xlws.FILTER($F$4:$F$127, $F$4:$F$127 &gt; F96)))</f>
        <v>1</v>
      </c>
      <c r="B96" s="2" t="s">
        <v>8</v>
      </c>
      <c r="C96" s="2"/>
      <c r="D96" s="2"/>
      <c r="E96" s="2"/>
      <c r="F96" s="15" t="e">
        <f t="shared" si="5"/>
        <v>#DIV/0!</v>
      </c>
      <c r="G96" s="19">
        <v>0.8</v>
      </c>
      <c r="H96" s="17" t="e">
        <f t="shared" si="6"/>
        <v>#DIV/0!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spans="1:25" ht="21" customHeight="1" x14ac:dyDescent="0.3">
      <c r="A97" s="21" cm="1">
        <f t="array" ref="A97">1+COUNT(_xlfn.UNIQUE(_xlfn._xlws.FILTER($F$4:$F$127, $F$4:$F$127 &gt; F97)))</f>
        <v>1</v>
      </c>
      <c r="B97" s="2" t="s">
        <v>86</v>
      </c>
      <c r="C97" s="2"/>
      <c r="D97" s="2"/>
      <c r="E97" s="2"/>
      <c r="F97" s="15" t="e">
        <f t="shared" si="5"/>
        <v>#DIV/0!</v>
      </c>
      <c r="G97" s="19">
        <v>0.8</v>
      </c>
      <c r="H97" s="17" t="e">
        <f t="shared" si="6"/>
        <v>#DIV/0!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1:25" ht="21" customHeight="1" x14ac:dyDescent="0.3">
      <c r="A98" s="21" cm="1">
        <f t="array" ref="A98">1+COUNT(_xlfn.UNIQUE(_xlfn._xlws.FILTER($F$4:$F$127, $F$4:$F$127 &gt; F98)))</f>
        <v>1</v>
      </c>
      <c r="B98" s="2" t="s">
        <v>100</v>
      </c>
      <c r="C98" s="2"/>
      <c r="D98" s="2"/>
      <c r="E98" s="2"/>
      <c r="F98" s="15" t="e">
        <f t="shared" si="5"/>
        <v>#DIV/0!</v>
      </c>
      <c r="G98" s="19">
        <v>0.8</v>
      </c>
      <c r="H98" s="17" t="e">
        <f t="shared" si="6"/>
        <v>#DIV/0!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 ht="21" customHeight="1" x14ac:dyDescent="0.3">
      <c r="A99" s="21" cm="1">
        <f t="array" ref="A99">1+COUNT(_xlfn.UNIQUE(_xlfn._xlws.FILTER($F$4:$F$127, $F$4:$F$127 &gt; F99)))</f>
        <v>1</v>
      </c>
      <c r="B99" s="2" t="s">
        <v>122</v>
      </c>
      <c r="C99" s="2"/>
      <c r="D99" s="2"/>
      <c r="E99" s="2"/>
      <c r="F99" s="15" t="e">
        <f t="shared" ref="F99:F130" si="7">E99/D99</f>
        <v>#DIV/0!</v>
      </c>
      <c r="G99" s="19">
        <v>0.8</v>
      </c>
      <c r="H99" s="17" t="e">
        <f t="shared" si="6"/>
        <v>#DIV/0!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 ht="21" customHeight="1" x14ac:dyDescent="0.3">
      <c r="A100" s="21" cm="1">
        <f t="array" ref="A100">1+COUNT(_xlfn.UNIQUE(_xlfn._xlws.FILTER($F$4:$F$127, $F$4:$F$127 &gt; F100)))</f>
        <v>1</v>
      </c>
      <c r="B100" s="2" t="s">
        <v>103</v>
      </c>
      <c r="C100" s="2"/>
      <c r="D100" s="2"/>
      <c r="E100" s="2"/>
      <c r="F100" s="15" t="e">
        <f t="shared" si="7"/>
        <v>#DIV/0!</v>
      </c>
      <c r="G100" s="19">
        <v>0.8</v>
      </c>
      <c r="H100" s="17" t="e">
        <f t="shared" ref="H100:H131" si="8">F100/G100</f>
        <v>#DIV/0!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 ht="21" customHeight="1" x14ac:dyDescent="0.3">
      <c r="A101" s="21" cm="1">
        <f t="array" ref="A101">1+COUNT(_xlfn.UNIQUE(_xlfn._xlws.FILTER($F$4:$F$127, $F$4:$F$127 &gt; F101)))</f>
        <v>1</v>
      </c>
      <c r="B101" s="2" t="s">
        <v>115</v>
      </c>
      <c r="C101" s="2"/>
      <c r="D101" s="2"/>
      <c r="E101" s="2"/>
      <c r="F101" s="15" t="e">
        <f t="shared" si="7"/>
        <v>#DIV/0!</v>
      </c>
      <c r="G101" s="19">
        <v>0.8</v>
      </c>
      <c r="H101" s="17" t="e">
        <f t="shared" si="8"/>
        <v>#DIV/0!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 ht="21" customHeight="1" x14ac:dyDescent="0.3">
      <c r="A102" s="21" cm="1">
        <f t="array" ref="A102">1+COUNT(_xlfn.UNIQUE(_xlfn._xlws.FILTER($F$4:$F$127, $F$4:$F$127 &gt; F102)))</f>
        <v>1</v>
      </c>
      <c r="B102" s="2" t="s">
        <v>14</v>
      </c>
      <c r="C102" s="2"/>
      <c r="D102" s="2"/>
      <c r="E102" s="2"/>
      <c r="F102" s="15" t="e">
        <f t="shared" si="7"/>
        <v>#DIV/0!</v>
      </c>
      <c r="G102" s="19">
        <v>0.8</v>
      </c>
      <c r="H102" s="17" t="e">
        <f t="shared" si="8"/>
        <v>#DIV/0!</v>
      </c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ht="21" customHeight="1" x14ac:dyDescent="0.3">
      <c r="A103" s="21" cm="1">
        <f t="array" ref="A103">1+COUNT(_xlfn.UNIQUE(_xlfn._xlws.FILTER($F$4:$F$127, $F$4:$F$127 &gt; F103)))</f>
        <v>1</v>
      </c>
      <c r="B103" s="2" t="s">
        <v>90</v>
      </c>
      <c r="C103" s="2"/>
      <c r="D103" s="2"/>
      <c r="E103" s="2"/>
      <c r="F103" s="15" t="e">
        <f t="shared" si="7"/>
        <v>#DIV/0!</v>
      </c>
      <c r="G103" s="19">
        <v>0.8</v>
      </c>
      <c r="H103" s="17" t="e">
        <f t="shared" si="8"/>
        <v>#DIV/0!</v>
      </c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 ht="21" customHeight="1" x14ac:dyDescent="0.3">
      <c r="A104" s="21" cm="1">
        <f t="array" ref="A104">1+COUNT(_xlfn.UNIQUE(_xlfn._xlws.FILTER($F$4:$F$127, $F$4:$F$127 &gt; F104)))</f>
        <v>1</v>
      </c>
      <c r="B104" s="2" t="s">
        <v>84</v>
      </c>
      <c r="C104" s="2"/>
      <c r="D104" s="2"/>
      <c r="E104" s="2"/>
      <c r="F104" s="15" t="e">
        <f t="shared" si="7"/>
        <v>#DIV/0!</v>
      </c>
      <c r="G104" s="19">
        <v>0.8</v>
      </c>
      <c r="H104" s="17" t="e">
        <f t="shared" si="8"/>
        <v>#DIV/0!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ht="21" customHeight="1" x14ac:dyDescent="0.3">
      <c r="A105" s="21" cm="1">
        <f t="array" ref="A105">1+COUNT(_xlfn.UNIQUE(_xlfn._xlws.FILTER($F$4:$F$127, $F$4:$F$127 &gt; F105)))</f>
        <v>1</v>
      </c>
      <c r="B105" s="2" t="s">
        <v>101</v>
      </c>
      <c r="C105" s="2"/>
      <c r="D105" s="2"/>
      <c r="E105" s="2"/>
      <c r="F105" s="15" t="e">
        <f t="shared" si="7"/>
        <v>#DIV/0!</v>
      </c>
      <c r="G105" s="19">
        <v>0.8</v>
      </c>
      <c r="H105" s="17" t="e">
        <f t="shared" si="8"/>
        <v>#DIV/0!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 ht="21" customHeight="1" x14ac:dyDescent="0.3">
      <c r="A106" s="21" cm="1">
        <f t="array" ref="A106">1+COUNT(_xlfn.UNIQUE(_xlfn._xlws.FILTER($F$4:$F$127, $F$4:$F$127 &gt; F106)))</f>
        <v>1</v>
      </c>
      <c r="B106" s="2" t="s">
        <v>55</v>
      </c>
      <c r="C106" s="2"/>
      <c r="D106" s="2"/>
      <c r="E106" s="2"/>
      <c r="F106" s="15" t="e">
        <f t="shared" si="7"/>
        <v>#DIV/0!</v>
      </c>
      <c r="G106" s="19">
        <v>0.8</v>
      </c>
      <c r="H106" s="17" t="e">
        <f t="shared" si="8"/>
        <v>#DIV/0!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 ht="21" customHeight="1" x14ac:dyDescent="0.3">
      <c r="A107" s="21" cm="1">
        <f t="array" ref="A107">1+COUNT(_xlfn.UNIQUE(_xlfn._xlws.FILTER($F$4:$F$127, $F$4:$F$127 &gt; F107)))</f>
        <v>1</v>
      </c>
      <c r="B107" s="2" t="s">
        <v>48</v>
      </c>
      <c r="C107" s="2"/>
      <c r="D107" s="2"/>
      <c r="E107" s="2"/>
      <c r="F107" s="15" t="e">
        <f t="shared" si="7"/>
        <v>#DIV/0!</v>
      </c>
      <c r="G107" s="19">
        <v>0.8</v>
      </c>
      <c r="H107" s="17" t="e">
        <f t="shared" si="8"/>
        <v>#DIV/0!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 ht="21" customHeight="1" x14ac:dyDescent="0.3">
      <c r="A108" s="21" cm="1">
        <f t="array" ref="A108">1+COUNT(_xlfn.UNIQUE(_xlfn._xlws.FILTER($F$4:$F$127, $F$4:$F$127 &gt; F108)))</f>
        <v>1</v>
      </c>
      <c r="B108" s="2" t="s">
        <v>12</v>
      </c>
      <c r="C108" s="2"/>
      <c r="D108" s="2"/>
      <c r="E108" s="2"/>
      <c r="F108" s="15" t="e">
        <f t="shared" si="7"/>
        <v>#DIV/0!</v>
      </c>
      <c r="G108" s="19">
        <v>0.8</v>
      </c>
      <c r="H108" s="17" t="e">
        <f t="shared" si="8"/>
        <v>#DIV/0!</v>
      </c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ht="21" customHeight="1" x14ac:dyDescent="0.3">
      <c r="A109" s="21" cm="1">
        <f t="array" ref="A109">1+COUNT(_xlfn.UNIQUE(_xlfn._xlws.FILTER($F$4:$F$127, $F$4:$F$127 &gt; F109)))</f>
        <v>1</v>
      </c>
      <c r="B109" s="2" t="s">
        <v>34</v>
      </c>
      <c r="C109" s="2"/>
      <c r="D109" s="2"/>
      <c r="E109" s="2"/>
      <c r="F109" s="15" t="e">
        <f t="shared" si="7"/>
        <v>#DIV/0!</v>
      </c>
      <c r="G109" s="19">
        <v>0.8</v>
      </c>
      <c r="H109" s="17" t="e">
        <f t="shared" si="8"/>
        <v>#DIV/0!</v>
      </c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ht="21" customHeight="1" x14ac:dyDescent="0.3">
      <c r="A110" s="21" cm="1">
        <f t="array" ref="A110">1+COUNT(_xlfn.UNIQUE(_xlfn._xlws.FILTER($F$4:$F$127, $F$4:$F$127 &gt; F110)))</f>
        <v>1</v>
      </c>
      <c r="B110" s="2" t="s">
        <v>120</v>
      </c>
      <c r="C110" s="2"/>
      <c r="D110" s="2"/>
      <c r="E110" s="2"/>
      <c r="F110" s="15" t="e">
        <f t="shared" si="7"/>
        <v>#DIV/0!</v>
      </c>
      <c r="G110" s="19">
        <v>0.8</v>
      </c>
      <c r="H110" s="17" t="e">
        <f t="shared" si="8"/>
        <v>#DIV/0!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 ht="21" customHeight="1" x14ac:dyDescent="0.3">
      <c r="A111" s="21" cm="1">
        <f t="array" ref="A111">1+COUNT(_xlfn.UNIQUE(_xlfn._xlws.FILTER($F$4:$F$127, $F$4:$F$127 &gt; F111)))</f>
        <v>1</v>
      </c>
      <c r="B111" s="2" t="s">
        <v>61</v>
      </c>
      <c r="C111" s="2"/>
      <c r="D111" s="2"/>
      <c r="E111" s="2"/>
      <c r="F111" s="15" t="e">
        <f t="shared" si="7"/>
        <v>#DIV/0!</v>
      </c>
      <c r="G111" s="19">
        <v>0.8</v>
      </c>
      <c r="H111" s="17" t="e">
        <f t="shared" si="8"/>
        <v>#DIV/0!</v>
      </c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ht="21" customHeight="1" x14ac:dyDescent="0.3">
      <c r="A112" s="21" cm="1">
        <f t="array" ref="A112">1+COUNT(_xlfn.UNIQUE(_xlfn._xlws.FILTER($F$4:$F$127, $F$4:$F$127 &gt; F112)))</f>
        <v>1</v>
      </c>
      <c r="B112" s="2" t="s">
        <v>20</v>
      </c>
      <c r="C112" s="2"/>
      <c r="D112" s="2"/>
      <c r="E112" s="2"/>
      <c r="F112" s="15" t="e">
        <f t="shared" si="7"/>
        <v>#DIV/0!</v>
      </c>
      <c r="G112" s="19">
        <v>0.8</v>
      </c>
      <c r="H112" s="17" t="e">
        <f t="shared" si="8"/>
        <v>#DIV/0!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 ht="21" customHeight="1" x14ac:dyDescent="0.3">
      <c r="A113" s="21" cm="1">
        <f t="array" ref="A113">1+COUNT(_xlfn.UNIQUE(_xlfn._xlws.FILTER($F$4:$F$127, $F$4:$F$127 &gt; F113)))</f>
        <v>1</v>
      </c>
      <c r="B113" s="2" t="s">
        <v>113</v>
      </c>
      <c r="C113" s="2"/>
      <c r="D113" s="2"/>
      <c r="E113" s="2"/>
      <c r="F113" s="15" t="e">
        <f t="shared" si="7"/>
        <v>#DIV/0!</v>
      </c>
      <c r="G113" s="19">
        <v>0.8</v>
      </c>
      <c r="H113" s="17" t="e">
        <f t="shared" si="8"/>
        <v>#DIV/0!</v>
      </c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ht="21" customHeight="1" x14ac:dyDescent="0.3">
      <c r="A114" s="21" cm="1">
        <f t="array" ref="A114">1+COUNT(_xlfn.UNIQUE(_xlfn._xlws.FILTER($F$4:$F$127, $F$4:$F$127 &gt; F114)))</f>
        <v>1</v>
      </c>
      <c r="B114" s="2" t="s">
        <v>13</v>
      </c>
      <c r="C114" s="2"/>
      <c r="D114" s="2"/>
      <c r="E114" s="2"/>
      <c r="F114" s="15" t="e">
        <f t="shared" si="7"/>
        <v>#DIV/0!</v>
      </c>
      <c r="G114" s="19">
        <v>0.82</v>
      </c>
      <c r="H114" s="17" t="e">
        <f t="shared" si="8"/>
        <v>#DIV/0!</v>
      </c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 ht="21" customHeight="1" x14ac:dyDescent="0.3">
      <c r="A115" s="21" cm="1">
        <f t="array" ref="A115">1+COUNT(_xlfn.UNIQUE(_xlfn._xlws.FILTER($F$4:$F$127, $F$4:$F$127 &gt; F115)))</f>
        <v>1</v>
      </c>
      <c r="B115" s="2" t="s">
        <v>18</v>
      </c>
      <c r="C115" s="2"/>
      <c r="D115" s="2"/>
      <c r="E115" s="2"/>
      <c r="F115" s="15" t="e">
        <f t="shared" si="7"/>
        <v>#DIV/0!</v>
      </c>
      <c r="G115" s="19">
        <v>0.8</v>
      </c>
      <c r="H115" s="17" t="e">
        <f t="shared" si="8"/>
        <v>#DIV/0!</v>
      </c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 ht="21" customHeight="1" x14ac:dyDescent="0.3">
      <c r="A116" s="21" cm="1">
        <f t="array" ref="A116">1+COUNT(_xlfn.UNIQUE(_xlfn._xlws.FILTER($F$4:$F$127, $F$4:$F$127 &gt; F116)))</f>
        <v>1</v>
      </c>
      <c r="B116" s="2" t="s">
        <v>66</v>
      </c>
      <c r="C116" s="2"/>
      <c r="D116" s="2"/>
      <c r="E116" s="2"/>
      <c r="F116" s="15" t="e">
        <f t="shared" si="7"/>
        <v>#DIV/0!</v>
      </c>
      <c r="G116" s="19">
        <v>0.8</v>
      </c>
      <c r="H116" s="17" t="e">
        <f t="shared" si="8"/>
        <v>#DIV/0!</v>
      </c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 ht="21" customHeight="1" x14ac:dyDescent="0.3">
      <c r="A117" s="21" cm="1">
        <f t="array" ref="A117">1+COUNT(_xlfn.UNIQUE(_xlfn._xlws.FILTER($F$4:$F$127, $F$4:$F$127 &gt; F117)))</f>
        <v>1</v>
      </c>
      <c r="B117" s="2" t="s">
        <v>98</v>
      </c>
      <c r="C117" s="2"/>
      <c r="D117" s="2"/>
      <c r="E117" s="2"/>
      <c r="F117" s="15" t="e">
        <f t="shared" si="7"/>
        <v>#DIV/0!</v>
      </c>
      <c r="G117" s="19">
        <v>0.82</v>
      </c>
      <c r="H117" s="17" t="e">
        <f t="shared" si="8"/>
        <v>#DIV/0!</v>
      </c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ht="21" customHeight="1" x14ac:dyDescent="0.3">
      <c r="A118" s="21" cm="1">
        <f t="array" ref="A118">1+COUNT(_xlfn.UNIQUE(_xlfn._xlws.FILTER($F$4:$F$127, $F$4:$F$127 &gt; F118)))</f>
        <v>1</v>
      </c>
      <c r="B118" s="2" t="s">
        <v>75</v>
      </c>
      <c r="C118" s="2"/>
      <c r="D118" s="2"/>
      <c r="E118" s="2"/>
      <c r="F118" s="15" t="e">
        <f t="shared" si="7"/>
        <v>#DIV/0!</v>
      </c>
      <c r="G118" s="19">
        <v>0.8</v>
      </c>
      <c r="H118" s="17" t="e">
        <f t="shared" si="8"/>
        <v>#DIV/0!</v>
      </c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ht="21" customHeight="1" x14ac:dyDescent="0.3">
      <c r="A119" s="21" cm="1">
        <f t="array" ref="A119">1+COUNT(_xlfn.UNIQUE(_xlfn._xlws.FILTER($F$4:$F$127, $F$4:$F$127 &gt; F119)))</f>
        <v>1</v>
      </c>
      <c r="B119" s="2" t="s">
        <v>19</v>
      </c>
      <c r="C119" s="2"/>
      <c r="D119" s="2"/>
      <c r="E119" s="2"/>
      <c r="F119" s="15" t="e">
        <f t="shared" si="7"/>
        <v>#DIV/0!</v>
      </c>
      <c r="G119" s="19">
        <v>0.8</v>
      </c>
      <c r="H119" s="17" t="e">
        <f t="shared" si="8"/>
        <v>#DIV/0!</v>
      </c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ht="21" customHeight="1" x14ac:dyDescent="0.3">
      <c r="A120" s="21" cm="1">
        <f t="array" ref="A120">1+COUNT(_xlfn.UNIQUE(_xlfn._xlws.FILTER($F$4:$F$127, $F$4:$F$127 &gt; F120)))</f>
        <v>1</v>
      </c>
      <c r="B120" s="2" t="s">
        <v>81</v>
      </c>
      <c r="C120" s="2"/>
      <c r="D120" s="2"/>
      <c r="E120" s="2"/>
      <c r="F120" s="15" t="e">
        <f t="shared" si="7"/>
        <v>#DIV/0!</v>
      </c>
      <c r="G120" s="19">
        <v>0.8</v>
      </c>
      <c r="H120" s="17" t="e">
        <f t="shared" si="8"/>
        <v>#DIV/0!</v>
      </c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 ht="21" customHeight="1" x14ac:dyDescent="0.3">
      <c r="A121" s="21" cm="1">
        <f t="array" ref="A121">1+COUNT(_xlfn.UNIQUE(_xlfn._xlws.FILTER($F$4:$F$127, $F$4:$F$127 &gt; F121)))</f>
        <v>1</v>
      </c>
      <c r="B121" s="2" t="s">
        <v>88</v>
      </c>
      <c r="C121" s="2"/>
      <c r="D121" s="2"/>
      <c r="E121" s="2"/>
      <c r="F121" s="15" t="e">
        <f t="shared" si="7"/>
        <v>#DIV/0!</v>
      </c>
      <c r="G121" s="19">
        <v>0.8</v>
      </c>
      <c r="H121" s="17" t="e">
        <f t="shared" si="8"/>
        <v>#DIV/0!</v>
      </c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 ht="21" customHeight="1" x14ac:dyDescent="0.3">
      <c r="A122" s="21" cm="1">
        <f t="array" ref="A122">1+COUNT(_xlfn.UNIQUE(_xlfn._xlws.FILTER($F$4:$F$127, $F$4:$F$127 &gt; F122)))</f>
        <v>1</v>
      </c>
      <c r="B122" s="2" t="s">
        <v>41</v>
      </c>
      <c r="C122" s="2"/>
      <c r="D122" s="2"/>
      <c r="E122" s="2"/>
      <c r="F122" s="15" t="e">
        <f t="shared" si="7"/>
        <v>#DIV/0!</v>
      </c>
      <c r="G122" s="19">
        <v>0.8</v>
      </c>
      <c r="H122" s="17" t="e">
        <f t="shared" si="8"/>
        <v>#DIV/0!</v>
      </c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 ht="21" customHeight="1" x14ac:dyDescent="0.3">
      <c r="A123" s="21" cm="1">
        <f t="array" ref="A123">1+COUNT(_xlfn.UNIQUE(_xlfn._xlws.FILTER($F$4:$F$127, $F$4:$F$127 &gt; F123)))</f>
        <v>1</v>
      </c>
      <c r="B123" s="2" t="s">
        <v>53</v>
      </c>
      <c r="C123" s="2"/>
      <c r="D123" s="2"/>
      <c r="E123" s="2"/>
      <c r="F123" s="15" t="e">
        <f t="shared" si="7"/>
        <v>#DIV/0!</v>
      </c>
      <c r="G123" s="19">
        <v>0.82</v>
      </c>
      <c r="H123" s="17" t="e">
        <f t="shared" si="8"/>
        <v>#DIV/0!</v>
      </c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ht="21" customHeight="1" x14ac:dyDescent="0.3">
      <c r="A124" s="21" cm="1">
        <f t="array" ref="A124">1+COUNT(_xlfn.UNIQUE(_xlfn._xlws.FILTER($F$4:$F$127, $F$4:$F$127 &gt; F124)))</f>
        <v>1</v>
      </c>
      <c r="B124" s="2" t="s">
        <v>1</v>
      </c>
      <c r="C124" s="2"/>
      <c r="D124" s="2"/>
      <c r="E124" s="2"/>
      <c r="F124" s="15" t="e">
        <f t="shared" si="7"/>
        <v>#DIV/0!</v>
      </c>
      <c r="G124" s="19">
        <v>0.8</v>
      </c>
      <c r="H124" s="17" t="e">
        <f t="shared" si="8"/>
        <v>#DIV/0!</v>
      </c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 ht="21" customHeight="1" x14ac:dyDescent="0.3">
      <c r="A125" s="21" cm="1">
        <f t="array" ref="A125">1+COUNT(_xlfn.UNIQUE(_xlfn._xlws.FILTER($F$4:$F$127, $F$4:$F$127 &gt; F125)))</f>
        <v>1</v>
      </c>
      <c r="B125" s="2" t="s">
        <v>99</v>
      </c>
      <c r="C125" s="2"/>
      <c r="D125" s="2"/>
      <c r="E125" s="2"/>
      <c r="F125" s="15" t="e">
        <f t="shared" si="7"/>
        <v>#DIV/0!</v>
      </c>
      <c r="G125" s="19">
        <v>0.8</v>
      </c>
      <c r="H125" s="17" t="e">
        <f t="shared" si="8"/>
        <v>#DIV/0!</v>
      </c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 ht="21" customHeight="1" x14ac:dyDescent="0.3">
      <c r="A126" s="21" cm="1">
        <f t="array" ref="A126">1+COUNT(_xlfn.UNIQUE(_xlfn._xlws.FILTER($F$4:$F$127, $F$4:$F$127 &gt; F126)))</f>
        <v>1</v>
      </c>
      <c r="B126" s="2" t="s">
        <v>25</v>
      </c>
      <c r="C126" s="2"/>
      <c r="D126" s="2"/>
      <c r="E126" s="2"/>
      <c r="F126" s="15" t="e">
        <f t="shared" si="7"/>
        <v>#DIV/0!</v>
      </c>
      <c r="G126" s="19">
        <v>0.82</v>
      </c>
      <c r="H126" s="17" t="e">
        <f t="shared" si="8"/>
        <v>#DIV/0!</v>
      </c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 ht="21" customHeight="1" x14ac:dyDescent="0.3">
      <c r="A127" s="21" cm="1">
        <f t="array" ref="A127">1+COUNT(_xlfn.UNIQUE(_xlfn._xlws.FILTER($F$4:$F$127, $F$4:$F$127 &gt; F127)))</f>
        <v>1</v>
      </c>
      <c r="B127" s="2" t="s">
        <v>121</v>
      </c>
      <c r="C127" s="2"/>
      <c r="D127" s="2"/>
      <c r="E127" s="2"/>
      <c r="F127" s="15" t="e">
        <f t="shared" si="7"/>
        <v>#DIV/0!</v>
      </c>
      <c r="G127" s="19">
        <v>0.8</v>
      </c>
      <c r="H127" s="17" t="e">
        <f t="shared" si="8"/>
        <v>#DIV/0!</v>
      </c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ht="21" customHeight="1" x14ac:dyDescent="0.3">
      <c r="A128" s="22"/>
      <c r="B128" s="18"/>
      <c r="C128" s="18"/>
      <c r="D128" s="18"/>
      <c r="E128" s="18"/>
      <c r="F128" s="18"/>
      <c r="G128" s="18"/>
      <c r="H128" s="20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ht="21" customHeight="1" x14ac:dyDescent="0.3">
      <c r="A129" s="22"/>
      <c r="B129" s="18"/>
      <c r="C129" s="18"/>
      <c r="D129" s="18"/>
      <c r="E129" s="18"/>
      <c r="F129" s="18"/>
      <c r="G129" s="18"/>
      <c r="H129" s="20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ht="21" customHeight="1" x14ac:dyDescent="0.3">
      <c r="A130" s="22"/>
      <c r="B130" s="18"/>
      <c r="C130" s="18"/>
      <c r="D130" s="18"/>
      <c r="E130" s="18"/>
      <c r="F130" s="18"/>
      <c r="G130" s="18"/>
      <c r="H130" s="20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ht="21" customHeight="1" x14ac:dyDescent="0.3">
      <c r="A131" s="22"/>
      <c r="B131" s="18"/>
      <c r="C131" s="18"/>
      <c r="D131" s="18"/>
      <c r="E131" s="18"/>
      <c r="F131" s="18"/>
      <c r="G131" s="18"/>
      <c r="H131" s="20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 ht="21" customHeight="1" x14ac:dyDescent="0.3">
      <c r="A132" s="22"/>
      <c r="B132" s="18"/>
      <c r="C132" s="18"/>
      <c r="D132" s="18"/>
      <c r="E132" s="18"/>
      <c r="F132" s="18"/>
      <c r="G132" s="18"/>
      <c r="H132" s="20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ht="21" customHeight="1" x14ac:dyDescent="0.3">
      <c r="A133" s="22"/>
      <c r="B133" s="18"/>
      <c r="C133" s="18"/>
      <c r="D133" s="18"/>
      <c r="E133" s="18"/>
      <c r="F133" s="18"/>
      <c r="G133" s="18"/>
      <c r="H133" s="20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 ht="21" customHeight="1" x14ac:dyDescent="0.3">
      <c r="A134" s="22"/>
      <c r="B134" s="18"/>
      <c r="C134" s="18"/>
      <c r="D134" s="18"/>
      <c r="E134" s="18"/>
      <c r="F134" s="18"/>
      <c r="G134" s="18"/>
      <c r="H134" s="20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 ht="21" customHeight="1" x14ac:dyDescent="0.3">
      <c r="A135" s="22"/>
      <c r="B135" s="18"/>
      <c r="C135" s="18"/>
      <c r="D135" s="18"/>
      <c r="E135" s="18"/>
      <c r="F135" s="18"/>
      <c r="G135" s="18"/>
      <c r="H135" s="20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 ht="21" customHeight="1" x14ac:dyDescent="0.3">
      <c r="A136" s="22"/>
      <c r="B136" s="18"/>
      <c r="C136" s="18"/>
      <c r="D136" s="18"/>
      <c r="E136" s="18"/>
      <c r="F136" s="18"/>
      <c r="G136" s="18"/>
      <c r="H136" s="20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 ht="21" customHeight="1" x14ac:dyDescent="0.3">
      <c r="A137" s="22"/>
      <c r="B137" s="18"/>
      <c r="C137" s="18"/>
      <c r="D137" s="18"/>
      <c r="E137" s="18"/>
      <c r="F137" s="18"/>
      <c r="G137" s="18"/>
      <c r="H137" s="20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ht="21" customHeight="1" x14ac:dyDescent="0.3">
      <c r="A138" s="22"/>
      <c r="B138" s="18"/>
      <c r="C138" s="18"/>
      <c r="D138" s="18"/>
      <c r="E138" s="18"/>
      <c r="F138" s="18"/>
      <c r="G138" s="18"/>
      <c r="H138" s="20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 ht="21" customHeight="1" x14ac:dyDescent="0.3">
      <c r="A139" s="22"/>
      <c r="B139" s="18"/>
      <c r="C139" s="18"/>
      <c r="D139" s="18"/>
      <c r="E139" s="18"/>
      <c r="F139" s="18"/>
      <c r="G139" s="18"/>
      <c r="H139" s="20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 ht="21" customHeight="1" x14ac:dyDescent="0.3">
      <c r="A140" s="22"/>
      <c r="B140" s="18"/>
      <c r="C140" s="18"/>
      <c r="D140" s="18"/>
      <c r="E140" s="18"/>
      <c r="F140" s="18"/>
      <c r="G140" s="18"/>
      <c r="H140" s="20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21" customHeight="1" x14ac:dyDescent="0.3">
      <c r="A141" s="22"/>
      <c r="B141" s="18"/>
      <c r="C141" s="18"/>
      <c r="D141" s="18"/>
      <c r="E141" s="18"/>
      <c r="F141" s="18"/>
      <c r="G141" s="18"/>
      <c r="H141" s="20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 ht="21" customHeight="1" x14ac:dyDescent="0.3">
      <c r="A142" s="22"/>
      <c r="B142" s="18"/>
      <c r="C142" s="18"/>
      <c r="D142" s="18"/>
      <c r="E142" s="18"/>
      <c r="F142" s="18"/>
      <c r="G142" s="18"/>
      <c r="H142" s="20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ht="21" customHeight="1" x14ac:dyDescent="0.3">
      <c r="A143" s="22"/>
      <c r="B143" s="18"/>
      <c r="C143" s="18"/>
      <c r="D143" s="18"/>
      <c r="E143" s="18"/>
      <c r="F143" s="18"/>
      <c r="G143" s="18"/>
      <c r="H143" s="20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 ht="21" customHeight="1" x14ac:dyDescent="0.3">
      <c r="A144" s="22"/>
      <c r="B144" s="18"/>
      <c r="C144" s="18"/>
      <c r="D144" s="18"/>
      <c r="E144" s="18"/>
      <c r="F144" s="18"/>
      <c r="G144" s="18"/>
      <c r="H144" s="20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ht="21" customHeight="1" x14ac:dyDescent="0.3">
      <c r="A145" s="22"/>
      <c r="B145" s="18"/>
      <c r="C145" s="18"/>
      <c r="D145" s="18"/>
      <c r="E145" s="18"/>
      <c r="F145" s="18"/>
      <c r="G145" s="18"/>
      <c r="H145" s="20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 ht="21" customHeight="1" x14ac:dyDescent="0.3">
      <c r="A146" s="22"/>
      <c r="B146" s="18"/>
      <c r="C146" s="18"/>
      <c r="D146" s="18"/>
      <c r="E146" s="18"/>
      <c r="F146" s="18"/>
      <c r="G146" s="18"/>
      <c r="H146" s="20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 ht="21" customHeight="1" x14ac:dyDescent="0.3">
      <c r="A147" s="22"/>
      <c r="B147" s="18"/>
      <c r="C147" s="18"/>
      <c r="D147" s="18"/>
      <c r="E147" s="18"/>
      <c r="F147" s="18"/>
      <c r="G147" s="18"/>
      <c r="H147" s="20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ht="21" customHeight="1" x14ac:dyDescent="0.3">
      <c r="A148" s="22"/>
      <c r="B148" s="18"/>
      <c r="C148" s="18"/>
      <c r="D148" s="18"/>
      <c r="E148" s="18"/>
      <c r="F148" s="18"/>
      <c r="G148" s="18"/>
      <c r="H148" s="20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ht="21" customHeight="1" x14ac:dyDescent="0.3">
      <c r="A149" s="22"/>
      <c r="B149" s="18"/>
      <c r="C149" s="18"/>
      <c r="D149" s="18"/>
      <c r="E149" s="18"/>
      <c r="F149" s="18"/>
      <c r="G149" s="18"/>
      <c r="H149" s="20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 ht="21" customHeight="1" x14ac:dyDescent="0.3">
      <c r="A150" s="22"/>
      <c r="B150" s="18"/>
      <c r="C150" s="18"/>
      <c r="D150" s="18"/>
      <c r="E150" s="18"/>
      <c r="F150" s="18"/>
      <c r="G150" s="18"/>
      <c r="H150" s="20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ht="21" customHeight="1" x14ac:dyDescent="0.3">
      <c r="A151" s="22"/>
      <c r="B151" s="18"/>
      <c r="C151" s="18"/>
      <c r="D151" s="18"/>
      <c r="E151" s="18"/>
      <c r="F151" s="18"/>
      <c r="G151" s="18"/>
      <c r="H151" s="20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 ht="21" customHeight="1" x14ac:dyDescent="0.3">
      <c r="A152" s="22"/>
      <c r="B152" s="18"/>
      <c r="C152" s="18"/>
      <c r="D152" s="18"/>
      <c r="E152" s="18"/>
      <c r="F152" s="18"/>
      <c r="G152" s="18"/>
      <c r="H152" s="20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 ht="21" customHeight="1" x14ac:dyDescent="0.3">
      <c r="A153" s="22"/>
      <c r="B153" s="18"/>
      <c r="C153" s="18"/>
      <c r="D153" s="18"/>
      <c r="E153" s="18"/>
      <c r="F153" s="18"/>
      <c r="G153" s="18"/>
      <c r="H153" s="20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 ht="21" customHeight="1" x14ac:dyDescent="0.3">
      <c r="A154" s="22"/>
      <c r="B154" s="18"/>
      <c r="C154" s="18"/>
      <c r="D154" s="18"/>
      <c r="E154" s="18"/>
      <c r="F154" s="18"/>
      <c r="G154" s="18"/>
      <c r="H154" s="20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 ht="21" customHeight="1" x14ac:dyDescent="0.3">
      <c r="A155" s="22"/>
      <c r="B155" s="18"/>
      <c r="C155" s="18"/>
      <c r="D155" s="18"/>
      <c r="E155" s="18"/>
      <c r="F155" s="18"/>
      <c r="G155" s="18"/>
      <c r="H155" s="20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 ht="21" customHeight="1" x14ac:dyDescent="0.3">
      <c r="A156" s="22"/>
      <c r="B156" s="18"/>
      <c r="C156" s="18"/>
      <c r="D156" s="18"/>
      <c r="E156" s="18"/>
      <c r="F156" s="18"/>
      <c r="G156" s="18"/>
      <c r="H156" s="20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 ht="21" customHeight="1" x14ac:dyDescent="0.3">
      <c r="A157" s="22"/>
      <c r="B157" s="18"/>
      <c r="C157" s="18"/>
      <c r="D157" s="18"/>
      <c r="E157" s="18"/>
      <c r="F157" s="18"/>
      <c r="G157" s="18"/>
      <c r="H157" s="20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 ht="21" customHeight="1" x14ac:dyDescent="0.3">
      <c r="A158" s="22"/>
      <c r="B158" s="18"/>
      <c r="C158" s="18"/>
      <c r="D158" s="18"/>
      <c r="E158" s="18"/>
      <c r="F158" s="18"/>
      <c r="G158" s="18"/>
      <c r="H158" s="20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 ht="21" customHeight="1" x14ac:dyDescent="0.3">
      <c r="A159" s="22"/>
      <c r="B159" s="18"/>
      <c r="C159" s="18"/>
      <c r="D159" s="18"/>
      <c r="E159" s="18"/>
      <c r="F159" s="18"/>
      <c r="G159" s="18"/>
      <c r="H159" s="20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ht="21" customHeight="1" x14ac:dyDescent="0.3">
      <c r="A160" s="22"/>
      <c r="B160" s="18"/>
      <c r="C160" s="18"/>
      <c r="D160" s="18"/>
      <c r="E160" s="18"/>
      <c r="F160" s="18"/>
      <c r="G160" s="18"/>
      <c r="H160" s="20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 ht="21" customHeight="1" x14ac:dyDescent="0.3">
      <c r="A161" s="22"/>
      <c r="B161" s="18"/>
      <c r="C161" s="18"/>
      <c r="D161" s="18"/>
      <c r="E161" s="18"/>
      <c r="F161" s="18"/>
      <c r="G161" s="18"/>
      <c r="H161" s="20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 ht="21" customHeight="1" x14ac:dyDescent="0.3">
      <c r="A162" s="22"/>
      <c r="B162" s="18"/>
      <c r="C162" s="18"/>
      <c r="D162" s="18"/>
      <c r="E162" s="18"/>
      <c r="F162" s="18"/>
      <c r="G162" s="18"/>
      <c r="H162" s="20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 ht="21" customHeight="1" x14ac:dyDescent="0.3">
      <c r="A163" s="22"/>
      <c r="B163" s="18"/>
      <c r="C163" s="18"/>
      <c r="D163" s="18"/>
      <c r="E163" s="18"/>
      <c r="F163" s="18"/>
      <c r="G163" s="18"/>
      <c r="H163" s="20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ht="21" customHeight="1" x14ac:dyDescent="0.3">
      <c r="A164" s="22"/>
      <c r="B164" s="18"/>
      <c r="C164" s="18"/>
      <c r="D164" s="18"/>
      <c r="E164" s="18"/>
      <c r="F164" s="18"/>
      <c r="G164" s="18"/>
      <c r="H164" s="20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21" customHeight="1" x14ac:dyDescent="0.3">
      <c r="A165" s="22"/>
      <c r="B165" s="18"/>
      <c r="C165" s="18"/>
      <c r="D165" s="18"/>
      <c r="E165" s="18"/>
      <c r="F165" s="18"/>
      <c r="G165" s="18"/>
      <c r="H165" s="20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 ht="21" customHeight="1" x14ac:dyDescent="0.3">
      <c r="A166" s="22"/>
      <c r="B166" s="18"/>
      <c r="C166" s="18"/>
      <c r="D166" s="18"/>
      <c r="E166" s="18"/>
      <c r="F166" s="18"/>
      <c r="G166" s="18"/>
      <c r="H166" s="20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 x14ac:dyDescent="0.3">
      <c r="A167" s="22"/>
      <c r="B167" s="18"/>
      <c r="C167" s="18"/>
      <c r="D167" s="18"/>
      <c r="E167" s="18"/>
      <c r="F167" s="18"/>
      <c r="G167" s="18"/>
      <c r="H167" s="20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 x14ac:dyDescent="0.3">
      <c r="A168" s="22"/>
      <c r="B168" s="18"/>
      <c r="C168" s="18"/>
      <c r="D168" s="18"/>
      <c r="E168" s="18"/>
      <c r="F168" s="18"/>
      <c r="G168" s="18"/>
      <c r="H168" s="20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 x14ac:dyDescent="0.3">
      <c r="A169" s="22"/>
      <c r="B169" s="18"/>
      <c r="C169" s="18"/>
      <c r="D169" s="18"/>
      <c r="E169" s="18"/>
      <c r="F169" s="18"/>
      <c r="G169" s="18"/>
      <c r="H169" s="20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x14ac:dyDescent="0.3">
      <c r="A170" s="22"/>
      <c r="B170" s="18"/>
      <c r="C170" s="18"/>
      <c r="D170" s="18"/>
      <c r="E170" s="18"/>
      <c r="F170" s="18"/>
      <c r="G170" s="18"/>
      <c r="H170" s="20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x14ac:dyDescent="0.3">
      <c r="A171" s="22"/>
      <c r="B171" s="18"/>
      <c r="C171" s="18"/>
      <c r="D171" s="18"/>
      <c r="E171" s="18"/>
      <c r="F171" s="18"/>
      <c r="G171" s="18"/>
      <c r="H171" s="20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x14ac:dyDescent="0.3">
      <c r="A172" s="22"/>
      <c r="B172" s="18"/>
      <c r="C172" s="18"/>
      <c r="D172" s="18"/>
      <c r="E172" s="18"/>
      <c r="F172" s="18"/>
      <c r="G172" s="18"/>
      <c r="H172" s="20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 x14ac:dyDescent="0.3">
      <c r="A173" s="22"/>
      <c r="B173" s="18"/>
      <c r="C173" s="18"/>
      <c r="D173" s="18"/>
      <c r="E173" s="18"/>
      <c r="F173" s="18"/>
      <c r="G173" s="18"/>
      <c r="H173" s="20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x14ac:dyDescent="0.3">
      <c r="A174" s="22"/>
      <c r="B174" s="18"/>
      <c r="C174" s="18"/>
      <c r="D174" s="18"/>
      <c r="E174" s="18"/>
      <c r="F174" s="18"/>
      <c r="G174" s="18"/>
      <c r="H174" s="20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x14ac:dyDescent="0.3">
      <c r="A175" s="22"/>
      <c r="B175" s="18"/>
      <c r="C175" s="18"/>
      <c r="D175" s="18"/>
      <c r="E175" s="18"/>
      <c r="F175" s="18"/>
      <c r="G175" s="18"/>
      <c r="H175" s="20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x14ac:dyDescent="0.3">
      <c r="A176" s="22"/>
      <c r="B176" s="18"/>
      <c r="C176" s="18"/>
      <c r="D176" s="18"/>
      <c r="E176" s="18"/>
      <c r="F176" s="18"/>
      <c r="G176" s="18"/>
      <c r="H176" s="20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x14ac:dyDescent="0.3">
      <c r="A177" s="22"/>
      <c r="B177" s="18"/>
      <c r="C177" s="18"/>
      <c r="D177" s="18"/>
      <c r="E177" s="18"/>
      <c r="F177" s="18"/>
      <c r="G177" s="18"/>
      <c r="H177" s="20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 x14ac:dyDescent="0.3">
      <c r="A178" s="22"/>
      <c r="B178" s="18"/>
      <c r="C178" s="18"/>
      <c r="D178" s="18"/>
      <c r="E178" s="18"/>
      <c r="F178" s="18"/>
      <c r="G178" s="18"/>
      <c r="H178" s="20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 x14ac:dyDescent="0.3">
      <c r="A179" s="22"/>
      <c r="B179" s="18"/>
      <c r="C179" s="18"/>
      <c r="D179" s="18"/>
      <c r="E179" s="18"/>
      <c r="F179" s="18"/>
      <c r="G179" s="18"/>
      <c r="H179" s="20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 x14ac:dyDescent="0.3">
      <c r="A180" s="22"/>
      <c r="B180" s="18"/>
      <c r="C180" s="18"/>
      <c r="D180" s="18"/>
      <c r="E180" s="18"/>
      <c r="F180" s="18"/>
      <c r="G180" s="18"/>
      <c r="H180" s="20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x14ac:dyDescent="0.3">
      <c r="A181" s="22"/>
      <c r="B181" s="18"/>
      <c r="C181" s="18"/>
      <c r="D181" s="18"/>
      <c r="E181" s="18"/>
      <c r="F181" s="18"/>
      <c r="G181" s="18"/>
      <c r="H181" s="20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 x14ac:dyDescent="0.3">
      <c r="A182" s="22"/>
      <c r="B182" s="18"/>
      <c r="C182" s="18"/>
      <c r="D182" s="18"/>
      <c r="E182" s="18"/>
      <c r="F182" s="18"/>
      <c r="G182" s="18"/>
      <c r="H182" s="20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 x14ac:dyDescent="0.3">
      <c r="A183" s="22"/>
      <c r="B183" s="18"/>
      <c r="C183" s="18"/>
      <c r="D183" s="18"/>
      <c r="E183" s="18"/>
      <c r="F183" s="18"/>
      <c r="G183" s="18"/>
      <c r="H183" s="20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 x14ac:dyDescent="0.3">
      <c r="A184" s="22"/>
      <c r="B184" s="18"/>
      <c r="C184" s="18"/>
      <c r="D184" s="18"/>
      <c r="E184" s="18"/>
      <c r="F184" s="18"/>
      <c r="G184" s="18"/>
      <c r="H184" s="20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 x14ac:dyDescent="0.3">
      <c r="A185" s="22"/>
      <c r="B185" s="18"/>
      <c r="C185" s="18"/>
      <c r="D185" s="18"/>
      <c r="E185" s="18"/>
      <c r="F185" s="18"/>
      <c r="G185" s="18"/>
      <c r="H185" s="20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 x14ac:dyDescent="0.3">
      <c r="A186" s="22"/>
      <c r="B186" s="18"/>
      <c r="C186" s="18"/>
      <c r="D186" s="18"/>
      <c r="E186" s="18"/>
      <c r="F186" s="18"/>
      <c r="G186" s="18"/>
      <c r="H186" s="20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 x14ac:dyDescent="0.3">
      <c r="A187" s="22"/>
      <c r="B187" s="18"/>
      <c r="C187" s="18"/>
      <c r="D187" s="18"/>
      <c r="E187" s="18"/>
      <c r="F187" s="18"/>
      <c r="G187" s="18"/>
      <c r="H187" s="20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1:25" x14ac:dyDescent="0.3">
      <c r="A188" s="22"/>
      <c r="B188" s="18"/>
      <c r="C188" s="18"/>
      <c r="D188" s="18"/>
      <c r="E188" s="18"/>
      <c r="F188" s="18"/>
      <c r="G188" s="18"/>
      <c r="H188" s="20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1:25" x14ac:dyDescent="0.3">
      <c r="A189" s="22"/>
      <c r="B189" s="18"/>
      <c r="C189" s="18"/>
      <c r="D189" s="18"/>
      <c r="E189" s="18"/>
      <c r="F189" s="18"/>
      <c r="G189" s="18"/>
      <c r="H189" s="20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1:25" x14ac:dyDescent="0.3">
      <c r="A190" s="22"/>
      <c r="B190" s="18"/>
      <c r="C190" s="18"/>
      <c r="D190" s="18"/>
      <c r="E190" s="18"/>
      <c r="F190" s="18"/>
      <c r="G190" s="18"/>
      <c r="H190" s="20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spans="1:25" x14ac:dyDescent="0.3">
      <c r="A191" s="22"/>
      <c r="B191" s="18"/>
      <c r="C191" s="18"/>
      <c r="D191" s="18"/>
      <c r="E191" s="18"/>
      <c r="F191" s="18"/>
      <c r="G191" s="18"/>
      <c r="H191" s="20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25" x14ac:dyDescent="0.3">
      <c r="A192" s="22"/>
      <c r="B192" s="18"/>
      <c r="C192" s="18"/>
      <c r="D192" s="18"/>
      <c r="E192" s="18"/>
      <c r="F192" s="18"/>
      <c r="G192" s="18"/>
      <c r="H192" s="20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 x14ac:dyDescent="0.3">
      <c r="A193" s="22"/>
      <c r="B193" s="18"/>
      <c r="C193" s="18"/>
      <c r="D193" s="18"/>
      <c r="E193" s="18"/>
      <c r="F193" s="18"/>
      <c r="G193" s="18"/>
      <c r="H193" s="20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 x14ac:dyDescent="0.3">
      <c r="A194" s="22"/>
      <c r="B194" s="18"/>
      <c r="C194" s="18"/>
      <c r="D194" s="18"/>
      <c r="E194" s="18"/>
      <c r="F194" s="18"/>
      <c r="G194" s="18"/>
      <c r="H194" s="20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 x14ac:dyDescent="0.3">
      <c r="A195" s="22"/>
      <c r="B195" s="18"/>
      <c r="C195" s="18"/>
      <c r="D195" s="18"/>
      <c r="E195" s="18"/>
      <c r="F195" s="18"/>
      <c r="G195" s="18"/>
      <c r="H195" s="20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 x14ac:dyDescent="0.3">
      <c r="A196" s="22"/>
      <c r="B196" s="18"/>
      <c r="C196" s="18"/>
      <c r="D196" s="18"/>
      <c r="E196" s="18"/>
      <c r="F196" s="18"/>
      <c r="G196" s="18"/>
      <c r="H196" s="20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 x14ac:dyDescent="0.3">
      <c r="A197" s="22"/>
      <c r="B197" s="18"/>
      <c r="C197" s="18"/>
      <c r="D197" s="18"/>
      <c r="E197" s="18"/>
      <c r="F197" s="18"/>
      <c r="G197" s="18"/>
      <c r="H197" s="20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 x14ac:dyDescent="0.3">
      <c r="A198" s="22"/>
      <c r="B198" s="18"/>
      <c r="C198" s="18"/>
      <c r="D198" s="18"/>
      <c r="E198" s="18"/>
      <c r="F198" s="18"/>
      <c r="G198" s="18"/>
      <c r="H198" s="20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 x14ac:dyDescent="0.3">
      <c r="A199" s="22"/>
      <c r="B199" s="18"/>
      <c r="C199" s="18"/>
      <c r="D199" s="18"/>
      <c r="E199" s="18"/>
      <c r="F199" s="18"/>
      <c r="G199" s="18"/>
      <c r="H199" s="20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 x14ac:dyDescent="0.3">
      <c r="A200" s="22"/>
      <c r="B200" s="18"/>
      <c r="C200" s="18"/>
      <c r="D200" s="18"/>
      <c r="E200" s="18"/>
      <c r="F200" s="18"/>
      <c r="G200" s="18"/>
      <c r="H200" s="20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x14ac:dyDescent="0.3">
      <c r="A201" s="22"/>
      <c r="B201" s="18"/>
      <c r="C201" s="18"/>
      <c r="D201" s="18"/>
      <c r="E201" s="18"/>
      <c r="F201" s="18"/>
      <c r="G201" s="18"/>
      <c r="H201" s="20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 x14ac:dyDescent="0.3">
      <c r="A202" s="22"/>
      <c r="B202" s="18"/>
      <c r="C202" s="18"/>
      <c r="D202" s="18"/>
      <c r="E202" s="18"/>
      <c r="F202" s="18"/>
      <c r="G202" s="18"/>
      <c r="H202" s="20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x14ac:dyDescent="0.3">
      <c r="A203" s="22"/>
      <c r="B203" s="18"/>
      <c r="C203" s="18"/>
      <c r="D203" s="18"/>
      <c r="E203" s="18"/>
      <c r="F203" s="18"/>
      <c r="G203" s="18"/>
      <c r="H203" s="20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 x14ac:dyDescent="0.3">
      <c r="A204" s="22"/>
      <c r="B204" s="18"/>
      <c r="C204" s="18"/>
      <c r="D204" s="18"/>
      <c r="E204" s="18"/>
      <c r="F204" s="18"/>
      <c r="G204" s="18"/>
      <c r="H204" s="20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 x14ac:dyDescent="0.3">
      <c r="A205" s="22"/>
      <c r="B205" s="18"/>
      <c r="C205" s="18"/>
      <c r="D205" s="18"/>
      <c r="E205" s="18"/>
      <c r="F205" s="18"/>
      <c r="G205" s="18"/>
      <c r="H205" s="20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 x14ac:dyDescent="0.3">
      <c r="A206" s="22"/>
      <c r="B206" s="18"/>
      <c r="C206" s="18"/>
      <c r="D206" s="18"/>
      <c r="E206" s="18"/>
      <c r="F206" s="18"/>
      <c r="G206" s="18"/>
      <c r="H206" s="20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 x14ac:dyDescent="0.3">
      <c r="A207" s="22"/>
      <c r="B207" s="18"/>
      <c r="C207" s="18"/>
      <c r="D207" s="18"/>
      <c r="E207" s="18"/>
      <c r="F207" s="18"/>
      <c r="G207" s="18"/>
      <c r="H207" s="20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 x14ac:dyDescent="0.3">
      <c r="A208" s="22"/>
      <c r="B208" s="18"/>
      <c r="C208" s="18"/>
      <c r="D208" s="18"/>
      <c r="E208" s="18"/>
      <c r="F208" s="18"/>
      <c r="G208" s="18"/>
      <c r="H208" s="20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 x14ac:dyDescent="0.3">
      <c r="A209" s="22"/>
      <c r="B209" s="18"/>
      <c r="C209" s="18"/>
      <c r="D209" s="18"/>
      <c r="E209" s="18"/>
      <c r="F209" s="18"/>
      <c r="G209" s="18"/>
      <c r="H209" s="20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 x14ac:dyDescent="0.3">
      <c r="A210" s="22"/>
      <c r="B210" s="18"/>
      <c r="C210" s="18"/>
      <c r="D210" s="18"/>
      <c r="E210" s="18"/>
      <c r="F210" s="18"/>
      <c r="G210" s="18"/>
      <c r="H210" s="20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 x14ac:dyDescent="0.3">
      <c r="A211" s="22"/>
      <c r="B211" s="18"/>
      <c r="C211" s="18"/>
      <c r="D211" s="18"/>
      <c r="E211" s="18"/>
      <c r="F211" s="18"/>
      <c r="G211" s="18"/>
      <c r="H211" s="20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 x14ac:dyDescent="0.3">
      <c r="A212" s="22"/>
      <c r="B212" s="18"/>
      <c r="C212" s="18"/>
      <c r="D212" s="18"/>
      <c r="E212" s="18"/>
      <c r="F212" s="18"/>
      <c r="G212" s="18"/>
      <c r="H212" s="20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x14ac:dyDescent="0.3">
      <c r="A213" s="22"/>
      <c r="B213" s="18"/>
      <c r="C213" s="18"/>
      <c r="D213" s="18"/>
      <c r="E213" s="18"/>
      <c r="F213" s="18"/>
      <c r="G213" s="18"/>
      <c r="H213" s="20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 x14ac:dyDescent="0.3">
      <c r="A214" s="22"/>
      <c r="B214" s="18"/>
      <c r="C214" s="18"/>
      <c r="D214" s="18"/>
      <c r="E214" s="18"/>
      <c r="F214" s="18"/>
      <c r="G214" s="18"/>
      <c r="H214" s="20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 x14ac:dyDescent="0.3">
      <c r="A215" s="22"/>
      <c r="B215" s="18"/>
      <c r="C215" s="18"/>
      <c r="D215" s="18"/>
      <c r="E215" s="18"/>
      <c r="F215" s="18"/>
      <c r="G215" s="18"/>
      <c r="H215" s="20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 x14ac:dyDescent="0.3">
      <c r="A216" s="22"/>
      <c r="B216" s="18"/>
      <c r="C216" s="18"/>
      <c r="D216" s="18"/>
      <c r="E216" s="18"/>
      <c r="F216" s="18"/>
      <c r="G216" s="18"/>
      <c r="H216" s="20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 x14ac:dyDescent="0.3">
      <c r="A217" s="22"/>
      <c r="B217" s="18"/>
      <c r="C217" s="18"/>
      <c r="D217" s="18"/>
      <c r="E217" s="18"/>
      <c r="F217" s="18"/>
      <c r="G217" s="18"/>
      <c r="H217" s="20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 x14ac:dyDescent="0.3">
      <c r="A218" s="22"/>
      <c r="B218" s="18"/>
      <c r="C218" s="18"/>
      <c r="D218" s="18"/>
      <c r="E218" s="18"/>
      <c r="F218" s="18"/>
      <c r="G218" s="18"/>
      <c r="H218" s="20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x14ac:dyDescent="0.3">
      <c r="A219" s="22"/>
      <c r="B219" s="18"/>
      <c r="C219" s="18"/>
      <c r="D219" s="18"/>
      <c r="E219" s="18"/>
      <c r="F219" s="18"/>
      <c r="G219" s="18"/>
      <c r="H219" s="20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 x14ac:dyDescent="0.3">
      <c r="A220" s="22"/>
      <c r="B220" s="18"/>
      <c r="C220" s="18"/>
      <c r="D220" s="18"/>
      <c r="E220" s="18"/>
      <c r="F220" s="18"/>
      <c r="G220" s="18"/>
      <c r="H220" s="20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 x14ac:dyDescent="0.3">
      <c r="A221" s="22"/>
      <c r="B221" s="18"/>
      <c r="C221" s="18"/>
      <c r="D221" s="18"/>
      <c r="E221" s="18"/>
      <c r="F221" s="18"/>
      <c r="G221" s="18"/>
      <c r="H221" s="20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x14ac:dyDescent="0.3">
      <c r="A222" s="22"/>
      <c r="B222" s="18"/>
      <c r="C222" s="18"/>
      <c r="D222" s="18"/>
      <c r="E222" s="18"/>
      <c r="F222" s="18"/>
      <c r="G222" s="18"/>
      <c r="H222" s="20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x14ac:dyDescent="0.3">
      <c r="A223" s="22"/>
      <c r="B223" s="18"/>
      <c r="C223" s="18"/>
      <c r="D223" s="18"/>
      <c r="E223" s="18"/>
      <c r="F223" s="18"/>
      <c r="G223" s="18"/>
      <c r="H223" s="20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x14ac:dyDescent="0.3">
      <c r="A224" s="22"/>
      <c r="B224" s="18"/>
      <c r="C224" s="18"/>
      <c r="D224" s="18"/>
      <c r="E224" s="18"/>
      <c r="F224" s="18"/>
      <c r="G224" s="18"/>
      <c r="H224" s="20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x14ac:dyDescent="0.3">
      <c r="A225" s="22"/>
      <c r="B225" s="18"/>
      <c r="C225" s="18"/>
      <c r="D225" s="18"/>
      <c r="E225" s="18"/>
      <c r="F225" s="18"/>
      <c r="G225" s="18"/>
      <c r="H225" s="20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x14ac:dyDescent="0.3">
      <c r="A226" s="22"/>
      <c r="B226" s="18"/>
      <c r="C226" s="18"/>
      <c r="D226" s="18"/>
      <c r="E226" s="18"/>
      <c r="F226" s="18"/>
      <c r="G226" s="18"/>
      <c r="H226" s="20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x14ac:dyDescent="0.3">
      <c r="A227" s="22"/>
      <c r="B227" s="18"/>
      <c r="C227" s="18"/>
      <c r="D227" s="18"/>
      <c r="E227" s="18"/>
      <c r="F227" s="18"/>
      <c r="G227" s="18"/>
      <c r="H227" s="20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x14ac:dyDescent="0.3">
      <c r="A228" s="22"/>
      <c r="B228" s="18"/>
      <c r="C228" s="18"/>
      <c r="D228" s="18"/>
      <c r="E228" s="18"/>
      <c r="F228" s="18"/>
      <c r="G228" s="18"/>
      <c r="H228" s="20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x14ac:dyDescent="0.3">
      <c r="A229" s="22"/>
      <c r="B229" s="18"/>
      <c r="C229" s="18"/>
      <c r="D229" s="18"/>
      <c r="E229" s="18"/>
      <c r="F229" s="18"/>
      <c r="G229" s="18"/>
      <c r="H229" s="20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x14ac:dyDescent="0.3">
      <c r="A230" s="22"/>
      <c r="B230" s="18"/>
      <c r="C230" s="18"/>
      <c r="D230" s="18"/>
      <c r="E230" s="18"/>
      <c r="F230" s="18"/>
      <c r="G230" s="18"/>
      <c r="H230" s="20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x14ac:dyDescent="0.3">
      <c r="A231" s="22"/>
      <c r="B231" s="18"/>
      <c r="C231" s="18"/>
      <c r="D231" s="18"/>
      <c r="E231" s="18"/>
      <c r="F231" s="18"/>
      <c r="G231" s="18"/>
      <c r="H231" s="20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x14ac:dyDescent="0.3">
      <c r="A232" s="22"/>
      <c r="B232" s="18"/>
      <c r="C232" s="18"/>
      <c r="D232" s="18"/>
      <c r="E232" s="18"/>
      <c r="F232" s="18"/>
      <c r="G232" s="18"/>
      <c r="H232" s="20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x14ac:dyDescent="0.3">
      <c r="A233" s="22"/>
      <c r="B233" s="18"/>
      <c r="C233" s="18"/>
      <c r="D233" s="18"/>
      <c r="E233" s="18"/>
      <c r="F233" s="18"/>
      <c r="G233" s="18"/>
      <c r="H233" s="20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x14ac:dyDescent="0.3">
      <c r="A234" s="22"/>
      <c r="B234" s="18"/>
      <c r="C234" s="18"/>
      <c r="D234" s="18"/>
      <c r="E234" s="18"/>
      <c r="F234" s="18"/>
      <c r="G234" s="18"/>
      <c r="H234" s="20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 x14ac:dyDescent="0.3">
      <c r="A235" s="22"/>
      <c r="B235" s="18"/>
      <c r="C235" s="18"/>
      <c r="D235" s="18"/>
      <c r="E235" s="18"/>
      <c r="F235" s="18"/>
      <c r="G235" s="18"/>
      <c r="H235" s="20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x14ac:dyDescent="0.3">
      <c r="A236" s="22"/>
      <c r="B236" s="18"/>
      <c r="C236" s="18"/>
      <c r="D236" s="18"/>
      <c r="E236" s="18"/>
      <c r="F236" s="18"/>
      <c r="G236" s="18"/>
      <c r="H236" s="20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x14ac:dyDescent="0.3">
      <c r="A237" s="22"/>
      <c r="B237" s="18"/>
      <c r="C237" s="18"/>
      <c r="D237" s="18"/>
      <c r="E237" s="18"/>
      <c r="F237" s="18"/>
      <c r="G237" s="18"/>
      <c r="H237" s="20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x14ac:dyDescent="0.3">
      <c r="A238" s="22"/>
      <c r="B238" s="18"/>
      <c r="C238" s="18"/>
      <c r="D238" s="18"/>
      <c r="E238" s="18"/>
      <c r="F238" s="18"/>
      <c r="G238" s="18"/>
      <c r="H238" s="20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x14ac:dyDescent="0.3">
      <c r="A239" s="22"/>
      <c r="B239" s="18"/>
      <c r="C239" s="18"/>
      <c r="D239" s="18"/>
      <c r="E239" s="18"/>
      <c r="F239" s="18"/>
      <c r="G239" s="18"/>
      <c r="H239" s="20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x14ac:dyDescent="0.3">
      <c r="A240" s="22"/>
      <c r="B240" s="18"/>
      <c r="C240" s="18"/>
      <c r="D240" s="18"/>
      <c r="E240" s="18"/>
      <c r="F240" s="18"/>
      <c r="G240" s="18"/>
      <c r="H240" s="20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x14ac:dyDescent="0.3">
      <c r="A241" s="22"/>
      <c r="B241" s="18"/>
      <c r="C241" s="18"/>
      <c r="D241" s="18"/>
      <c r="E241" s="18"/>
      <c r="F241" s="18"/>
      <c r="G241" s="18"/>
      <c r="H241" s="20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x14ac:dyDescent="0.3">
      <c r="A242" s="22"/>
      <c r="B242" s="18"/>
      <c r="C242" s="18"/>
      <c r="D242" s="18"/>
      <c r="E242" s="18"/>
      <c r="F242" s="18"/>
      <c r="G242" s="18"/>
      <c r="H242" s="20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x14ac:dyDescent="0.3">
      <c r="A243" s="22"/>
      <c r="B243" s="18"/>
      <c r="C243" s="18"/>
      <c r="D243" s="18"/>
      <c r="E243" s="18"/>
      <c r="F243" s="18"/>
      <c r="G243" s="18"/>
      <c r="H243" s="20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x14ac:dyDescent="0.3">
      <c r="A244" s="22"/>
      <c r="B244" s="18"/>
      <c r="C244" s="18"/>
      <c r="D244" s="18"/>
      <c r="E244" s="18"/>
      <c r="F244" s="18"/>
      <c r="G244" s="18"/>
      <c r="H244" s="20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x14ac:dyDescent="0.3">
      <c r="A245" s="22"/>
      <c r="B245" s="18"/>
      <c r="C245" s="18"/>
      <c r="D245" s="18"/>
      <c r="E245" s="18"/>
      <c r="F245" s="18"/>
      <c r="G245" s="18"/>
      <c r="H245" s="20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x14ac:dyDescent="0.3">
      <c r="A246" s="22"/>
      <c r="B246" s="18"/>
      <c r="C246" s="18"/>
      <c r="D246" s="18"/>
      <c r="E246" s="18"/>
      <c r="F246" s="18"/>
      <c r="G246" s="18"/>
      <c r="H246" s="20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x14ac:dyDescent="0.3">
      <c r="A247" s="22"/>
      <c r="B247" s="18"/>
      <c r="C247" s="18"/>
      <c r="D247" s="18"/>
      <c r="E247" s="18"/>
      <c r="F247" s="18"/>
      <c r="G247" s="18"/>
      <c r="H247" s="20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x14ac:dyDescent="0.3">
      <c r="A248" s="22"/>
      <c r="B248" s="18"/>
      <c r="C248" s="18"/>
      <c r="D248" s="18"/>
      <c r="E248" s="18"/>
      <c r="F248" s="18"/>
      <c r="G248" s="18"/>
      <c r="H248" s="20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x14ac:dyDescent="0.3">
      <c r="A249" s="22"/>
      <c r="B249" s="18"/>
      <c r="C249" s="18"/>
      <c r="D249" s="18"/>
      <c r="E249" s="18"/>
      <c r="F249" s="18"/>
      <c r="G249" s="18"/>
      <c r="H249" s="20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x14ac:dyDescent="0.3">
      <c r="A250" s="22"/>
      <c r="B250" s="18"/>
      <c r="C250" s="18"/>
      <c r="D250" s="18"/>
      <c r="E250" s="18"/>
      <c r="F250" s="18"/>
      <c r="G250" s="18"/>
      <c r="H250" s="20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x14ac:dyDescent="0.3">
      <c r="A251" s="22"/>
      <c r="B251" s="18"/>
      <c r="C251" s="18"/>
      <c r="D251" s="18"/>
      <c r="E251" s="18"/>
      <c r="F251" s="18"/>
      <c r="G251" s="18"/>
      <c r="H251" s="20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x14ac:dyDescent="0.3">
      <c r="A252" s="22"/>
      <c r="B252" s="18"/>
      <c r="C252" s="18"/>
      <c r="D252" s="18"/>
      <c r="E252" s="18"/>
      <c r="F252" s="18"/>
      <c r="G252" s="18"/>
      <c r="H252" s="20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x14ac:dyDescent="0.3">
      <c r="A253" s="22"/>
      <c r="B253" s="18"/>
      <c r="C253" s="18"/>
      <c r="D253" s="18"/>
      <c r="E253" s="18"/>
      <c r="F253" s="18"/>
      <c r="G253" s="18"/>
      <c r="H253" s="20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x14ac:dyDescent="0.3">
      <c r="A254" s="22"/>
      <c r="B254" s="18"/>
      <c r="C254" s="18"/>
      <c r="D254" s="18"/>
      <c r="E254" s="18"/>
      <c r="F254" s="18"/>
      <c r="G254" s="18"/>
      <c r="H254" s="20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x14ac:dyDescent="0.3">
      <c r="A255" s="22"/>
      <c r="B255" s="18"/>
      <c r="C255" s="18"/>
      <c r="D255" s="18"/>
      <c r="E255" s="18"/>
      <c r="F255" s="18"/>
      <c r="G255" s="18"/>
      <c r="H255" s="20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x14ac:dyDescent="0.3">
      <c r="A256" s="22"/>
      <c r="B256" s="18"/>
      <c r="C256" s="18"/>
      <c r="D256" s="18"/>
      <c r="E256" s="18"/>
      <c r="F256" s="18"/>
      <c r="G256" s="18"/>
      <c r="H256" s="20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x14ac:dyDescent="0.3">
      <c r="A257" s="22"/>
      <c r="B257" s="18"/>
      <c r="C257" s="18"/>
      <c r="D257" s="18"/>
      <c r="E257" s="18"/>
      <c r="F257" s="18"/>
      <c r="G257" s="18"/>
      <c r="H257" s="20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x14ac:dyDescent="0.3">
      <c r="A258" s="22"/>
      <c r="B258" s="18"/>
      <c r="C258" s="18"/>
      <c r="D258" s="18"/>
      <c r="E258" s="18"/>
      <c r="F258" s="18"/>
      <c r="G258" s="18"/>
      <c r="H258" s="20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x14ac:dyDescent="0.3">
      <c r="A259" s="22"/>
      <c r="B259" s="18"/>
      <c r="C259" s="18"/>
      <c r="D259" s="18"/>
      <c r="E259" s="18"/>
      <c r="F259" s="18"/>
      <c r="G259" s="18"/>
      <c r="H259" s="20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x14ac:dyDescent="0.3">
      <c r="A260" s="22"/>
      <c r="B260" s="18"/>
      <c r="C260" s="18"/>
      <c r="D260" s="18"/>
      <c r="E260" s="18"/>
      <c r="F260" s="18"/>
      <c r="G260" s="18"/>
      <c r="H260" s="20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x14ac:dyDescent="0.3">
      <c r="A261" s="22"/>
      <c r="B261" s="18"/>
      <c r="C261" s="18"/>
      <c r="D261" s="18"/>
      <c r="E261" s="18"/>
      <c r="F261" s="18"/>
      <c r="G261" s="18"/>
      <c r="H261" s="20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x14ac:dyDescent="0.3">
      <c r="A262" s="22"/>
      <c r="B262" s="18"/>
      <c r="C262" s="18"/>
      <c r="D262" s="18"/>
      <c r="E262" s="18"/>
      <c r="F262" s="18"/>
      <c r="G262" s="18"/>
      <c r="H262" s="20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x14ac:dyDescent="0.3">
      <c r="A263" s="22"/>
      <c r="B263" s="18"/>
      <c r="C263" s="18"/>
      <c r="D263" s="18"/>
      <c r="E263" s="18"/>
      <c r="F263" s="18"/>
      <c r="G263" s="18"/>
      <c r="H263" s="20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x14ac:dyDescent="0.3">
      <c r="A264" s="22"/>
      <c r="B264" s="18"/>
      <c r="C264" s="18"/>
      <c r="D264" s="18"/>
      <c r="E264" s="18"/>
      <c r="F264" s="18"/>
      <c r="G264" s="18"/>
      <c r="H264" s="20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x14ac:dyDescent="0.3">
      <c r="A265" s="22"/>
      <c r="B265" s="18"/>
      <c r="C265" s="18"/>
      <c r="D265" s="18"/>
      <c r="E265" s="18"/>
      <c r="F265" s="18"/>
      <c r="G265" s="18"/>
      <c r="H265" s="20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x14ac:dyDescent="0.3">
      <c r="A266" s="22"/>
      <c r="B266" s="18"/>
      <c r="C266" s="18"/>
      <c r="D266" s="18"/>
      <c r="E266" s="18"/>
      <c r="F266" s="18"/>
      <c r="G266" s="18"/>
      <c r="H266" s="20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x14ac:dyDescent="0.3">
      <c r="A267" s="22"/>
      <c r="B267" s="18"/>
      <c r="C267" s="18"/>
      <c r="D267" s="18"/>
      <c r="E267" s="18"/>
      <c r="F267" s="18"/>
      <c r="G267" s="18"/>
      <c r="H267" s="20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x14ac:dyDescent="0.3">
      <c r="A268" s="22"/>
      <c r="B268" s="18"/>
      <c r="C268" s="18"/>
      <c r="D268" s="18"/>
      <c r="E268" s="18"/>
      <c r="F268" s="18"/>
      <c r="G268" s="18"/>
      <c r="H268" s="20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x14ac:dyDescent="0.3">
      <c r="A269" s="22"/>
      <c r="B269" s="18"/>
      <c r="C269" s="18"/>
      <c r="D269" s="18"/>
      <c r="E269" s="18"/>
      <c r="F269" s="18"/>
      <c r="G269" s="18"/>
      <c r="H269" s="20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x14ac:dyDescent="0.3">
      <c r="A270" s="22"/>
      <c r="B270" s="18"/>
      <c r="C270" s="18"/>
      <c r="D270" s="18"/>
      <c r="E270" s="18"/>
      <c r="F270" s="18"/>
      <c r="G270" s="18"/>
      <c r="H270" s="20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x14ac:dyDescent="0.3">
      <c r="A271" s="22"/>
      <c r="B271" s="18"/>
      <c r="C271" s="18"/>
      <c r="D271" s="18"/>
      <c r="E271" s="18"/>
      <c r="F271" s="18"/>
      <c r="G271" s="18"/>
      <c r="H271" s="20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x14ac:dyDescent="0.3">
      <c r="A272" s="22"/>
      <c r="B272" s="18"/>
      <c r="C272" s="18"/>
      <c r="D272" s="18"/>
      <c r="E272" s="18"/>
      <c r="F272" s="18"/>
      <c r="G272" s="18"/>
      <c r="H272" s="20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x14ac:dyDescent="0.3">
      <c r="A273" s="22"/>
      <c r="B273" s="18"/>
      <c r="C273" s="18"/>
      <c r="D273" s="18"/>
      <c r="E273" s="18"/>
      <c r="F273" s="18"/>
      <c r="G273" s="18"/>
      <c r="H273" s="20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x14ac:dyDescent="0.3">
      <c r="A274" s="22"/>
      <c r="B274" s="18"/>
      <c r="C274" s="18"/>
      <c r="D274" s="18"/>
      <c r="E274" s="18"/>
      <c r="F274" s="18"/>
      <c r="G274" s="18"/>
      <c r="H274" s="20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x14ac:dyDescent="0.3">
      <c r="A275" s="22"/>
      <c r="B275" s="18"/>
      <c r="C275" s="18"/>
      <c r="D275" s="18"/>
      <c r="E275" s="18"/>
      <c r="F275" s="18"/>
      <c r="G275" s="18"/>
      <c r="H275" s="20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x14ac:dyDescent="0.3">
      <c r="A276" s="22"/>
      <c r="B276" s="18"/>
      <c r="C276" s="18"/>
      <c r="D276" s="18"/>
      <c r="E276" s="18"/>
      <c r="F276" s="18"/>
      <c r="G276" s="18"/>
      <c r="H276" s="20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x14ac:dyDescent="0.3">
      <c r="A277" s="22"/>
      <c r="B277" s="18"/>
      <c r="C277" s="18"/>
      <c r="D277" s="18"/>
      <c r="E277" s="18"/>
      <c r="F277" s="18"/>
      <c r="G277" s="18"/>
      <c r="H277" s="20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x14ac:dyDescent="0.3">
      <c r="A278" s="22"/>
      <c r="B278" s="18"/>
      <c r="C278" s="18"/>
      <c r="D278" s="18"/>
      <c r="E278" s="18"/>
      <c r="F278" s="18"/>
      <c r="G278" s="18"/>
      <c r="H278" s="20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x14ac:dyDescent="0.3">
      <c r="A279" s="22"/>
      <c r="B279" s="18"/>
      <c r="C279" s="18"/>
      <c r="D279" s="18"/>
      <c r="E279" s="18"/>
      <c r="F279" s="18"/>
      <c r="G279" s="18"/>
      <c r="H279" s="20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x14ac:dyDescent="0.3">
      <c r="A280" s="22"/>
      <c r="B280" s="18"/>
      <c r="C280" s="18"/>
      <c r="D280" s="18"/>
      <c r="E280" s="18"/>
      <c r="F280" s="18"/>
      <c r="G280" s="18"/>
      <c r="H280" s="20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x14ac:dyDescent="0.3">
      <c r="A281" s="22"/>
      <c r="B281" s="18"/>
      <c r="C281" s="18"/>
      <c r="D281" s="18"/>
      <c r="E281" s="18"/>
      <c r="F281" s="18"/>
      <c r="G281" s="18"/>
      <c r="H281" s="20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x14ac:dyDescent="0.3">
      <c r="A282" s="22"/>
      <c r="B282" s="18"/>
      <c r="C282" s="18"/>
      <c r="D282" s="18"/>
      <c r="E282" s="18"/>
      <c r="F282" s="18"/>
      <c r="G282" s="18"/>
      <c r="H282" s="20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x14ac:dyDescent="0.3">
      <c r="A283" s="22"/>
      <c r="B283" s="18"/>
      <c r="C283" s="18"/>
      <c r="D283" s="18"/>
      <c r="E283" s="18"/>
      <c r="F283" s="18"/>
      <c r="G283" s="18"/>
      <c r="H283" s="20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x14ac:dyDescent="0.3">
      <c r="A284" s="22"/>
      <c r="B284" s="18"/>
      <c r="C284" s="18"/>
      <c r="D284" s="18"/>
      <c r="E284" s="18"/>
      <c r="F284" s="18"/>
      <c r="G284" s="18"/>
      <c r="H284" s="20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x14ac:dyDescent="0.3">
      <c r="A285" s="22"/>
      <c r="B285" s="18"/>
      <c r="C285" s="18"/>
      <c r="D285" s="18"/>
      <c r="E285" s="18"/>
      <c r="F285" s="18"/>
      <c r="G285" s="18"/>
      <c r="H285" s="20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x14ac:dyDescent="0.3">
      <c r="A286" s="22"/>
      <c r="B286" s="18"/>
      <c r="C286" s="18"/>
      <c r="D286" s="18"/>
      <c r="E286" s="18"/>
      <c r="F286" s="18"/>
      <c r="G286" s="18"/>
      <c r="H286" s="20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x14ac:dyDescent="0.3">
      <c r="A287" s="22"/>
      <c r="B287" s="18"/>
      <c r="C287" s="18"/>
      <c r="D287" s="18"/>
      <c r="E287" s="18"/>
      <c r="F287" s="18"/>
      <c r="G287" s="18"/>
      <c r="H287" s="20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x14ac:dyDescent="0.3">
      <c r="A288" s="22"/>
      <c r="B288" s="18"/>
      <c r="C288" s="18"/>
      <c r="D288" s="18"/>
      <c r="E288" s="18"/>
      <c r="F288" s="18"/>
      <c r="G288" s="18"/>
      <c r="H288" s="20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x14ac:dyDescent="0.3">
      <c r="A289" s="22"/>
      <c r="B289" s="18"/>
      <c r="C289" s="18"/>
      <c r="D289" s="18"/>
      <c r="E289" s="18"/>
      <c r="F289" s="18"/>
      <c r="G289" s="18"/>
      <c r="H289" s="20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x14ac:dyDescent="0.3">
      <c r="A290" s="22"/>
      <c r="B290" s="18"/>
      <c r="C290" s="18"/>
      <c r="D290" s="18"/>
      <c r="E290" s="18"/>
      <c r="F290" s="18"/>
      <c r="G290" s="18"/>
      <c r="H290" s="20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x14ac:dyDescent="0.3">
      <c r="A291" s="22"/>
      <c r="B291" s="18"/>
      <c r="C291" s="18"/>
      <c r="D291" s="18"/>
      <c r="E291" s="18"/>
      <c r="F291" s="18"/>
      <c r="G291" s="18"/>
      <c r="H291" s="20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x14ac:dyDescent="0.3">
      <c r="A292" s="22"/>
      <c r="B292" s="18"/>
      <c r="C292" s="18"/>
      <c r="D292" s="18"/>
      <c r="E292" s="18"/>
      <c r="F292" s="18"/>
      <c r="G292" s="18"/>
      <c r="H292" s="20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x14ac:dyDescent="0.3">
      <c r="A293" s="22"/>
      <c r="B293" s="18"/>
      <c r="C293" s="18"/>
      <c r="D293" s="18"/>
      <c r="E293" s="18"/>
      <c r="F293" s="18"/>
      <c r="G293" s="18"/>
      <c r="H293" s="20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x14ac:dyDescent="0.3">
      <c r="A294" s="22"/>
      <c r="B294" s="18"/>
      <c r="C294" s="18"/>
      <c r="D294" s="18"/>
      <c r="E294" s="18"/>
      <c r="F294" s="18"/>
      <c r="G294" s="18"/>
      <c r="H294" s="20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x14ac:dyDescent="0.3">
      <c r="A295" s="22"/>
      <c r="B295" s="18"/>
      <c r="C295" s="18"/>
      <c r="D295" s="18"/>
      <c r="E295" s="18"/>
      <c r="F295" s="18"/>
      <c r="G295" s="18"/>
      <c r="H295" s="20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x14ac:dyDescent="0.3">
      <c r="A296" s="22"/>
      <c r="B296" s="18"/>
      <c r="C296" s="18"/>
      <c r="D296" s="18"/>
      <c r="E296" s="18"/>
      <c r="F296" s="18"/>
      <c r="G296" s="18"/>
      <c r="H296" s="20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x14ac:dyDescent="0.3">
      <c r="A297" s="22"/>
      <c r="B297" s="18"/>
      <c r="C297" s="18"/>
      <c r="D297" s="18"/>
      <c r="E297" s="18"/>
      <c r="F297" s="18"/>
      <c r="G297" s="18"/>
      <c r="H297" s="20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x14ac:dyDescent="0.3">
      <c r="A298" s="22"/>
      <c r="B298" s="18"/>
      <c r="C298" s="18"/>
      <c r="D298" s="18"/>
      <c r="E298" s="18"/>
      <c r="F298" s="18"/>
      <c r="G298" s="18"/>
      <c r="H298" s="20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x14ac:dyDescent="0.3">
      <c r="A299" s="22"/>
      <c r="B299" s="18"/>
      <c r="C299" s="18"/>
      <c r="D299" s="18"/>
      <c r="E299" s="18"/>
      <c r="F299" s="18"/>
      <c r="G299" s="18"/>
      <c r="H299" s="20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x14ac:dyDescent="0.3">
      <c r="A300" s="22"/>
      <c r="B300" s="18"/>
      <c r="C300" s="18"/>
      <c r="D300" s="18"/>
      <c r="E300" s="18"/>
      <c r="F300" s="18"/>
      <c r="G300" s="18"/>
      <c r="H300" s="20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x14ac:dyDescent="0.3">
      <c r="A301" s="22"/>
      <c r="B301" s="18"/>
      <c r="C301" s="18"/>
      <c r="D301" s="18"/>
      <c r="E301" s="18"/>
      <c r="F301" s="18"/>
      <c r="G301" s="18"/>
      <c r="H301" s="20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x14ac:dyDescent="0.3">
      <c r="A302" s="22"/>
      <c r="B302" s="18"/>
      <c r="C302" s="18"/>
      <c r="D302" s="18"/>
      <c r="E302" s="18"/>
      <c r="F302" s="18"/>
      <c r="G302" s="18"/>
      <c r="H302" s="20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x14ac:dyDescent="0.3">
      <c r="A303" s="22"/>
      <c r="B303" s="18"/>
      <c r="C303" s="18"/>
      <c r="D303" s="18"/>
      <c r="E303" s="18"/>
      <c r="F303" s="18"/>
      <c r="G303" s="18"/>
      <c r="H303" s="20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x14ac:dyDescent="0.3">
      <c r="A304" s="22"/>
      <c r="B304" s="18"/>
      <c r="C304" s="18"/>
      <c r="D304" s="18"/>
      <c r="E304" s="18"/>
      <c r="F304" s="18"/>
      <c r="G304" s="18"/>
      <c r="H304" s="20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x14ac:dyDescent="0.3">
      <c r="A305" s="22"/>
      <c r="B305" s="18"/>
      <c r="C305" s="18"/>
      <c r="D305" s="18"/>
      <c r="E305" s="18"/>
      <c r="F305" s="18"/>
      <c r="G305" s="18"/>
      <c r="H305" s="20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x14ac:dyDescent="0.3">
      <c r="A306" s="22"/>
      <c r="B306" s="18"/>
      <c r="C306" s="18"/>
      <c r="D306" s="18"/>
      <c r="E306" s="18"/>
      <c r="F306" s="18"/>
      <c r="G306" s="18"/>
      <c r="H306" s="20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x14ac:dyDescent="0.3">
      <c r="A307" s="22"/>
      <c r="B307" s="18"/>
      <c r="C307" s="18"/>
      <c r="D307" s="18"/>
      <c r="E307" s="18"/>
      <c r="F307" s="18"/>
      <c r="G307" s="18"/>
      <c r="H307" s="20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x14ac:dyDescent="0.3">
      <c r="A308" s="22"/>
      <c r="B308" s="18"/>
      <c r="C308" s="18"/>
      <c r="D308" s="18"/>
      <c r="E308" s="18"/>
      <c r="F308" s="18"/>
      <c r="G308" s="18"/>
      <c r="H308" s="20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x14ac:dyDescent="0.3">
      <c r="A309" s="22"/>
      <c r="B309" s="18"/>
      <c r="C309" s="18"/>
      <c r="D309" s="18"/>
      <c r="E309" s="18"/>
      <c r="F309" s="18"/>
      <c r="G309" s="18"/>
      <c r="H309" s="20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x14ac:dyDescent="0.3">
      <c r="A310" s="22"/>
      <c r="B310" s="18"/>
      <c r="C310" s="18"/>
      <c r="D310" s="18"/>
      <c r="E310" s="18"/>
      <c r="F310" s="18"/>
      <c r="G310" s="18"/>
      <c r="H310" s="20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x14ac:dyDescent="0.3">
      <c r="A311" s="22"/>
      <c r="B311" s="18"/>
      <c r="C311" s="18"/>
      <c r="D311" s="18"/>
      <c r="E311" s="18"/>
      <c r="F311" s="18"/>
      <c r="G311" s="18"/>
      <c r="H311" s="20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x14ac:dyDescent="0.3">
      <c r="A312" s="22"/>
      <c r="B312" s="18"/>
      <c r="C312" s="18"/>
      <c r="D312" s="18"/>
      <c r="E312" s="18"/>
      <c r="F312" s="18"/>
      <c r="G312" s="18"/>
      <c r="H312" s="20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x14ac:dyDescent="0.3">
      <c r="A313" s="22"/>
      <c r="B313" s="18"/>
      <c r="C313" s="18"/>
      <c r="D313" s="18"/>
      <c r="E313" s="18"/>
      <c r="F313" s="18"/>
      <c r="G313" s="18"/>
      <c r="H313" s="20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x14ac:dyDescent="0.3">
      <c r="A314" s="22"/>
      <c r="B314" s="18"/>
      <c r="C314" s="18"/>
      <c r="D314" s="18"/>
      <c r="E314" s="18"/>
      <c r="F314" s="18"/>
      <c r="G314" s="18"/>
      <c r="H314" s="20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x14ac:dyDescent="0.3">
      <c r="A315" s="22"/>
      <c r="B315" s="18"/>
      <c r="C315" s="18"/>
      <c r="D315" s="18"/>
      <c r="E315" s="18"/>
      <c r="F315" s="18"/>
      <c r="G315" s="18"/>
      <c r="H315" s="20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x14ac:dyDescent="0.3">
      <c r="A316" s="22"/>
      <c r="B316" s="18"/>
      <c r="C316" s="18"/>
      <c r="D316" s="18"/>
      <c r="E316" s="18"/>
      <c r="F316" s="18"/>
      <c r="G316" s="18"/>
      <c r="H316" s="20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x14ac:dyDescent="0.3">
      <c r="A317" s="22"/>
      <c r="B317" s="18"/>
      <c r="C317" s="18"/>
      <c r="D317" s="18"/>
      <c r="E317" s="18"/>
      <c r="F317" s="18"/>
      <c r="G317" s="18"/>
      <c r="H317" s="20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x14ac:dyDescent="0.3">
      <c r="A318" s="22"/>
      <c r="B318" s="18"/>
      <c r="C318" s="18"/>
      <c r="D318" s="18"/>
      <c r="E318" s="18"/>
      <c r="F318" s="18"/>
      <c r="G318" s="18"/>
      <c r="H318" s="20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x14ac:dyDescent="0.3">
      <c r="A319" s="22"/>
      <c r="B319" s="18"/>
      <c r="C319" s="18"/>
      <c r="D319" s="18"/>
      <c r="E319" s="18"/>
      <c r="F319" s="18"/>
      <c r="G319" s="18"/>
      <c r="H319" s="20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x14ac:dyDescent="0.3">
      <c r="A320" s="22"/>
      <c r="B320" s="18"/>
      <c r="C320" s="18"/>
      <c r="D320" s="18"/>
      <c r="E320" s="18"/>
      <c r="F320" s="18"/>
      <c r="G320" s="18"/>
      <c r="H320" s="20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x14ac:dyDescent="0.3">
      <c r="A321" s="22"/>
      <c r="B321" s="18"/>
      <c r="C321" s="18"/>
      <c r="D321" s="18"/>
      <c r="E321" s="18"/>
      <c r="F321" s="18"/>
      <c r="G321" s="18"/>
      <c r="H321" s="20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x14ac:dyDescent="0.3">
      <c r="A322" s="22"/>
      <c r="B322" s="18"/>
      <c r="C322" s="18"/>
      <c r="D322" s="18"/>
      <c r="E322" s="18"/>
      <c r="F322" s="18"/>
      <c r="G322" s="18"/>
      <c r="H322" s="20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x14ac:dyDescent="0.3">
      <c r="A323" s="22"/>
      <c r="B323" s="18"/>
      <c r="C323" s="18"/>
      <c r="D323" s="18"/>
      <c r="E323" s="18"/>
      <c r="F323" s="18"/>
      <c r="G323" s="18"/>
      <c r="H323" s="20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x14ac:dyDescent="0.3">
      <c r="A324" s="22"/>
      <c r="B324" s="18"/>
      <c r="C324" s="18"/>
      <c r="D324" s="18"/>
      <c r="E324" s="18"/>
      <c r="F324" s="18"/>
      <c r="G324" s="18"/>
      <c r="H324" s="20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x14ac:dyDescent="0.3">
      <c r="A325" s="22"/>
      <c r="B325" s="18"/>
      <c r="C325" s="18"/>
      <c r="D325" s="18"/>
      <c r="E325" s="18"/>
      <c r="F325" s="18"/>
      <c r="G325" s="18"/>
      <c r="H325" s="20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x14ac:dyDescent="0.3">
      <c r="A326" s="22"/>
      <c r="B326" s="18"/>
      <c r="C326" s="18"/>
      <c r="D326" s="18"/>
      <c r="E326" s="18"/>
      <c r="F326" s="18"/>
      <c r="G326" s="18"/>
      <c r="H326" s="20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x14ac:dyDescent="0.3">
      <c r="A327" s="22"/>
      <c r="B327" s="18"/>
      <c r="C327" s="18"/>
      <c r="D327" s="18"/>
      <c r="E327" s="18"/>
      <c r="F327" s="18"/>
      <c r="G327" s="18"/>
      <c r="H327" s="20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x14ac:dyDescent="0.3">
      <c r="A328" s="22"/>
      <c r="B328" s="18"/>
      <c r="C328" s="18"/>
      <c r="D328" s="18"/>
      <c r="E328" s="18"/>
      <c r="F328" s="18"/>
      <c r="G328" s="18"/>
      <c r="H328" s="20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x14ac:dyDescent="0.3">
      <c r="A329" s="22"/>
      <c r="B329" s="18"/>
      <c r="C329" s="18"/>
      <c r="D329" s="18"/>
      <c r="E329" s="18"/>
      <c r="F329" s="18"/>
      <c r="G329" s="18"/>
      <c r="H329" s="20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x14ac:dyDescent="0.3">
      <c r="A330" s="22"/>
      <c r="B330" s="18"/>
      <c r="C330" s="18"/>
      <c r="D330" s="18"/>
      <c r="E330" s="18"/>
      <c r="F330" s="18"/>
      <c r="G330" s="18"/>
      <c r="H330" s="20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x14ac:dyDescent="0.3">
      <c r="A331" s="22"/>
      <c r="B331" s="18"/>
      <c r="C331" s="18"/>
      <c r="D331" s="18"/>
      <c r="E331" s="18"/>
      <c r="F331" s="18"/>
      <c r="G331" s="18"/>
      <c r="H331" s="20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x14ac:dyDescent="0.3">
      <c r="A332" s="22"/>
      <c r="B332" s="18"/>
      <c r="C332" s="18"/>
      <c r="D332" s="18"/>
      <c r="E332" s="18"/>
      <c r="F332" s="18"/>
      <c r="G332" s="18"/>
      <c r="H332" s="20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x14ac:dyDescent="0.3">
      <c r="A333" s="22"/>
      <c r="B333" s="18"/>
      <c r="C333" s="18"/>
      <c r="D333" s="18"/>
      <c r="E333" s="18"/>
      <c r="F333" s="18"/>
      <c r="G333" s="18"/>
      <c r="H333" s="20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x14ac:dyDescent="0.3">
      <c r="A334" s="22"/>
      <c r="B334" s="18"/>
      <c r="C334" s="18"/>
      <c r="D334" s="18"/>
      <c r="E334" s="18"/>
      <c r="F334" s="18"/>
      <c r="G334" s="18"/>
      <c r="H334" s="20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x14ac:dyDescent="0.3">
      <c r="A335" s="22"/>
      <c r="B335" s="18"/>
      <c r="C335" s="18"/>
      <c r="D335" s="18"/>
      <c r="E335" s="18"/>
      <c r="F335" s="18"/>
      <c r="G335" s="18"/>
      <c r="H335" s="20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x14ac:dyDescent="0.3">
      <c r="A336" s="22"/>
      <c r="B336" s="18"/>
      <c r="C336" s="18"/>
      <c r="D336" s="18"/>
      <c r="E336" s="18"/>
      <c r="F336" s="18"/>
      <c r="G336" s="18"/>
      <c r="H336" s="20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x14ac:dyDescent="0.3">
      <c r="A337" s="22"/>
      <c r="B337" s="18"/>
      <c r="C337" s="18"/>
      <c r="D337" s="18"/>
      <c r="E337" s="18"/>
      <c r="F337" s="18"/>
      <c r="G337" s="18"/>
      <c r="H337" s="20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x14ac:dyDescent="0.3">
      <c r="A338" s="22"/>
      <c r="B338" s="18"/>
      <c r="C338" s="18"/>
      <c r="D338" s="18"/>
      <c r="E338" s="18"/>
      <c r="F338" s="18"/>
      <c r="G338" s="18"/>
      <c r="H338" s="20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x14ac:dyDescent="0.3">
      <c r="A339" s="22"/>
      <c r="B339" s="18"/>
      <c r="C339" s="18"/>
      <c r="D339" s="18"/>
      <c r="E339" s="18"/>
      <c r="F339" s="18"/>
      <c r="G339" s="18"/>
      <c r="H339" s="20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x14ac:dyDescent="0.3">
      <c r="A340" s="22"/>
      <c r="B340" s="18"/>
      <c r="C340" s="18"/>
      <c r="D340" s="18"/>
      <c r="E340" s="18"/>
      <c r="F340" s="18"/>
      <c r="G340" s="18"/>
      <c r="H340" s="20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x14ac:dyDescent="0.3">
      <c r="A341" s="22"/>
      <c r="B341" s="18"/>
      <c r="C341" s="18"/>
      <c r="D341" s="18"/>
      <c r="E341" s="18"/>
      <c r="F341" s="18"/>
      <c r="G341" s="18"/>
      <c r="H341" s="20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x14ac:dyDescent="0.3">
      <c r="A342" s="22"/>
      <c r="B342" s="18"/>
      <c r="C342" s="18"/>
      <c r="D342" s="18"/>
      <c r="E342" s="18"/>
      <c r="F342" s="18"/>
      <c r="G342" s="18"/>
      <c r="H342" s="20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x14ac:dyDescent="0.3">
      <c r="A343" s="22"/>
      <c r="B343" s="18"/>
      <c r="C343" s="18"/>
      <c r="D343" s="18"/>
      <c r="E343" s="18"/>
      <c r="F343" s="18"/>
      <c r="G343" s="18"/>
      <c r="H343" s="20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x14ac:dyDescent="0.3">
      <c r="A344" s="22"/>
      <c r="B344" s="18"/>
      <c r="C344" s="18"/>
      <c r="D344" s="18"/>
      <c r="E344" s="18"/>
      <c r="F344" s="18"/>
      <c r="G344" s="18"/>
      <c r="H344" s="20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x14ac:dyDescent="0.3">
      <c r="A345" s="22"/>
      <c r="B345" s="18"/>
      <c r="C345" s="18"/>
      <c r="D345" s="18"/>
      <c r="E345" s="18"/>
      <c r="F345" s="18"/>
      <c r="G345" s="18"/>
      <c r="H345" s="20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x14ac:dyDescent="0.3">
      <c r="A346" s="22"/>
      <c r="B346" s="18"/>
      <c r="C346" s="18"/>
      <c r="D346" s="18"/>
      <c r="E346" s="18"/>
      <c r="F346" s="18"/>
      <c r="G346" s="18"/>
      <c r="H346" s="20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x14ac:dyDescent="0.3">
      <c r="A347" s="22"/>
      <c r="B347" s="18"/>
      <c r="C347" s="18"/>
      <c r="D347" s="18"/>
      <c r="E347" s="18"/>
      <c r="F347" s="18"/>
      <c r="G347" s="18"/>
      <c r="H347" s="20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x14ac:dyDescent="0.3">
      <c r="A348" s="22"/>
      <c r="B348" s="18"/>
      <c r="C348" s="18"/>
      <c r="D348" s="18"/>
      <c r="E348" s="18"/>
      <c r="F348" s="18"/>
      <c r="G348" s="18"/>
      <c r="H348" s="20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x14ac:dyDescent="0.3">
      <c r="A349" s="22"/>
      <c r="B349" s="18"/>
      <c r="C349" s="18"/>
      <c r="D349" s="18"/>
      <c r="E349" s="18"/>
      <c r="F349" s="18"/>
      <c r="G349" s="18"/>
      <c r="H349" s="20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x14ac:dyDescent="0.3">
      <c r="A350" s="22"/>
      <c r="B350" s="18"/>
      <c r="C350" s="18"/>
      <c r="D350" s="18"/>
      <c r="E350" s="18"/>
      <c r="F350" s="18"/>
      <c r="G350" s="18"/>
      <c r="H350" s="20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x14ac:dyDescent="0.3">
      <c r="A351" s="22"/>
      <c r="B351" s="18"/>
      <c r="C351" s="18"/>
      <c r="D351" s="18"/>
      <c r="E351" s="18"/>
      <c r="F351" s="18"/>
      <c r="G351" s="18"/>
      <c r="H351" s="20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x14ac:dyDescent="0.3">
      <c r="A352" s="22"/>
      <c r="B352" s="18"/>
      <c r="C352" s="18"/>
      <c r="D352" s="18"/>
      <c r="E352" s="18"/>
      <c r="F352" s="18"/>
      <c r="G352" s="18"/>
      <c r="H352" s="20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x14ac:dyDescent="0.3">
      <c r="A353" s="22"/>
      <c r="B353" s="18"/>
      <c r="C353" s="18"/>
      <c r="D353" s="18"/>
      <c r="E353" s="18"/>
      <c r="F353" s="18"/>
      <c r="G353" s="18"/>
      <c r="H353" s="20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x14ac:dyDescent="0.3">
      <c r="A354" s="22"/>
      <c r="B354" s="18"/>
      <c r="C354" s="18"/>
      <c r="D354" s="18"/>
      <c r="E354" s="18"/>
      <c r="F354" s="18"/>
      <c r="G354" s="18"/>
      <c r="H354" s="20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x14ac:dyDescent="0.3">
      <c r="A355" s="22"/>
      <c r="B355" s="18"/>
      <c r="C355" s="18"/>
      <c r="D355" s="18"/>
      <c r="E355" s="18"/>
      <c r="F355" s="18"/>
      <c r="G355" s="18"/>
      <c r="H355" s="20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x14ac:dyDescent="0.3">
      <c r="A356" s="22"/>
      <c r="B356" s="18"/>
      <c r="C356" s="18"/>
      <c r="D356" s="18"/>
      <c r="E356" s="18"/>
      <c r="F356" s="18"/>
      <c r="G356" s="18"/>
      <c r="H356" s="20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x14ac:dyDescent="0.3">
      <c r="A357" s="22"/>
      <c r="B357" s="18"/>
      <c r="C357" s="18"/>
      <c r="D357" s="18"/>
      <c r="E357" s="18"/>
      <c r="F357" s="18"/>
      <c r="G357" s="18"/>
      <c r="H357" s="20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x14ac:dyDescent="0.3">
      <c r="A358" s="22"/>
      <c r="B358" s="18"/>
      <c r="C358" s="18"/>
      <c r="D358" s="18"/>
      <c r="E358" s="18"/>
      <c r="F358" s="18"/>
      <c r="G358" s="18"/>
      <c r="H358" s="20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x14ac:dyDescent="0.3">
      <c r="A359" s="22"/>
      <c r="B359" s="18"/>
      <c r="C359" s="18"/>
      <c r="D359" s="18"/>
      <c r="E359" s="18"/>
      <c r="F359" s="18"/>
      <c r="G359" s="18"/>
      <c r="H359" s="20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x14ac:dyDescent="0.3">
      <c r="A360" s="22"/>
      <c r="B360" s="18"/>
      <c r="C360" s="18"/>
      <c r="D360" s="18"/>
      <c r="E360" s="18"/>
      <c r="F360" s="18"/>
      <c r="G360" s="18"/>
      <c r="H360" s="20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x14ac:dyDescent="0.3">
      <c r="A361" s="22"/>
      <c r="B361" s="18"/>
      <c r="C361" s="18"/>
      <c r="D361" s="18"/>
      <c r="E361" s="18"/>
      <c r="F361" s="18"/>
      <c r="G361" s="18"/>
      <c r="H361" s="20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x14ac:dyDescent="0.3">
      <c r="A362" s="22"/>
      <c r="B362" s="18"/>
      <c r="C362" s="18"/>
      <c r="D362" s="18"/>
      <c r="E362" s="18"/>
      <c r="F362" s="18"/>
      <c r="G362" s="18"/>
      <c r="H362" s="20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x14ac:dyDescent="0.3">
      <c r="A363" s="22"/>
      <c r="B363" s="18"/>
      <c r="C363" s="18"/>
      <c r="D363" s="18"/>
      <c r="E363" s="18"/>
      <c r="F363" s="18"/>
      <c r="G363" s="18"/>
      <c r="H363" s="20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x14ac:dyDescent="0.3">
      <c r="A364" s="22"/>
      <c r="B364" s="18"/>
      <c r="C364" s="18"/>
      <c r="D364" s="18"/>
      <c r="E364" s="18"/>
      <c r="F364" s="18"/>
      <c r="G364" s="18"/>
      <c r="H364" s="20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x14ac:dyDescent="0.3">
      <c r="A365" s="22"/>
      <c r="B365" s="18"/>
      <c r="C365" s="18"/>
      <c r="D365" s="18"/>
      <c r="E365" s="18"/>
      <c r="F365" s="18"/>
      <c r="G365" s="18"/>
      <c r="H365" s="20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x14ac:dyDescent="0.3">
      <c r="A366" s="22"/>
      <c r="B366" s="18"/>
      <c r="C366" s="18"/>
      <c r="D366" s="18"/>
      <c r="E366" s="18"/>
      <c r="F366" s="18"/>
      <c r="G366" s="18"/>
      <c r="H366" s="20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x14ac:dyDescent="0.3">
      <c r="A367" s="22"/>
      <c r="B367" s="18"/>
      <c r="C367" s="18"/>
      <c r="D367" s="18"/>
      <c r="E367" s="18"/>
      <c r="F367" s="18"/>
      <c r="G367" s="18"/>
      <c r="H367" s="20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x14ac:dyDescent="0.3">
      <c r="A368" s="22"/>
      <c r="B368" s="18"/>
      <c r="C368" s="18"/>
      <c r="D368" s="18"/>
      <c r="E368" s="18"/>
      <c r="F368" s="18"/>
      <c r="G368" s="18"/>
      <c r="H368" s="20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x14ac:dyDescent="0.3">
      <c r="A369" s="22"/>
      <c r="B369" s="18"/>
      <c r="C369" s="18"/>
      <c r="D369" s="18"/>
      <c r="E369" s="18"/>
      <c r="F369" s="18"/>
      <c r="G369" s="18"/>
      <c r="H369" s="20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x14ac:dyDescent="0.3">
      <c r="A370" s="22"/>
      <c r="B370" s="18"/>
      <c r="C370" s="18"/>
      <c r="D370" s="18"/>
      <c r="E370" s="18"/>
      <c r="F370" s="18"/>
      <c r="G370" s="18"/>
      <c r="H370" s="20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x14ac:dyDescent="0.3">
      <c r="A371" s="22"/>
      <c r="B371" s="18"/>
      <c r="C371" s="18"/>
      <c r="D371" s="18"/>
      <c r="E371" s="18"/>
      <c r="F371" s="18"/>
      <c r="G371" s="18"/>
      <c r="H371" s="20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x14ac:dyDescent="0.3">
      <c r="A372" s="22"/>
      <c r="B372" s="18"/>
      <c r="C372" s="18"/>
      <c r="D372" s="18"/>
      <c r="E372" s="18"/>
      <c r="F372" s="18"/>
      <c r="G372" s="18"/>
      <c r="H372" s="20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x14ac:dyDescent="0.3">
      <c r="A373" s="22"/>
      <c r="B373" s="18"/>
      <c r="C373" s="18"/>
      <c r="D373" s="18"/>
      <c r="E373" s="18"/>
      <c r="F373" s="18"/>
      <c r="G373" s="18"/>
      <c r="H373" s="20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x14ac:dyDescent="0.3">
      <c r="A374" s="22"/>
      <c r="B374" s="18"/>
      <c r="C374" s="18"/>
      <c r="D374" s="18"/>
      <c r="E374" s="18"/>
      <c r="F374" s="18"/>
      <c r="G374" s="18"/>
      <c r="H374" s="20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x14ac:dyDescent="0.3">
      <c r="A375" s="22"/>
      <c r="B375" s="18"/>
      <c r="C375" s="18"/>
      <c r="D375" s="18"/>
      <c r="E375" s="18"/>
      <c r="F375" s="18"/>
      <c r="G375" s="18"/>
      <c r="H375" s="20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x14ac:dyDescent="0.3">
      <c r="A376" s="22"/>
      <c r="B376" s="18"/>
      <c r="C376" s="18"/>
      <c r="D376" s="18"/>
      <c r="E376" s="18"/>
      <c r="F376" s="18"/>
      <c r="G376" s="18"/>
      <c r="H376" s="20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x14ac:dyDescent="0.3">
      <c r="A377" s="22"/>
      <c r="B377" s="18"/>
      <c r="C377" s="18"/>
      <c r="D377" s="18"/>
      <c r="E377" s="18"/>
      <c r="F377" s="18"/>
      <c r="G377" s="18"/>
      <c r="H377" s="20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x14ac:dyDescent="0.3">
      <c r="A378" s="22"/>
      <c r="B378" s="18"/>
      <c r="C378" s="18"/>
      <c r="D378" s="18"/>
      <c r="E378" s="18"/>
      <c r="F378" s="18"/>
      <c r="G378" s="18"/>
      <c r="H378" s="20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x14ac:dyDescent="0.3">
      <c r="A379" s="22"/>
      <c r="B379" s="18"/>
      <c r="C379" s="18"/>
      <c r="D379" s="18"/>
      <c r="E379" s="18"/>
      <c r="F379" s="18"/>
      <c r="G379" s="18"/>
      <c r="H379" s="20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x14ac:dyDescent="0.3">
      <c r="A380" s="22"/>
      <c r="B380" s="18"/>
      <c r="C380" s="18"/>
      <c r="D380" s="18"/>
      <c r="E380" s="18"/>
      <c r="F380" s="18"/>
      <c r="G380" s="18"/>
      <c r="H380" s="20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x14ac:dyDescent="0.3">
      <c r="A381" s="22"/>
      <c r="B381" s="18"/>
      <c r="C381" s="18"/>
      <c r="D381" s="18"/>
      <c r="E381" s="18"/>
      <c r="F381" s="18"/>
      <c r="G381" s="18"/>
      <c r="H381" s="20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x14ac:dyDescent="0.3">
      <c r="A382" s="22"/>
      <c r="B382" s="18"/>
      <c r="C382" s="18"/>
      <c r="D382" s="18"/>
      <c r="E382" s="18"/>
      <c r="F382" s="18"/>
      <c r="G382" s="18"/>
      <c r="H382" s="20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x14ac:dyDescent="0.3">
      <c r="A383" s="22"/>
      <c r="B383" s="18"/>
      <c r="C383" s="18"/>
      <c r="D383" s="18"/>
      <c r="E383" s="18"/>
      <c r="F383" s="18"/>
      <c r="G383" s="18"/>
      <c r="H383" s="20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x14ac:dyDescent="0.3">
      <c r="A384" s="22"/>
      <c r="B384" s="18"/>
      <c r="C384" s="18"/>
      <c r="D384" s="18"/>
      <c r="E384" s="18"/>
      <c r="F384" s="18"/>
      <c r="G384" s="18"/>
      <c r="H384" s="20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x14ac:dyDescent="0.3">
      <c r="A385" s="22"/>
      <c r="B385" s="18"/>
      <c r="C385" s="18"/>
      <c r="D385" s="18"/>
      <c r="E385" s="18"/>
      <c r="F385" s="18"/>
      <c r="G385" s="18"/>
      <c r="H385" s="20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x14ac:dyDescent="0.3">
      <c r="A386" s="22"/>
      <c r="B386" s="18"/>
      <c r="C386" s="18"/>
      <c r="D386" s="18"/>
      <c r="E386" s="18"/>
      <c r="F386" s="18"/>
      <c r="G386" s="18"/>
      <c r="H386" s="20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x14ac:dyDescent="0.3">
      <c r="A387" s="22"/>
      <c r="B387" s="18"/>
      <c r="C387" s="18"/>
      <c r="D387" s="18"/>
      <c r="E387" s="18"/>
      <c r="F387" s="18"/>
      <c r="G387" s="18"/>
      <c r="H387" s="20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x14ac:dyDescent="0.3">
      <c r="A388" s="22"/>
      <c r="B388" s="18"/>
      <c r="C388" s="18"/>
      <c r="D388" s="18"/>
      <c r="E388" s="18"/>
      <c r="F388" s="18"/>
      <c r="G388" s="18"/>
      <c r="H388" s="20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x14ac:dyDescent="0.3">
      <c r="A389" s="22"/>
      <c r="B389" s="18"/>
      <c r="C389" s="18"/>
      <c r="D389" s="18"/>
      <c r="E389" s="18"/>
      <c r="F389" s="18"/>
      <c r="G389" s="18"/>
      <c r="H389" s="20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x14ac:dyDescent="0.3">
      <c r="A390" s="22"/>
      <c r="B390" s="18"/>
      <c r="C390" s="18"/>
      <c r="D390" s="18"/>
      <c r="E390" s="18"/>
      <c r="F390" s="18"/>
      <c r="G390" s="18"/>
      <c r="H390" s="20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x14ac:dyDescent="0.3">
      <c r="A391" s="22"/>
      <c r="B391" s="18"/>
      <c r="C391" s="18"/>
      <c r="D391" s="18"/>
      <c r="E391" s="18"/>
      <c r="F391" s="18"/>
      <c r="G391" s="18"/>
      <c r="H391" s="20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x14ac:dyDescent="0.3">
      <c r="A392" s="22"/>
      <c r="B392" s="18"/>
      <c r="C392" s="18"/>
      <c r="D392" s="18"/>
      <c r="E392" s="18"/>
      <c r="F392" s="18"/>
      <c r="G392" s="18"/>
      <c r="H392" s="20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x14ac:dyDescent="0.3">
      <c r="A393" s="22"/>
      <c r="B393" s="18"/>
      <c r="C393" s="18"/>
      <c r="D393" s="18"/>
      <c r="E393" s="18"/>
      <c r="F393" s="18"/>
      <c r="G393" s="18"/>
      <c r="H393" s="20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x14ac:dyDescent="0.3">
      <c r="A394" s="22"/>
      <c r="B394" s="18"/>
      <c r="C394" s="18"/>
      <c r="D394" s="18"/>
      <c r="E394" s="18"/>
      <c r="F394" s="18"/>
      <c r="G394" s="18"/>
      <c r="H394" s="20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x14ac:dyDescent="0.3">
      <c r="A395" s="22"/>
      <c r="B395" s="18"/>
      <c r="C395" s="18"/>
      <c r="D395" s="18"/>
      <c r="E395" s="18"/>
      <c r="F395" s="18"/>
      <c r="G395" s="18"/>
      <c r="H395" s="20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x14ac:dyDescent="0.3">
      <c r="A396" s="22"/>
      <c r="B396" s="18"/>
      <c r="C396" s="18"/>
      <c r="D396" s="18"/>
      <c r="E396" s="18"/>
      <c r="F396" s="18"/>
      <c r="G396" s="18"/>
      <c r="H396" s="20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x14ac:dyDescent="0.3">
      <c r="A397" s="22"/>
      <c r="B397" s="18"/>
      <c r="C397" s="18"/>
      <c r="D397" s="18"/>
      <c r="E397" s="18"/>
      <c r="F397" s="18"/>
      <c r="G397" s="18"/>
      <c r="H397" s="20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x14ac:dyDescent="0.3">
      <c r="A398" s="22"/>
      <c r="B398" s="18"/>
      <c r="C398" s="18"/>
      <c r="D398" s="18"/>
      <c r="E398" s="18"/>
      <c r="F398" s="18"/>
      <c r="G398" s="18"/>
      <c r="H398" s="20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x14ac:dyDescent="0.3">
      <c r="A399" s="22"/>
      <c r="B399" s="18"/>
      <c r="C399" s="18"/>
      <c r="D399" s="18"/>
      <c r="E399" s="18"/>
      <c r="F399" s="18"/>
      <c r="G399" s="18"/>
      <c r="H399" s="20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x14ac:dyDescent="0.3">
      <c r="A400" s="22"/>
      <c r="B400" s="18"/>
      <c r="C400" s="18"/>
      <c r="D400" s="18"/>
      <c r="E400" s="18"/>
      <c r="F400" s="18"/>
      <c r="G400" s="18"/>
      <c r="H400" s="20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x14ac:dyDescent="0.3">
      <c r="A401" s="22"/>
      <c r="B401" s="18"/>
      <c r="C401" s="18"/>
      <c r="D401" s="18"/>
      <c r="E401" s="18"/>
      <c r="F401" s="18"/>
      <c r="G401" s="18"/>
      <c r="H401" s="20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x14ac:dyDescent="0.3">
      <c r="A402" s="22"/>
      <c r="B402" s="18"/>
      <c r="C402" s="18"/>
      <c r="D402" s="18"/>
      <c r="E402" s="18"/>
      <c r="F402" s="18"/>
      <c r="G402" s="18"/>
      <c r="H402" s="20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x14ac:dyDescent="0.3">
      <c r="A403" s="22"/>
      <c r="B403" s="18"/>
      <c r="C403" s="18"/>
      <c r="D403" s="18"/>
      <c r="E403" s="18"/>
      <c r="F403" s="18"/>
      <c r="G403" s="18"/>
      <c r="H403" s="20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x14ac:dyDescent="0.3">
      <c r="A404" s="22"/>
      <c r="B404" s="18"/>
      <c r="C404" s="18"/>
      <c r="D404" s="18"/>
      <c r="E404" s="18"/>
      <c r="F404" s="18"/>
      <c r="G404" s="18"/>
      <c r="H404" s="20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x14ac:dyDescent="0.3">
      <c r="A405" s="22"/>
      <c r="B405" s="18"/>
      <c r="C405" s="18"/>
      <c r="D405" s="18"/>
      <c r="E405" s="18"/>
      <c r="F405" s="18"/>
      <c r="G405" s="18"/>
      <c r="H405" s="20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x14ac:dyDescent="0.3">
      <c r="A406" s="22"/>
      <c r="B406" s="18"/>
      <c r="C406" s="18"/>
      <c r="D406" s="18"/>
      <c r="E406" s="18"/>
      <c r="F406" s="18"/>
      <c r="G406" s="18"/>
      <c r="H406" s="20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x14ac:dyDescent="0.3">
      <c r="A407" s="22"/>
      <c r="B407" s="18"/>
      <c r="C407" s="18"/>
      <c r="D407" s="18"/>
      <c r="E407" s="18"/>
      <c r="F407" s="18"/>
      <c r="G407" s="18"/>
      <c r="H407" s="20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x14ac:dyDescent="0.3">
      <c r="A408" s="22"/>
      <c r="B408" s="18"/>
      <c r="C408" s="18"/>
      <c r="D408" s="18"/>
      <c r="E408" s="18"/>
      <c r="F408" s="18"/>
      <c r="G408" s="18"/>
      <c r="H408" s="20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x14ac:dyDescent="0.3">
      <c r="A409" s="22"/>
      <c r="B409" s="18"/>
      <c r="C409" s="18"/>
      <c r="D409" s="18"/>
      <c r="E409" s="18"/>
      <c r="F409" s="18"/>
      <c r="G409" s="18"/>
      <c r="H409" s="20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spans="1:25" x14ac:dyDescent="0.3">
      <c r="A410" s="22"/>
      <c r="B410" s="18"/>
      <c r="C410" s="18"/>
      <c r="D410" s="18"/>
      <c r="E410" s="18"/>
      <c r="F410" s="18"/>
      <c r="G410" s="18"/>
      <c r="H410" s="20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spans="1:25" x14ac:dyDescent="0.3">
      <c r="A411" s="22"/>
      <c r="B411" s="18"/>
      <c r="C411" s="18"/>
      <c r="D411" s="18"/>
      <c r="E411" s="18"/>
      <c r="F411" s="18"/>
      <c r="G411" s="18"/>
      <c r="H411" s="20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spans="1:25" x14ac:dyDescent="0.3">
      <c r="A412" s="22"/>
      <c r="B412" s="18"/>
      <c r="C412" s="18"/>
      <c r="D412" s="18"/>
      <c r="E412" s="18"/>
      <c r="F412" s="18"/>
      <c r="G412" s="18"/>
      <c r="H412" s="20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spans="1:25" x14ac:dyDescent="0.3">
      <c r="A413" s="22"/>
      <c r="B413" s="18"/>
      <c r="C413" s="18"/>
      <c r="D413" s="18"/>
      <c r="E413" s="18"/>
      <c r="F413" s="18"/>
      <c r="G413" s="18"/>
      <c r="H413" s="20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spans="1:25" x14ac:dyDescent="0.3">
      <c r="A414" s="22"/>
      <c r="B414" s="18"/>
      <c r="C414" s="18"/>
      <c r="D414" s="18"/>
      <c r="E414" s="18"/>
      <c r="F414" s="18"/>
      <c r="G414" s="18"/>
      <c r="H414" s="20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spans="1:25" x14ac:dyDescent="0.3">
      <c r="A415" s="22"/>
      <c r="B415" s="18"/>
      <c r="C415" s="18"/>
      <c r="D415" s="18"/>
      <c r="E415" s="18"/>
      <c r="F415" s="18"/>
      <c r="G415" s="18"/>
      <c r="H415" s="20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spans="1:25" x14ac:dyDescent="0.3">
      <c r="A416" s="22"/>
      <c r="B416" s="18"/>
      <c r="C416" s="18"/>
      <c r="D416" s="18"/>
      <c r="E416" s="18"/>
      <c r="F416" s="18"/>
      <c r="G416" s="18"/>
      <c r="H416" s="20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spans="1:25" x14ac:dyDescent="0.3">
      <c r="A417" s="22"/>
      <c r="B417" s="18"/>
      <c r="C417" s="18"/>
      <c r="D417" s="18"/>
      <c r="E417" s="18"/>
      <c r="F417" s="18"/>
      <c r="G417" s="18"/>
      <c r="H417" s="20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spans="1:25" x14ac:dyDescent="0.3">
      <c r="A418" s="22"/>
      <c r="B418" s="18"/>
      <c r="C418" s="18"/>
      <c r="D418" s="18"/>
      <c r="E418" s="18"/>
      <c r="F418" s="18"/>
      <c r="G418" s="18"/>
      <c r="H418" s="20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spans="1:25" x14ac:dyDescent="0.3">
      <c r="A419" s="22"/>
      <c r="B419" s="18"/>
      <c r="C419" s="18"/>
      <c r="D419" s="18"/>
      <c r="E419" s="18"/>
      <c r="F419" s="18"/>
      <c r="G419" s="18"/>
      <c r="H419" s="20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spans="1:25" x14ac:dyDescent="0.3">
      <c r="A420" s="22"/>
      <c r="B420" s="18"/>
      <c r="C420" s="18"/>
      <c r="D420" s="18"/>
      <c r="E420" s="18"/>
      <c r="F420" s="18"/>
      <c r="G420" s="18"/>
      <c r="H420" s="20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spans="1:25" x14ac:dyDescent="0.3">
      <c r="A421" s="22"/>
      <c r="B421" s="18"/>
      <c r="C421" s="18"/>
      <c r="D421" s="18"/>
      <c r="E421" s="18"/>
      <c r="F421" s="18"/>
      <c r="G421" s="18"/>
      <c r="H421" s="20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spans="1:25" x14ac:dyDescent="0.3">
      <c r="A422" s="22"/>
      <c r="B422" s="18"/>
      <c r="C422" s="18"/>
      <c r="D422" s="18"/>
      <c r="E422" s="18"/>
      <c r="F422" s="18"/>
      <c r="G422" s="18"/>
      <c r="H422" s="20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spans="1:25" x14ac:dyDescent="0.3">
      <c r="A423" s="22"/>
      <c r="B423" s="18"/>
      <c r="C423" s="18"/>
      <c r="D423" s="18"/>
      <c r="E423" s="18"/>
      <c r="F423" s="18"/>
      <c r="G423" s="18"/>
      <c r="H423" s="20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spans="1:25" x14ac:dyDescent="0.3">
      <c r="A424" s="22"/>
      <c r="B424" s="18"/>
      <c r="C424" s="18"/>
      <c r="D424" s="18"/>
      <c r="E424" s="18"/>
      <c r="F424" s="18"/>
      <c r="G424" s="18"/>
      <c r="H424" s="20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spans="1:25" x14ac:dyDescent="0.3">
      <c r="A425" s="22"/>
      <c r="B425" s="18"/>
      <c r="C425" s="18"/>
      <c r="D425" s="18"/>
      <c r="E425" s="18"/>
      <c r="F425" s="18"/>
      <c r="G425" s="18"/>
      <c r="H425" s="20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spans="1:25" x14ac:dyDescent="0.3">
      <c r="A426" s="22"/>
      <c r="B426" s="18"/>
      <c r="C426" s="18"/>
      <c r="D426" s="18"/>
      <c r="E426" s="18"/>
      <c r="F426" s="18"/>
      <c r="G426" s="18"/>
      <c r="H426" s="20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spans="1:25" x14ac:dyDescent="0.3">
      <c r="A427" s="22"/>
      <c r="B427" s="18"/>
      <c r="C427" s="18"/>
      <c r="D427" s="18"/>
      <c r="E427" s="18"/>
      <c r="F427" s="18"/>
      <c r="G427" s="18"/>
      <c r="H427" s="20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spans="1:25" x14ac:dyDescent="0.3">
      <c r="A428" s="22"/>
      <c r="B428" s="18"/>
      <c r="C428" s="18"/>
      <c r="D428" s="18"/>
      <c r="E428" s="18"/>
      <c r="F428" s="18"/>
      <c r="G428" s="18"/>
      <c r="H428" s="20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spans="1:25" x14ac:dyDescent="0.3">
      <c r="A429" s="22"/>
      <c r="B429" s="18"/>
      <c r="C429" s="18"/>
      <c r="D429" s="18"/>
      <c r="E429" s="18"/>
      <c r="F429" s="18"/>
      <c r="G429" s="18"/>
      <c r="H429" s="20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spans="1:25" x14ac:dyDescent="0.3">
      <c r="A430" s="22"/>
      <c r="B430" s="18"/>
      <c r="C430" s="18"/>
      <c r="D430" s="18"/>
      <c r="E430" s="18"/>
      <c r="F430" s="18"/>
      <c r="G430" s="18"/>
      <c r="H430" s="20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spans="1:25" x14ac:dyDescent="0.3">
      <c r="A431" s="22"/>
      <c r="B431" s="18"/>
      <c r="C431" s="18"/>
      <c r="D431" s="18"/>
      <c r="E431" s="18"/>
      <c r="F431" s="18"/>
      <c r="G431" s="18"/>
      <c r="H431" s="20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spans="1:25" x14ac:dyDescent="0.3">
      <c r="A432" s="22"/>
      <c r="B432" s="18"/>
      <c r="C432" s="18"/>
      <c r="D432" s="18"/>
      <c r="E432" s="18"/>
      <c r="F432" s="18"/>
      <c r="G432" s="18"/>
      <c r="H432" s="20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spans="1:25" x14ac:dyDescent="0.3">
      <c r="A433" s="22"/>
      <c r="B433" s="18"/>
      <c r="C433" s="18"/>
      <c r="D433" s="18"/>
      <c r="E433" s="18"/>
      <c r="F433" s="18"/>
      <c r="G433" s="18"/>
      <c r="H433" s="20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spans="1:25" x14ac:dyDescent="0.3">
      <c r="A434" s="22"/>
      <c r="B434" s="18"/>
      <c r="C434" s="18"/>
      <c r="D434" s="18"/>
      <c r="E434" s="18"/>
      <c r="F434" s="18"/>
      <c r="G434" s="18"/>
      <c r="H434" s="20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spans="1:25" x14ac:dyDescent="0.3">
      <c r="A435" s="22"/>
      <c r="B435" s="18"/>
      <c r="C435" s="18"/>
      <c r="D435" s="18"/>
      <c r="E435" s="18"/>
      <c r="F435" s="18"/>
      <c r="G435" s="18"/>
      <c r="H435" s="20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spans="1:25" x14ac:dyDescent="0.3">
      <c r="A436" s="22"/>
      <c r="B436" s="18"/>
      <c r="C436" s="18"/>
      <c r="D436" s="18"/>
      <c r="E436" s="18"/>
      <c r="F436" s="18"/>
      <c r="G436" s="18"/>
      <c r="H436" s="20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spans="1:25" x14ac:dyDescent="0.3">
      <c r="A437" s="22"/>
      <c r="B437" s="18"/>
      <c r="C437" s="18"/>
      <c r="D437" s="18"/>
      <c r="E437" s="18"/>
      <c r="F437" s="18"/>
      <c r="G437" s="18"/>
      <c r="H437" s="20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spans="1:25" x14ac:dyDescent="0.3">
      <c r="A438" s="22"/>
      <c r="B438" s="18"/>
      <c r="C438" s="18"/>
      <c r="D438" s="18"/>
      <c r="E438" s="18"/>
      <c r="F438" s="18"/>
      <c r="G438" s="18"/>
      <c r="H438" s="20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spans="1:25" x14ac:dyDescent="0.3">
      <c r="A439" s="22"/>
      <c r="B439" s="18"/>
      <c r="C439" s="18"/>
      <c r="D439" s="18"/>
      <c r="E439" s="18"/>
      <c r="F439" s="18"/>
      <c r="G439" s="18"/>
      <c r="H439" s="20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spans="1:25" x14ac:dyDescent="0.3">
      <c r="A440" s="22"/>
      <c r="B440" s="18"/>
      <c r="C440" s="18"/>
      <c r="D440" s="18"/>
      <c r="E440" s="18"/>
      <c r="F440" s="18"/>
      <c r="G440" s="18"/>
      <c r="H440" s="20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spans="1:25" x14ac:dyDescent="0.3">
      <c r="A441" s="22"/>
      <c r="B441" s="18"/>
      <c r="C441" s="18"/>
      <c r="D441" s="18"/>
      <c r="E441" s="18"/>
      <c r="F441" s="18"/>
      <c r="G441" s="18"/>
      <c r="H441" s="20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spans="1:25" x14ac:dyDescent="0.3">
      <c r="A442" s="22"/>
      <c r="B442" s="18"/>
      <c r="C442" s="18"/>
      <c r="D442" s="18"/>
      <c r="E442" s="18"/>
      <c r="F442" s="18"/>
      <c r="G442" s="18"/>
      <c r="H442" s="20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spans="1:25" x14ac:dyDescent="0.3">
      <c r="A443" s="22"/>
      <c r="B443" s="18"/>
      <c r="C443" s="18"/>
      <c r="D443" s="18"/>
      <c r="E443" s="18"/>
      <c r="F443" s="18"/>
      <c r="G443" s="18"/>
      <c r="H443" s="20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spans="1:25" x14ac:dyDescent="0.3">
      <c r="A444" s="22"/>
      <c r="B444" s="18"/>
      <c r="C444" s="18"/>
      <c r="D444" s="18"/>
      <c r="E444" s="18"/>
      <c r="F444" s="18"/>
      <c r="G444" s="18"/>
      <c r="H444" s="20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spans="1:25" x14ac:dyDescent="0.3">
      <c r="A445" s="22"/>
      <c r="B445" s="18"/>
      <c r="C445" s="18"/>
      <c r="D445" s="18"/>
      <c r="E445" s="18"/>
      <c r="F445" s="18"/>
      <c r="G445" s="18"/>
      <c r="H445" s="20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spans="1:25" x14ac:dyDescent="0.3">
      <c r="A446" s="22"/>
      <c r="B446" s="18"/>
      <c r="C446" s="18"/>
      <c r="D446" s="18"/>
      <c r="E446" s="18"/>
      <c r="F446" s="18"/>
      <c r="G446" s="18"/>
      <c r="H446" s="20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spans="1:25" x14ac:dyDescent="0.3">
      <c r="A447" s="22"/>
      <c r="B447" s="18"/>
      <c r="C447" s="18"/>
      <c r="D447" s="18"/>
      <c r="E447" s="18"/>
      <c r="F447" s="18"/>
      <c r="G447" s="18"/>
      <c r="H447" s="20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spans="1:25" x14ac:dyDescent="0.3">
      <c r="A448" s="22"/>
      <c r="B448" s="18"/>
      <c r="C448" s="18"/>
      <c r="D448" s="18"/>
      <c r="E448" s="18"/>
      <c r="F448" s="18"/>
      <c r="G448" s="18"/>
      <c r="H448" s="20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spans="1:25" x14ac:dyDescent="0.3">
      <c r="A449" s="22"/>
      <c r="B449" s="18"/>
      <c r="C449" s="18"/>
      <c r="D449" s="18"/>
      <c r="E449" s="18"/>
      <c r="F449" s="18"/>
      <c r="G449" s="18"/>
      <c r="H449" s="20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spans="1:25" x14ac:dyDescent="0.3">
      <c r="A450" s="22"/>
      <c r="B450" s="18"/>
      <c r="C450" s="18"/>
      <c r="D450" s="18"/>
      <c r="E450" s="18"/>
      <c r="F450" s="18"/>
      <c r="G450" s="18"/>
      <c r="H450" s="20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spans="1:25" x14ac:dyDescent="0.3">
      <c r="A451" s="22"/>
      <c r="B451" s="18"/>
      <c r="C451" s="18"/>
      <c r="D451" s="18"/>
      <c r="E451" s="18"/>
      <c r="F451" s="18"/>
      <c r="G451" s="18"/>
      <c r="H451" s="20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spans="1:25" x14ac:dyDescent="0.3">
      <c r="A452" s="22"/>
      <c r="B452" s="18"/>
      <c r="C452" s="18"/>
      <c r="D452" s="18"/>
      <c r="E452" s="18"/>
      <c r="F452" s="18"/>
      <c r="G452" s="18"/>
      <c r="H452" s="20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spans="1:25" x14ac:dyDescent="0.3">
      <c r="A453" s="22"/>
      <c r="B453" s="18"/>
      <c r="C453" s="18"/>
      <c r="D453" s="18"/>
      <c r="E453" s="18"/>
      <c r="F453" s="18"/>
      <c r="G453" s="18"/>
      <c r="H453" s="20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spans="1:25" x14ac:dyDescent="0.3">
      <c r="A454" s="22"/>
      <c r="B454" s="18"/>
      <c r="C454" s="18"/>
      <c r="D454" s="18"/>
      <c r="E454" s="18"/>
      <c r="F454" s="18"/>
      <c r="G454" s="18"/>
      <c r="H454" s="20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spans="1:25" x14ac:dyDescent="0.3">
      <c r="A455" s="22"/>
      <c r="B455" s="18"/>
      <c r="C455" s="18"/>
      <c r="D455" s="18"/>
      <c r="E455" s="18"/>
      <c r="F455" s="18"/>
      <c r="G455" s="18"/>
      <c r="H455" s="20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spans="1:25" x14ac:dyDescent="0.3">
      <c r="A456" s="22"/>
      <c r="B456" s="18"/>
      <c r="C456" s="18"/>
      <c r="D456" s="18"/>
      <c r="E456" s="18"/>
      <c r="F456" s="18"/>
      <c r="G456" s="18"/>
      <c r="H456" s="20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spans="1:25" x14ac:dyDescent="0.3">
      <c r="A457" s="22"/>
      <c r="B457" s="18"/>
      <c r="C457" s="18"/>
      <c r="D457" s="18"/>
      <c r="E457" s="18"/>
      <c r="F457" s="18"/>
      <c r="G457" s="18"/>
      <c r="H457" s="20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spans="1:25" x14ac:dyDescent="0.3">
      <c r="A458" s="22"/>
      <c r="B458" s="18"/>
      <c r="C458" s="18"/>
      <c r="D458" s="18"/>
      <c r="E458" s="18"/>
      <c r="F458" s="18"/>
      <c r="G458" s="18"/>
      <c r="H458" s="20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spans="1:25" x14ac:dyDescent="0.3">
      <c r="A459" s="22"/>
      <c r="B459" s="18"/>
      <c r="C459" s="18"/>
      <c r="D459" s="18"/>
      <c r="E459" s="18"/>
      <c r="F459" s="18"/>
      <c r="G459" s="18"/>
      <c r="H459" s="20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spans="1:25" x14ac:dyDescent="0.3">
      <c r="A460" s="22"/>
      <c r="B460" s="18"/>
      <c r="C460" s="18"/>
      <c r="D460" s="18"/>
      <c r="E460" s="18"/>
      <c r="F460" s="18"/>
      <c r="G460" s="18"/>
      <c r="H460" s="20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spans="1:25" x14ac:dyDescent="0.3">
      <c r="A461" s="22"/>
      <c r="B461" s="18"/>
      <c r="C461" s="18"/>
      <c r="D461" s="18"/>
      <c r="E461" s="18"/>
      <c r="F461" s="18"/>
      <c r="G461" s="18"/>
      <c r="H461" s="20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spans="1:25" x14ac:dyDescent="0.3">
      <c r="A462" s="22"/>
      <c r="B462" s="18"/>
      <c r="C462" s="18"/>
      <c r="D462" s="18"/>
      <c r="E462" s="18"/>
      <c r="F462" s="18"/>
      <c r="G462" s="18"/>
      <c r="H462" s="20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spans="1:25" x14ac:dyDescent="0.3">
      <c r="A463" s="22"/>
      <c r="B463" s="18"/>
      <c r="C463" s="18"/>
      <c r="D463" s="18"/>
      <c r="E463" s="18"/>
      <c r="F463" s="18"/>
      <c r="G463" s="18"/>
      <c r="H463" s="20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spans="1:25" x14ac:dyDescent="0.3">
      <c r="A464" s="22"/>
      <c r="B464" s="18"/>
      <c r="C464" s="18"/>
      <c r="D464" s="18"/>
      <c r="E464" s="18"/>
      <c r="F464" s="18"/>
      <c r="G464" s="18"/>
      <c r="H464" s="20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spans="1:25" x14ac:dyDescent="0.3">
      <c r="A465" s="22"/>
      <c r="B465" s="18"/>
      <c r="C465" s="18"/>
      <c r="D465" s="18"/>
      <c r="E465" s="18"/>
      <c r="F465" s="18"/>
      <c r="G465" s="18"/>
      <c r="H465" s="20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spans="1:25" x14ac:dyDescent="0.3">
      <c r="A466" s="22"/>
      <c r="B466" s="18"/>
      <c r="C466" s="18"/>
      <c r="D466" s="18"/>
      <c r="E466" s="18"/>
      <c r="F466" s="18"/>
      <c r="G466" s="18"/>
      <c r="H466" s="20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spans="1:25" x14ac:dyDescent="0.3">
      <c r="A467" s="22"/>
      <c r="B467" s="18"/>
      <c r="C467" s="18"/>
      <c r="D467" s="18"/>
      <c r="E467" s="18"/>
      <c r="F467" s="18"/>
      <c r="G467" s="18"/>
      <c r="H467" s="20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spans="1:25" x14ac:dyDescent="0.3">
      <c r="A468" s="22"/>
      <c r="B468" s="18"/>
      <c r="C468" s="18"/>
      <c r="D468" s="18"/>
      <c r="E468" s="18"/>
      <c r="F468" s="18"/>
      <c r="G468" s="18"/>
      <c r="H468" s="20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spans="1:25" x14ac:dyDescent="0.3">
      <c r="A469" s="22"/>
      <c r="B469" s="18"/>
      <c r="C469" s="18"/>
      <c r="D469" s="18"/>
      <c r="E469" s="18"/>
      <c r="F469" s="18"/>
      <c r="G469" s="18"/>
      <c r="H469" s="20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spans="1:25" x14ac:dyDescent="0.3">
      <c r="A470" s="22"/>
      <c r="B470" s="18"/>
      <c r="C470" s="18"/>
      <c r="D470" s="18"/>
      <c r="E470" s="18"/>
      <c r="F470" s="18"/>
      <c r="G470" s="18"/>
      <c r="H470" s="20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spans="1:25" x14ac:dyDescent="0.3">
      <c r="A471" s="22"/>
      <c r="B471" s="18"/>
      <c r="C471" s="18"/>
      <c r="D471" s="18"/>
      <c r="E471" s="18"/>
      <c r="F471" s="18"/>
      <c r="G471" s="18"/>
      <c r="H471" s="20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spans="1:25" x14ac:dyDescent="0.3">
      <c r="A472" s="22"/>
      <c r="B472" s="18"/>
      <c r="C472" s="18"/>
      <c r="D472" s="18"/>
      <c r="E472" s="18"/>
      <c r="F472" s="18"/>
      <c r="G472" s="18"/>
      <c r="H472" s="20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spans="1:25" x14ac:dyDescent="0.3">
      <c r="A473" s="22"/>
      <c r="B473" s="18"/>
      <c r="C473" s="18"/>
      <c r="D473" s="18"/>
      <c r="E473" s="18"/>
      <c r="F473" s="18"/>
      <c r="G473" s="18"/>
      <c r="H473" s="20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spans="1:25" x14ac:dyDescent="0.3">
      <c r="A474" s="22"/>
      <c r="B474" s="18"/>
      <c r="C474" s="18"/>
      <c r="D474" s="18"/>
      <c r="E474" s="18"/>
      <c r="F474" s="18"/>
      <c r="G474" s="18"/>
      <c r="H474" s="20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spans="1:25" x14ac:dyDescent="0.3">
      <c r="A475" s="22"/>
      <c r="B475" s="18"/>
      <c r="C475" s="18"/>
      <c r="D475" s="18"/>
      <c r="E475" s="18"/>
      <c r="F475" s="18"/>
      <c r="G475" s="18"/>
      <c r="H475" s="20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spans="1:25" x14ac:dyDescent="0.3">
      <c r="A476" s="22"/>
      <c r="B476" s="18"/>
      <c r="C476" s="18"/>
      <c r="D476" s="18"/>
      <c r="E476" s="18"/>
      <c r="F476" s="18"/>
      <c r="G476" s="18"/>
      <c r="H476" s="20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spans="1:25" x14ac:dyDescent="0.3">
      <c r="A477" s="22"/>
      <c r="B477" s="18"/>
      <c r="C477" s="18"/>
      <c r="D477" s="18"/>
      <c r="E477" s="18"/>
      <c r="F477" s="18"/>
      <c r="G477" s="18"/>
      <c r="H477" s="20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spans="1:25" x14ac:dyDescent="0.3">
      <c r="A478" s="22"/>
      <c r="B478" s="18"/>
      <c r="C478" s="18"/>
      <c r="D478" s="18"/>
      <c r="E478" s="18"/>
      <c r="F478" s="18"/>
      <c r="G478" s="18"/>
      <c r="H478" s="20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spans="1:25" x14ac:dyDescent="0.3">
      <c r="A479" s="22"/>
      <c r="B479" s="18"/>
      <c r="C479" s="18"/>
      <c r="D479" s="18"/>
      <c r="E479" s="18"/>
      <c r="F479" s="18"/>
      <c r="G479" s="18"/>
      <c r="H479" s="20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spans="1:25" x14ac:dyDescent="0.3">
      <c r="A480" s="22"/>
      <c r="B480" s="18"/>
      <c r="C480" s="18"/>
      <c r="D480" s="18"/>
      <c r="E480" s="18"/>
      <c r="F480" s="18"/>
      <c r="G480" s="18"/>
      <c r="H480" s="20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spans="1:25" x14ac:dyDescent="0.3">
      <c r="A481" s="22"/>
      <c r="B481" s="18"/>
      <c r="C481" s="18"/>
      <c r="D481" s="18"/>
      <c r="E481" s="18"/>
      <c r="F481" s="18"/>
      <c r="G481" s="18"/>
      <c r="H481" s="20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spans="1:25" x14ac:dyDescent="0.3">
      <c r="A482" s="22"/>
      <c r="B482" s="18"/>
      <c r="C482" s="18"/>
      <c r="D482" s="18"/>
      <c r="E482" s="18"/>
      <c r="F482" s="18"/>
      <c r="G482" s="18"/>
      <c r="H482" s="20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spans="1:25" x14ac:dyDescent="0.3">
      <c r="A483" s="22"/>
      <c r="B483" s="18"/>
      <c r="C483" s="18"/>
      <c r="D483" s="18"/>
      <c r="E483" s="18"/>
      <c r="F483" s="18"/>
      <c r="G483" s="18"/>
      <c r="H483" s="20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spans="1:25" x14ac:dyDescent="0.3">
      <c r="A484" s="22"/>
      <c r="B484" s="18"/>
      <c r="C484" s="18"/>
      <c r="D484" s="18"/>
      <c r="E484" s="18"/>
      <c r="F484" s="18"/>
      <c r="G484" s="18"/>
      <c r="H484" s="20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spans="1:25" x14ac:dyDescent="0.3">
      <c r="A485" s="22"/>
      <c r="B485" s="18"/>
      <c r="C485" s="18"/>
      <c r="D485" s="18"/>
      <c r="E485" s="18"/>
      <c r="F485" s="18"/>
      <c r="G485" s="18"/>
      <c r="H485" s="20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spans="1:25" x14ac:dyDescent="0.3">
      <c r="A486" s="22"/>
      <c r="B486" s="18"/>
      <c r="C486" s="18"/>
      <c r="D486" s="18"/>
      <c r="E486" s="18"/>
      <c r="F486" s="18"/>
      <c r="G486" s="18"/>
      <c r="H486" s="20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spans="1:25" x14ac:dyDescent="0.3">
      <c r="A487" s="22"/>
      <c r="B487" s="18"/>
      <c r="C487" s="18"/>
      <c r="D487" s="18"/>
      <c r="E487" s="18"/>
      <c r="F487" s="18"/>
      <c r="G487" s="18"/>
      <c r="H487" s="20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spans="1:25" x14ac:dyDescent="0.3">
      <c r="A488" s="22"/>
      <c r="B488" s="18"/>
      <c r="C488" s="18"/>
      <c r="D488" s="18"/>
      <c r="E488" s="18"/>
      <c r="F488" s="18"/>
      <c r="G488" s="18"/>
      <c r="H488" s="20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spans="1:25" x14ac:dyDescent="0.3">
      <c r="A489" s="22"/>
      <c r="B489" s="18"/>
      <c r="C489" s="18"/>
      <c r="D489" s="18"/>
      <c r="E489" s="18"/>
      <c r="F489" s="18"/>
      <c r="G489" s="18"/>
      <c r="H489" s="20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spans="1:25" x14ac:dyDescent="0.3">
      <c r="A490" s="22"/>
      <c r="B490" s="18"/>
      <c r="C490" s="18"/>
      <c r="D490" s="18"/>
      <c r="E490" s="18"/>
      <c r="F490" s="18"/>
      <c r="G490" s="18"/>
      <c r="H490" s="20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spans="1:25" x14ac:dyDescent="0.3">
      <c r="A491" s="22"/>
      <c r="B491" s="18"/>
      <c r="C491" s="18"/>
      <c r="D491" s="18"/>
      <c r="E491" s="18"/>
      <c r="F491" s="18"/>
      <c r="G491" s="18"/>
      <c r="H491" s="20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spans="1:25" x14ac:dyDescent="0.3">
      <c r="A492" s="22"/>
      <c r="B492" s="18"/>
      <c r="C492" s="18"/>
      <c r="D492" s="18"/>
      <c r="E492" s="18"/>
      <c r="F492" s="18"/>
      <c r="G492" s="18"/>
      <c r="H492" s="20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spans="1:25" x14ac:dyDescent="0.3">
      <c r="A493" s="22"/>
      <c r="B493" s="18"/>
      <c r="C493" s="18"/>
      <c r="D493" s="18"/>
      <c r="E493" s="18"/>
      <c r="F493" s="18"/>
      <c r="G493" s="18"/>
      <c r="H493" s="20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spans="1:25" x14ac:dyDescent="0.3">
      <c r="A494" s="22"/>
      <c r="B494" s="18"/>
      <c r="C494" s="18"/>
      <c r="D494" s="18"/>
      <c r="E494" s="18"/>
      <c r="F494" s="18"/>
      <c r="G494" s="18"/>
      <c r="H494" s="20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spans="1:25" x14ac:dyDescent="0.3">
      <c r="A495" s="22"/>
      <c r="B495" s="18"/>
      <c r="C495" s="18"/>
      <c r="D495" s="18"/>
      <c r="E495" s="18"/>
      <c r="F495" s="18"/>
      <c r="G495" s="18"/>
      <c r="H495" s="20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spans="1:25" x14ac:dyDescent="0.3">
      <c r="A496" s="22"/>
      <c r="B496" s="18"/>
      <c r="C496" s="18"/>
      <c r="D496" s="18"/>
      <c r="E496" s="18"/>
      <c r="F496" s="18"/>
      <c r="G496" s="18"/>
      <c r="H496" s="20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spans="1:25" x14ac:dyDescent="0.3">
      <c r="A497" s="22"/>
      <c r="B497" s="18"/>
      <c r="C497" s="18"/>
      <c r="D497" s="18"/>
      <c r="E497" s="18"/>
      <c r="F497" s="18"/>
      <c r="G497" s="18"/>
      <c r="H497" s="20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spans="1:25" x14ac:dyDescent="0.3">
      <c r="A498" s="22"/>
      <c r="B498" s="18"/>
      <c r="C498" s="18"/>
      <c r="D498" s="18"/>
      <c r="E498" s="18"/>
      <c r="F498" s="18"/>
      <c r="G498" s="18"/>
      <c r="H498" s="20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spans="1:25" x14ac:dyDescent="0.3">
      <c r="A499" s="22"/>
      <c r="B499" s="18"/>
      <c r="C499" s="18"/>
      <c r="D499" s="18"/>
      <c r="E499" s="18"/>
      <c r="F499" s="18"/>
      <c r="G499" s="18"/>
      <c r="H499" s="20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spans="1:25" x14ac:dyDescent="0.3">
      <c r="A500" s="22"/>
      <c r="B500" s="18"/>
      <c r="C500" s="18"/>
      <c r="D500" s="18"/>
      <c r="E500" s="18"/>
      <c r="F500" s="18"/>
      <c r="G500" s="18"/>
      <c r="H500" s="20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spans="1:25" x14ac:dyDescent="0.3">
      <c r="A501" s="22"/>
      <c r="B501" s="18"/>
      <c r="C501" s="18"/>
      <c r="D501" s="18"/>
      <c r="E501" s="18"/>
      <c r="F501" s="18"/>
      <c r="G501" s="18"/>
      <c r="H501" s="20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spans="1:25" x14ac:dyDescent="0.3">
      <c r="A502" s="22"/>
      <c r="B502" s="18"/>
      <c r="C502" s="18"/>
      <c r="D502" s="18"/>
      <c r="E502" s="18"/>
      <c r="F502" s="18"/>
      <c r="G502" s="18"/>
      <c r="H502" s="20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spans="1:25" x14ac:dyDescent="0.3">
      <c r="A503" s="22"/>
      <c r="B503" s="18"/>
      <c r="C503" s="18"/>
      <c r="D503" s="18"/>
      <c r="E503" s="18"/>
      <c r="F503" s="18"/>
      <c r="G503" s="18"/>
      <c r="H503" s="20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spans="1:25" x14ac:dyDescent="0.3">
      <c r="A504" s="22"/>
      <c r="B504" s="18"/>
      <c r="C504" s="18"/>
      <c r="D504" s="18"/>
      <c r="E504" s="18"/>
      <c r="F504" s="18"/>
      <c r="G504" s="18"/>
      <c r="H504" s="20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spans="1:25" x14ac:dyDescent="0.3">
      <c r="A505" s="22"/>
      <c r="B505" s="18"/>
      <c r="C505" s="18"/>
      <c r="D505" s="18"/>
      <c r="E505" s="18"/>
      <c r="F505" s="18"/>
      <c r="G505" s="18"/>
      <c r="H505" s="20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spans="1:25" x14ac:dyDescent="0.3">
      <c r="A506" s="22"/>
      <c r="B506" s="18"/>
      <c r="C506" s="18"/>
      <c r="D506" s="18"/>
      <c r="E506" s="18"/>
      <c r="F506" s="18"/>
      <c r="G506" s="18"/>
      <c r="H506" s="20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spans="1:25" x14ac:dyDescent="0.3">
      <c r="A507" s="22"/>
      <c r="B507" s="18"/>
      <c r="C507" s="18"/>
      <c r="D507" s="18"/>
      <c r="E507" s="18"/>
      <c r="F507" s="18"/>
      <c r="G507" s="18"/>
      <c r="H507" s="20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spans="1:25" x14ac:dyDescent="0.3">
      <c r="A508" s="22"/>
      <c r="B508" s="18"/>
      <c r="C508" s="18"/>
      <c r="D508" s="18"/>
      <c r="E508" s="18"/>
      <c r="F508" s="18"/>
      <c r="G508" s="18"/>
      <c r="H508" s="20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spans="1:25" x14ac:dyDescent="0.3">
      <c r="A509" s="22"/>
      <c r="B509" s="18"/>
      <c r="C509" s="18"/>
      <c r="D509" s="18"/>
      <c r="E509" s="18"/>
      <c r="F509" s="18"/>
      <c r="G509" s="18"/>
      <c r="H509" s="20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spans="1:25" x14ac:dyDescent="0.3">
      <c r="A510" s="22"/>
      <c r="B510" s="18"/>
      <c r="C510" s="18"/>
      <c r="D510" s="18"/>
      <c r="E510" s="18"/>
      <c r="F510" s="18"/>
      <c r="G510" s="18"/>
      <c r="H510" s="20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spans="1:25" x14ac:dyDescent="0.3">
      <c r="A511" s="22"/>
      <c r="B511" s="18"/>
      <c r="C511" s="18"/>
      <c r="D511" s="18"/>
      <c r="E511" s="18"/>
      <c r="F511" s="18"/>
      <c r="G511" s="18"/>
      <c r="H511" s="20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spans="1:25" x14ac:dyDescent="0.3">
      <c r="A512" s="22"/>
      <c r="B512" s="18"/>
      <c r="C512" s="18"/>
      <c r="D512" s="18"/>
      <c r="E512" s="18"/>
      <c r="F512" s="18"/>
      <c r="G512" s="18"/>
      <c r="H512" s="20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spans="1:25" x14ac:dyDescent="0.3">
      <c r="A513" s="22"/>
      <c r="B513" s="18"/>
      <c r="C513" s="18"/>
      <c r="D513" s="18"/>
      <c r="E513" s="18"/>
      <c r="F513" s="18"/>
      <c r="G513" s="18"/>
      <c r="H513" s="20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spans="1:25" x14ac:dyDescent="0.3">
      <c r="A514" s="22"/>
      <c r="B514" s="18"/>
      <c r="C514" s="18"/>
      <c r="D514" s="18"/>
      <c r="E514" s="18"/>
      <c r="F514" s="18"/>
      <c r="G514" s="18"/>
      <c r="H514" s="20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spans="1:25" x14ac:dyDescent="0.3">
      <c r="A515" s="22"/>
      <c r="B515" s="18"/>
      <c r="C515" s="18"/>
      <c r="D515" s="18"/>
      <c r="E515" s="18"/>
      <c r="F515" s="18"/>
      <c r="G515" s="18"/>
      <c r="H515" s="20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spans="1:25" x14ac:dyDescent="0.3">
      <c r="A516" s="22"/>
      <c r="B516" s="18"/>
      <c r="C516" s="18"/>
      <c r="D516" s="18"/>
      <c r="E516" s="18"/>
      <c r="F516" s="18"/>
      <c r="G516" s="18"/>
      <c r="H516" s="20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spans="1:25" x14ac:dyDescent="0.3">
      <c r="A517" s="22"/>
      <c r="B517" s="18"/>
      <c r="C517" s="18"/>
      <c r="D517" s="18"/>
      <c r="E517" s="18"/>
      <c r="F517" s="18"/>
      <c r="G517" s="18"/>
      <c r="H517" s="20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spans="1:25" x14ac:dyDescent="0.3">
      <c r="A518" s="22"/>
      <c r="B518" s="18"/>
      <c r="C518" s="18"/>
      <c r="D518" s="18"/>
      <c r="E518" s="18"/>
      <c r="F518" s="18"/>
      <c r="G518" s="18"/>
      <c r="H518" s="20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spans="1:25" x14ac:dyDescent="0.3">
      <c r="A519" s="22"/>
      <c r="B519" s="18"/>
      <c r="C519" s="18"/>
      <c r="D519" s="18"/>
      <c r="E519" s="18"/>
      <c r="F519" s="18"/>
      <c r="G519" s="18"/>
      <c r="H519" s="20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spans="1:25" x14ac:dyDescent="0.3">
      <c r="A520" s="22"/>
      <c r="B520" s="18"/>
      <c r="C520" s="18"/>
      <c r="D520" s="18"/>
      <c r="E520" s="18"/>
      <c r="F520" s="18"/>
      <c r="G520" s="18"/>
      <c r="H520" s="20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spans="1:25" x14ac:dyDescent="0.3">
      <c r="A521" s="22"/>
      <c r="B521" s="18"/>
      <c r="C521" s="18"/>
      <c r="D521" s="18"/>
      <c r="E521" s="18"/>
      <c r="F521" s="18"/>
      <c r="G521" s="18"/>
      <c r="H521" s="20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spans="1:25" x14ac:dyDescent="0.3">
      <c r="A522" s="22"/>
      <c r="B522" s="18"/>
      <c r="C522" s="18"/>
      <c r="D522" s="18"/>
      <c r="E522" s="18"/>
      <c r="F522" s="18"/>
      <c r="G522" s="18"/>
      <c r="H522" s="20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spans="1:25" x14ac:dyDescent="0.3">
      <c r="A523" s="22"/>
      <c r="B523" s="18"/>
      <c r="C523" s="18"/>
      <c r="D523" s="18"/>
      <c r="E523" s="18"/>
      <c r="F523" s="18"/>
      <c r="G523" s="18"/>
      <c r="H523" s="20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spans="1:25" x14ac:dyDescent="0.3">
      <c r="A524" s="22"/>
      <c r="B524" s="18"/>
      <c r="C524" s="18"/>
      <c r="D524" s="18"/>
      <c r="E524" s="18"/>
      <c r="F524" s="18"/>
      <c r="G524" s="18"/>
      <c r="H524" s="20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spans="1:25" x14ac:dyDescent="0.3">
      <c r="A525" s="22"/>
      <c r="B525" s="18"/>
      <c r="C525" s="18"/>
      <c r="D525" s="18"/>
      <c r="E525" s="18"/>
      <c r="F525" s="18"/>
      <c r="G525" s="18"/>
      <c r="H525" s="20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spans="1:25" x14ac:dyDescent="0.3">
      <c r="A526" s="22"/>
      <c r="B526" s="18"/>
      <c r="C526" s="18"/>
      <c r="D526" s="18"/>
      <c r="E526" s="18"/>
      <c r="F526" s="18"/>
      <c r="G526" s="18"/>
      <c r="H526" s="20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spans="1:25" x14ac:dyDescent="0.3">
      <c r="A527" s="22"/>
      <c r="B527" s="18"/>
      <c r="C527" s="18"/>
      <c r="D527" s="18"/>
      <c r="E527" s="18"/>
      <c r="F527" s="18"/>
      <c r="G527" s="18"/>
      <c r="H527" s="20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spans="1:25" x14ac:dyDescent="0.3">
      <c r="A528" s="22"/>
      <c r="B528" s="18"/>
      <c r="C528" s="18"/>
      <c r="D528" s="18"/>
      <c r="E528" s="18"/>
      <c r="F528" s="18"/>
      <c r="G528" s="18"/>
      <c r="H528" s="20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spans="1:25" x14ac:dyDescent="0.3">
      <c r="A529" s="22"/>
      <c r="B529" s="18"/>
      <c r="C529" s="18"/>
      <c r="D529" s="18"/>
      <c r="E529" s="18"/>
      <c r="F529" s="18"/>
      <c r="G529" s="18"/>
      <c r="H529" s="20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spans="1:25" x14ac:dyDescent="0.3">
      <c r="A530" s="22"/>
      <c r="B530" s="18"/>
      <c r="C530" s="18"/>
      <c r="D530" s="18"/>
      <c r="E530" s="18"/>
      <c r="F530" s="18"/>
      <c r="G530" s="18"/>
      <c r="H530" s="20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spans="1:25" x14ac:dyDescent="0.3">
      <c r="A531" s="22"/>
      <c r="B531" s="18"/>
      <c r="C531" s="18"/>
      <c r="D531" s="18"/>
      <c r="E531" s="18"/>
      <c r="F531" s="18"/>
      <c r="G531" s="18"/>
      <c r="H531" s="20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spans="1:25" x14ac:dyDescent="0.3">
      <c r="A532" s="22"/>
      <c r="B532" s="18"/>
      <c r="C532" s="18"/>
      <c r="D532" s="18"/>
      <c r="E532" s="18"/>
      <c r="F532" s="18"/>
      <c r="G532" s="18"/>
      <c r="H532" s="20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spans="1:25" x14ac:dyDescent="0.3">
      <c r="A533" s="22"/>
      <c r="B533" s="18"/>
      <c r="C533" s="18"/>
      <c r="D533" s="18"/>
      <c r="E533" s="18"/>
      <c r="F533" s="18"/>
      <c r="G533" s="18"/>
      <c r="H533" s="20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spans="1:25" x14ac:dyDescent="0.3">
      <c r="A534" s="22"/>
      <c r="B534" s="18"/>
      <c r="C534" s="18"/>
      <c r="D534" s="18"/>
      <c r="E534" s="18"/>
      <c r="F534" s="18"/>
      <c r="G534" s="18"/>
      <c r="H534" s="20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spans="1:25" x14ac:dyDescent="0.3">
      <c r="A535" s="22"/>
      <c r="B535" s="18"/>
      <c r="C535" s="18"/>
      <c r="D535" s="18"/>
      <c r="E535" s="18"/>
      <c r="F535" s="18"/>
      <c r="G535" s="18"/>
      <c r="H535" s="20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spans="1:25" x14ac:dyDescent="0.3">
      <c r="A536" s="22"/>
      <c r="B536" s="18"/>
      <c r="C536" s="18"/>
      <c r="D536" s="18"/>
      <c r="E536" s="18"/>
      <c r="F536" s="18"/>
      <c r="G536" s="18"/>
      <c r="H536" s="20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spans="1:25" x14ac:dyDescent="0.3">
      <c r="A537" s="22"/>
      <c r="B537" s="18"/>
      <c r="C537" s="18"/>
      <c r="D537" s="18"/>
      <c r="E537" s="18"/>
      <c r="F537" s="18"/>
      <c r="G537" s="18"/>
      <c r="H537" s="20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spans="1:25" x14ac:dyDescent="0.3">
      <c r="A538" s="22"/>
      <c r="B538" s="18"/>
      <c r="C538" s="18"/>
      <c r="D538" s="18"/>
      <c r="E538" s="18"/>
      <c r="F538" s="18"/>
      <c r="G538" s="18"/>
      <c r="H538" s="20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spans="1:25" x14ac:dyDescent="0.3">
      <c r="A539" s="22"/>
      <c r="B539" s="18"/>
      <c r="C539" s="18"/>
      <c r="D539" s="18"/>
      <c r="E539" s="18"/>
      <c r="F539" s="18"/>
      <c r="G539" s="18"/>
      <c r="H539" s="20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spans="1:25" x14ac:dyDescent="0.3">
      <c r="A540" s="22"/>
      <c r="B540" s="18"/>
      <c r="C540" s="18"/>
      <c r="D540" s="18"/>
      <c r="E540" s="18"/>
      <c r="F540" s="18"/>
      <c r="G540" s="18"/>
      <c r="H540" s="20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spans="1:25" x14ac:dyDescent="0.3">
      <c r="A541" s="22"/>
      <c r="B541" s="18"/>
      <c r="C541" s="18"/>
      <c r="D541" s="18"/>
      <c r="E541" s="18"/>
      <c r="F541" s="18"/>
      <c r="G541" s="18"/>
      <c r="H541" s="20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spans="1:25" x14ac:dyDescent="0.3">
      <c r="A542" s="22"/>
      <c r="B542" s="18"/>
      <c r="C542" s="18"/>
      <c r="D542" s="18"/>
      <c r="E542" s="18"/>
      <c r="F542" s="18"/>
      <c r="G542" s="18"/>
      <c r="H542" s="20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spans="1:25" x14ac:dyDescent="0.3">
      <c r="A543" s="22"/>
      <c r="B543" s="18"/>
      <c r="C543" s="18"/>
      <c r="D543" s="18"/>
      <c r="E543" s="18"/>
      <c r="F543" s="18"/>
      <c r="G543" s="18"/>
      <c r="H543" s="20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spans="1:25" x14ac:dyDescent="0.3">
      <c r="A544" s="22"/>
      <c r="B544" s="18"/>
      <c r="C544" s="18"/>
      <c r="D544" s="18"/>
      <c r="E544" s="18"/>
      <c r="F544" s="18"/>
      <c r="G544" s="18"/>
      <c r="H544" s="20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spans="1:25" x14ac:dyDescent="0.3">
      <c r="A545" s="22"/>
      <c r="B545" s="18"/>
      <c r="C545" s="18"/>
      <c r="D545" s="18"/>
      <c r="E545" s="18"/>
      <c r="F545" s="18"/>
      <c r="G545" s="18"/>
      <c r="H545" s="20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spans="1:25" x14ac:dyDescent="0.3">
      <c r="A546" s="22"/>
      <c r="B546" s="18"/>
      <c r="C546" s="18"/>
      <c r="D546" s="18"/>
      <c r="E546" s="18"/>
      <c r="F546" s="18"/>
      <c r="G546" s="18"/>
      <c r="H546" s="20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spans="1:25" x14ac:dyDescent="0.3">
      <c r="A547" s="22"/>
      <c r="B547" s="18"/>
      <c r="C547" s="18"/>
      <c r="D547" s="18"/>
      <c r="E547" s="18"/>
      <c r="F547" s="18"/>
      <c r="G547" s="18"/>
      <c r="H547" s="20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spans="1:25" x14ac:dyDescent="0.3">
      <c r="A548" s="22"/>
      <c r="B548" s="18"/>
      <c r="C548" s="18"/>
      <c r="D548" s="18"/>
      <c r="E548" s="18"/>
      <c r="F548" s="18"/>
      <c r="G548" s="18"/>
      <c r="H548" s="20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spans="1:25" x14ac:dyDescent="0.3">
      <c r="A549" s="22"/>
      <c r="B549" s="18"/>
      <c r="C549" s="18"/>
      <c r="D549" s="18"/>
      <c r="E549" s="18"/>
      <c r="F549" s="18"/>
      <c r="G549" s="18"/>
      <c r="H549" s="20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spans="1:25" x14ac:dyDescent="0.3">
      <c r="A550" s="22"/>
      <c r="B550" s="18"/>
      <c r="C550" s="18"/>
      <c r="D550" s="18"/>
      <c r="E550" s="18"/>
      <c r="F550" s="18"/>
      <c r="G550" s="18"/>
      <c r="H550" s="20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spans="1:25" x14ac:dyDescent="0.3">
      <c r="A551" s="22"/>
      <c r="B551" s="18"/>
      <c r="C551" s="18"/>
      <c r="D551" s="18"/>
      <c r="E551" s="18"/>
      <c r="F551" s="18"/>
      <c r="G551" s="18"/>
      <c r="H551" s="20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spans="1:25" x14ac:dyDescent="0.3">
      <c r="A552" s="22"/>
      <c r="B552" s="18"/>
      <c r="C552" s="18"/>
      <c r="D552" s="18"/>
      <c r="E552" s="18"/>
      <c r="F552" s="18"/>
      <c r="G552" s="18"/>
      <c r="H552" s="20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spans="1:25" x14ac:dyDescent="0.3">
      <c r="A553" s="22"/>
      <c r="B553" s="18"/>
      <c r="C553" s="18"/>
      <c r="D553" s="18"/>
      <c r="E553" s="18"/>
      <c r="F553" s="18"/>
      <c r="G553" s="18"/>
      <c r="H553" s="20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spans="1:25" x14ac:dyDescent="0.3">
      <c r="A554" s="22"/>
      <c r="B554" s="18"/>
      <c r="C554" s="18"/>
      <c r="D554" s="18"/>
      <c r="E554" s="18"/>
      <c r="F554" s="18"/>
      <c r="G554" s="18"/>
      <c r="H554" s="20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spans="1:25" x14ac:dyDescent="0.3">
      <c r="A555" s="22"/>
      <c r="B555" s="18"/>
      <c r="C555" s="18"/>
      <c r="D555" s="18"/>
      <c r="E555" s="18"/>
      <c r="F555" s="18"/>
      <c r="G555" s="18"/>
      <c r="H555" s="20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25" x14ac:dyDescent="0.3">
      <c r="A556" s="22"/>
      <c r="B556" s="18"/>
      <c r="C556" s="18"/>
      <c r="D556" s="18"/>
      <c r="E556" s="18"/>
      <c r="F556" s="18"/>
      <c r="G556" s="18"/>
      <c r="H556" s="20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25" x14ac:dyDescent="0.3">
      <c r="A557" s="22"/>
      <c r="B557" s="18"/>
      <c r="C557" s="18"/>
      <c r="D557" s="18"/>
      <c r="E557" s="18"/>
      <c r="F557" s="18"/>
      <c r="G557" s="18"/>
      <c r="H557" s="20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25" x14ac:dyDescent="0.3">
      <c r="A558" s="22"/>
      <c r="B558" s="18"/>
      <c r="C558" s="18"/>
      <c r="D558" s="18"/>
      <c r="E558" s="18"/>
      <c r="F558" s="18"/>
      <c r="G558" s="18"/>
      <c r="H558" s="20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spans="1:25" x14ac:dyDescent="0.3">
      <c r="A559" s="22"/>
      <c r="B559" s="18"/>
      <c r="C559" s="18"/>
      <c r="D559" s="18"/>
      <c r="E559" s="18"/>
      <c r="F559" s="18"/>
      <c r="G559" s="18"/>
      <c r="H559" s="20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spans="1:25" x14ac:dyDescent="0.3">
      <c r="A560" s="22"/>
      <c r="B560" s="18"/>
      <c r="C560" s="18"/>
      <c r="D560" s="18"/>
      <c r="E560" s="18"/>
      <c r="F560" s="18"/>
      <c r="G560" s="18"/>
      <c r="H560" s="20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spans="1:25" x14ac:dyDescent="0.3">
      <c r="A561" s="22"/>
      <c r="B561" s="18"/>
      <c r="C561" s="18"/>
      <c r="D561" s="18"/>
      <c r="E561" s="18"/>
      <c r="F561" s="18"/>
      <c r="G561" s="18"/>
      <c r="H561" s="20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spans="1:25" x14ac:dyDescent="0.3">
      <c r="A562" s="22"/>
      <c r="B562" s="18"/>
      <c r="C562" s="18"/>
      <c r="D562" s="18"/>
      <c r="E562" s="18"/>
      <c r="F562" s="18"/>
      <c r="G562" s="18"/>
      <c r="H562" s="20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spans="1:25" x14ac:dyDescent="0.3">
      <c r="A563" s="22"/>
      <c r="B563" s="18"/>
      <c r="C563" s="18"/>
      <c r="D563" s="18"/>
      <c r="E563" s="18"/>
      <c r="F563" s="18"/>
      <c r="G563" s="18"/>
      <c r="H563" s="20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spans="1:25" x14ac:dyDescent="0.3">
      <c r="A564" s="22"/>
      <c r="B564" s="18"/>
      <c r="C564" s="18"/>
      <c r="D564" s="18"/>
      <c r="E564" s="18"/>
      <c r="F564" s="18"/>
      <c r="G564" s="18"/>
      <c r="H564" s="20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spans="1:25" x14ac:dyDescent="0.3">
      <c r="A565" s="22"/>
      <c r="B565" s="18"/>
      <c r="C565" s="18"/>
      <c r="D565" s="18"/>
      <c r="E565" s="18"/>
      <c r="F565" s="18"/>
      <c r="G565" s="18"/>
      <c r="H565" s="20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spans="1:25" x14ac:dyDescent="0.3">
      <c r="A566" s="22"/>
      <c r="B566" s="18"/>
      <c r="C566" s="18"/>
      <c r="D566" s="18"/>
      <c r="E566" s="18"/>
      <c r="F566" s="18"/>
      <c r="G566" s="18"/>
      <c r="H566" s="20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spans="1:25" x14ac:dyDescent="0.3">
      <c r="A567" s="22"/>
      <c r="B567" s="18"/>
      <c r="C567" s="18"/>
      <c r="D567" s="18"/>
      <c r="E567" s="18"/>
      <c r="F567" s="18"/>
      <c r="G567" s="18"/>
      <c r="H567" s="20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spans="1:25" x14ac:dyDescent="0.3">
      <c r="A568" s="22"/>
      <c r="B568" s="18"/>
      <c r="C568" s="18"/>
      <c r="D568" s="18"/>
      <c r="E568" s="18"/>
      <c r="F568" s="18"/>
      <c r="G568" s="18"/>
      <c r="H568" s="20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spans="1:25" x14ac:dyDescent="0.3">
      <c r="A569" s="22"/>
      <c r="B569" s="18"/>
      <c r="C569" s="18"/>
      <c r="D569" s="18"/>
      <c r="E569" s="18"/>
      <c r="F569" s="18"/>
      <c r="G569" s="18"/>
      <c r="H569" s="20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spans="1:25" x14ac:dyDescent="0.3">
      <c r="A570" s="22"/>
      <c r="B570" s="18"/>
      <c r="C570" s="18"/>
      <c r="D570" s="18"/>
      <c r="E570" s="18"/>
      <c r="F570" s="18"/>
      <c r="G570" s="18"/>
      <c r="H570" s="20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spans="1:25" x14ac:dyDescent="0.3">
      <c r="A571" s="22"/>
      <c r="B571" s="18"/>
      <c r="C571" s="18"/>
      <c r="D571" s="18"/>
      <c r="E571" s="18"/>
      <c r="F571" s="18"/>
      <c r="G571" s="18"/>
      <c r="H571" s="20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spans="1:25" x14ac:dyDescent="0.3">
      <c r="A572" s="22"/>
      <c r="B572" s="18"/>
      <c r="C572" s="18"/>
      <c r="D572" s="18"/>
      <c r="E572" s="18"/>
      <c r="F572" s="18"/>
      <c r="G572" s="18"/>
      <c r="H572" s="20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spans="1:25" x14ac:dyDescent="0.3">
      <c r="A573" s="22"/>
      <c r="B573" s="18"/>
      <c r="C573" s="18"/>
      <c r="D573" s="18"/>
      <c r="E573" s="18"/>
      <c r="F573" s="18"/>
      <c r="G573" s="18"/>
      <c r="H573" s="20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spans="1:25" x14ac:dyDescent="0.3">
      <c r="A574" s="22"/>
      <c r="B574" s="18"/>
      <c r="C574" s="18"/>
      <c r="D574" s="18"/>
      <c r="E574" s="18"/>
      <c r="F574" s="18"/>
      <c r="G574" s="18"/>
      <c r="H574" s="20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spans="1:25" x14ac:dyDescent="0.3">
      <c r="A575" s="22"/>
      <c r="B575" s="18"/>
      <c r="C575" s="18"/>
      <c r="D575" s="18"/>
      <c r="E575" s="18"/>
      <c r="F575" s="18"/>
      <c r="G575" s="18"/>
      <c r="H575" s="20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spans="1:25" x14ac:dyDescent="0.3">
      <c r="A576" s="22"/>
      <c r="B576" s="18"/>
      <c r="C576" s="18"/>
      <c r="D576" s="18"/>
      <c r="E576" s="18"/>
      <c r="F576" s="18"/>
      <c r="G576" s="18"/>
      <c r="H576" s="20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spans="1:25" x14ac:dyDescent="0.3">
      <c r="A577" s="22"/>
      <c r="B577" s="18"/>
      <c r="C577" s="18"/>
      <c r="D577" s="18"/>
      <c r="E577" s="18"/>
      <c r="F577" s="18"/>
      <c r="G577" s="18"/>
      <c r="H577" s="20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spans="1:25" x14ac:dyDescent="0.3">
      <c r="A578" s="22"/>
      <c r="B578" s="18"/>
      <c r="C578" s="18"/>
      <c r="D578" s="18"/>
      <c r="E578" s="18"/>
      <c r="F578" s="18"/>
      <c r="G578" s="18"/>
      <c r="H578" s="20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spans="1:25" x14ac:dyDescent="0.3">
      <c r="A579" s="22"/>
      <c r="B579" s="18"/>
      <c r="C579" s="18"/>
      <c r="D579" s="18"/>
      <c r="E579" s="18"/>
      <c r="F579" s="18"/>
      <c r="G579" s="18"/>
      <c r="H579" s="20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spans="1:25" x14ac:dyDescent="0.3">
      <c r="A580" s="22"/>
      <c r="B580" s="18"/>
      <c r="C580" s="18"/>
      <c r="D580" s="18"/>
      <c r="E580" s="18"/>
      <c r="F580" s="18"/>
      <c r="G580" s="18"/>
      <c r="H580" s="20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spans="1:25" x14ac:dyDescent="0.3">
      <c r="A581" s="22"/>
      <c r="B581" s="18"/>
      <c r="C581" s="18"/>
      <c r="D581" s="18"/>
      <c r="E581" s="18"/>
      <c r="F581" s="18"/>
      <c r="G581" s="18"/>
      <c r="H581" s="20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spans="1:25" x14ac:dyDescent="0.3">
      <c r="A582" s="22"/>
      <c r="B582" s="18"/>
      <c r="C582" s="18"/>
      <c r="D582" s="18"/>
      <c r="E582" s="18"/>
      <c r="F582" s="18"/>
      <c r="G582" s="18"/>
      <c r="H582" s="20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spans="1:25" x14ac:dyDescent="0.3">
      <c r="A583" s="22"/>
      <c r="B583" s="18"/>
      <c r="C583" s="18"/>
      <c r="D583" s="18"/>
      <c r="E583" s="18"/>
      <c r="F583" s="18"/>
      <c r="G583" s="18"/>
      <c r="H583" s="20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spans="1:25" x14ac:dyDescent="0.3">
      <c r="A584" s="22"/>
      <c r="B584" s="18"/>
      <c r="C584" s="18"/>
      <c r="D584" s="18"/>
      <c r="E584" s="18"/>
      <c r="F584" s="18"/>
      <c r="G584" s="18"/>
      <c r="H584" s="20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spans="1:25" x14ac:dyDescent="0.3">
      <c r="A585" s="22"/>
      <c r="B585" s="18"/>
      <c r="C585" s="18"/>
      <c r="D585" s="18"/>
      <c r="E585" s="18"/>
      <c r="F585" s="18"/>
      <c r="G585" s="18"/>
      <c r="H585" s="20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spans="1:25" x14ac:dyDescent="0.3">
      <c r="A586" s="22"/>
      <c r="B586" s="18"/>
      <c r="C586" s="18"/>
      <c r="D586" s="18"/>
      <c r="E586" s="18"/>
      <c r="F586" s="18"/>
      <c r="G586" s="18"/>
      <c r="H586" s="20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spans="1:25" x14ac:dyDescent="0.3">
      <c r="A587" s="22"/>
      <c r="B587" s="18"/>
      <c r="C587" s="18"/>
      <c r="D587" s="18"/>
      <c r="E587" s="18"/>
      <c r="F587" s="18"/>
      <c r="G587" s="18"/>
      <c r="H587" s="20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spans="1:25" x14ac:dyDescent="0.3">
      <c r="A588" s="22"/>
      <c r="B588" s="18"/>
      <c r="C588" s="18"/>
      <c r="D588" s="18"/>
      <c r="E588" s="18"/>
      <c r="F588" s="18"/>
      <c r="G588" s="18"/>
      <c r="H588" s="20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spans="1:25" x14ac:dyDescent="0.3">
      <c r="A589" s="22"/>
      <c r="B589" s="18"/>
      <c r="C589" s="18"/>
      <c r="D589" s="18"/>
      <c r="E589" s="18"/>
      <c r="F589" s="18"/>
      <c r="G589" s="18"/>
      <c r="H589" s="20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spans="1:25" x14ac:dyDescent="0.3">
      <c r="A590" s="22"/>
      <c r="B590" s="18"/>
      <c r="C590" s="18"/>
      <c r="D590" s="18"/>
      <c r="E590" s="18"/>
      <c r="F590" s="18"/>
      <c r="G590" s="18"/>
      <c r="H590" s="20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spans="1:25" x14ac:dyDescent="0.3">
      <c r="A591" s="22"/>
      <c r="B591" s="18"/>
      <c r="C591" s="18"/>
      <c r="D591" s="18"/>
      <c r="E591" s="18"/>
      <c r="F591" s="18"/>
      <c r="G591" s="18"/>
      <c r="H591" s="20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spans="1:25" x14ac:dyDescent="0.3">
      <c r="A592" s="22"/>
      <c r="B592" s="18"/>
      <c r="C592" s="18"/>
      <c r="D592" s="18"/>
      <c r="E592" s="18"/>
      <c r="F592" s="18"/>
      <c r="G592" s="18"/>
      <c r="H592" s="20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spans="1:25" x14ac:dyDescent="0.3">
      <c r="A593" s="22"/>
      <c r="B593" s="18"/>
      <c r="C593" s="18"/>
      <c r="D593" s="18"/>
      <c r="E593" s="18"/>
      <c r="F593" s="18"/>
      <c r="G593" s="18"/>
      <c r="H593" s="20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spans="1:25" x14ac:dyDescent="0.3">
      <c r="A594" s="22"/>
      <c r="B594" s="18"/>
      <c r="C594" s="18"/>
      <c r="D594" s="18"/>
      <c r="E594" s="18"/>
      <c r="F594" s="18"/>
      <c r="G594" s="18"/>
      <c r="H594" s="20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spans="1:25" x14ac:dyDescent="0.3">
      <c r="A595" s="22"/>
      <c r="B595" s="18"/>
      <c r="C595" s="18"/>
      <c r="D595" s="18"/>
      <c r="E595" s="18"/>
      <c r="F595" s="18"/>
      <c r="G595" s="18"/>
      <c r="H595" s="20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spans="1:25" x14ac:dyDescent="0.3">
      <c r="A596" s="22"/>
      <c r="B596" s="18"/>
      <c r="C596" s="18"/>
      <c r="D596" s="18"/>
      <c r="E596" s="18"/>
      <c r="F596" s="18"/>
      <c r="G596" s="18"/>
      <c r="H596" s="20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spans="1:25" x14ac:dyDescent="0.3">
      <c r="A597" s="22"/>
      <c r="B597" s="18"/>
      <c r="C597" s="18"/>
      <c r="D597" s="18"/>
      <c r="E597" s="18"/>
      <c r="F597" s="18"/>
      <c r="G597" s="18"/>
      <c r="H597" s="20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spans="1:25" x14ac:dyDescent="0.3">
      <c r="A598" s="22"/>
      <c r="B598" s="18"/>
      <c r="C598" s="18"/>
      <c r="D598" s="18"/>
      <c r="E598" s="18"/>
      <c r="F598" s="18"/>
      <c r="G598" s="18"/>
      <c r="H598" s="20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spans="1:25" x14ac:dyDescent="0.3">
      <c r="A599" s="22"/>
      <c r="B599" s="18"/>
      <c r="C599" s="18"/>
      <c r="D599" s="18"/>
      <c r="E599" s="18"/>
      <c r="F599" s="18"/>
      <c r="G599" s="18"/>
      <c r="H599" s="20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spans="1:25" x14ac:dyDescent="0.3">
      <c r="A600" s="22"/>
      <c r="B600" s="18"/>
      <c r="C600" s="18"/>
      <c r="D600" s="18"/>
      <c r="E600" s="18"/>
      <c r="F600" s="18"/>
      <c r="G600" s="18"/>
      <c r="H600" s="20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spans="1:25" x14ac:dyDescent="0.3">
      <c r="A601" s="22"/>
      <c r="B601" s="18"/>
      <c r="C601" s="18"/>
      <c r="D601" s="18"/>
      <c r="E601" s="18"/>
      <c r="F601" s="18"/>
      <c r="G601" s="18"/>
      <c r="H601" s="20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spans="1:25" x14ac:dyDescent="0.3">
      <c r="A602" s="22"/>
      <c r="B602" s="18"/>
      <c r="C602" s="18"/>
      <c r="D602" s="18"/>
      <c r="E602" s="18"/>
      <c r="F602" s="18"/>
      <c r="G602" s="18"/>
      <c r="H602" s="20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spans="1:25" x14ac:dyDescent="0.3">
      <c r="A603" s="22"/>
      <c r="B603" s="18"/>
      <c r="C603" s="18"/>
      <c r="D603" s="18"/>
      <c r="E603" s="18"/>
      <c r="F603" s="18"/>
      <c r="G603" s="18"/>
      <c r="H603" s="20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spans="1:25" x14ac:dyDescent="0.3">
      <c r="A604" s="22"/>
      <c r="B604" s="18"/>
      <c r="C604" s="18"/>
      <c r="D604" s="18"/>
      <c r="E604" s="18"/>
      <c r="F604" s="18"/>
      <c r="G604" s="18"/>
      <c r="H604" s="20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spans="1:25" x14ac:dyDescent="0.3">
      <c r="A605" s="22"/>
      <c r="B605" s="18"/>
      <c r="C605" s="18"/>
      <c r="D605" s="18"/>
      <c r="E605" s="18"/>
      <c r="F605" s="18"/>
      <c r="G605" s="18"/>
      <c r="H605" s="20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spans="1:25" x14ac:dyDescent="0.3">
      <c r="A606" s="22"/>
      <c r="B606" s="18"/>
      <c r="C606" s="18"/>
      <c r="D606" s="18"/>
      <c r="E606" s="18"/>
      <c r="F606" s="18"/>
      <c r="G606" s="18"/>
      <c r="H606" s="20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spans="1:25" x14ac:dyDescent="0.3">
      <c r="A607" s="22"/>
      <c r="B607" s="18"/>
      <c r="C607" s="18"/>
      <c r="D607" s="18"/>
      <c r="E607" s="18"/>
      <c r="F607" s="18"/>
      <c r="G607" s="18"/>
      <c r="H607" s="20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spans="1:25" x14ac:dyDescent="0.3">
      <c r="A608" s="22"/>
      <c r="B608" s="18"/>
      <c r="C608" s="18"/>
      <c r="D608" s="18"/>
      <c r="E608" s="18"/>
      <c r="F608" s="18"/>
      <c r="G608" s="18"/>
      <c r="H608" s="20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spans="1:25" x14ac:dyDescent="0.3">
      <c r="A609" s="22"/>
      <c r="B609" s="18"/>
      <c r="C609" s="18"/>
      <c r="D609" s="18"/>
      <c r="E609" s="18"/>
      <c r="F609" s="18"/>
      <c r="G609" s="18"/>
      <c r="H609" s="20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spans="1:25" x14ac:dyDescent="0.3">
      <c r="A610" s="22"/>
      <c r="B610" s="18"/>
      <c r="C610" s="18"/>
      <c r="D610" s="18"/>
      <c r="E610" s="18"/>
      <c r="F610" s="18"/>
      <c r="G610" s="18"/>
      <c r="H610" s="20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spans="1:25" x14ac:dyDescent="0.3">
      <c r="A611" s="22"/>
      <c r="B611" s="18"/>
      <c r="C611" s="18"/>
      <c r="D611" s="18"/>
      <c r="E611" s="18"/>
      <c r="F611" s="18"/>
      <c r="G611" s="18"/>
      <c r="H611" s="20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spans="1:25" x14ac:dyDescent="0.3">
      <c r="A612" s="22"/>
      <c r="B612" s="18"/>
      <c r="C612" s="18"/>
      <c r="D612" s="18"/>
      <c r="E612" s="18"/>
      <c r="F612" s="18"/>
      <c r="G612" s="18"/>
      <c r="H612" s="20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spans="1:25" x14ac:dyDescent="0.3">
      <c r="A613" s="22"/>
      <c r="B613" s="18"/>
      <c r="C613" s="18"/>
      <c r="D613" s="18"/>
      <c r="E613" s="18"/>
      <c r="F613" s="18"/>
      <c r="G613" s="18"/>
      <c r="H613" s="20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spans="1:25" x14ac:dyDescent="0.3">
      <c r="A614" s="22"/>
      <c r="B614" s="18"/>
      <c r="C614" s="18"/>
      <c r="D614" s="18"/>
      <c r="E614" s="18"/>
      <c r="F614" s="18"/>
      <c r="G614" s="18"/>
      <c r="H614" s="20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spans="1:25" x14ac:dyDescent="0.3">
      <c r="A615" s="22"/>
      <c r="B615" s="18"/>
      <c r="C615" s="18"/>
      <c r="D615" s="18"/>
      <c r="E615" s="18"/>
      <c r="F615" s="18"/>
      <c r="G615" s="18"/>
      <c r="H615" s="20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spans="1:25" x14ac:dyDescent="0.3">
      <c r="A616" s="22"/>
      <c r="B616" s="18"/>
      <c r="C616" s="18"/>
      <c r="D616" s="18"/>
      <c r="E616" s="18"/>
      <c r="F616" s="18"/>
      <c r="G616" s="18"/>
      <c r="H616" s="20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spans="1:25" x14ac:dyDescent="0.3">
      <c r="A617" s="22"/>
      <c r="B617" s="18"/>
      <c r="C617" s="18"/>
      <c r="D617" s="18"/>
      <c r="E617" s="18"/>
      <c r="F617" s="18"/>
      <c r="G617" s="18"/>
      <c r="H617" s="20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spans="1:25" x14ac:dyDescent="0.3">
      <c r="A618" s="22"/>
      <c r="B618" s="18"/>
      <c r="C618" s="18"/>
      <c r="D618" s="18"/>
      <c r="E618" s="18"/>
      <c r="F618" s="18"/>
      <c r="G618" s="18"/>
      <c r="H618" s="20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spans="1:25" x14ac:dyDescent="0.3">
      <c r="A619" s="22"/>
      <c r="B619" s="18"/>
      <c r="C619" s="18"/>
      <c r="D619" s="18"/>
      <c r="E619" s="18"/>
      <c r="F619" s="18"/>
      <c r="G619" s="18"/>
      <c r="H619" s="20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spans="1:25" x14ac:dyDescent="0.3">
      <c r="A620" s="22"/>
      <c r="B620" s="18"/>
      <c r="C620" s="18"/>
      <c r="D620" s="18"/>
      <c r="E620" s="18"/>
      <c r="F620" s="18"/>
      <c r="G620" s="18"/>
      <c r="H620" s="20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spans="1:25" x14ac:dyDescent="0.3">
      <c r="A621" s="22"/>
      <c r="B621" s="18"/>
      <c r="C621" s="18"/>
      <c r="D621" s="18"/>
      <c r="E621" s="18"/>
      <c r="F621" s="18"/>
      <c r="G621" s="18"/>
      <c r="H621" s="20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spans="1:25" x14ac:dyDescent="0.3">
      <c r="A622" s="22"/>
      <c r="B622" s="18"/>
      <c r="C622" s="18"/>
      <c r="D622" s="18"/>
      <c r="E622" s="18"/>
      <c r="F622" s="18"/>
      <c r="G622" s="18"/>
      <c r="H622" s="20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spans="1:25" x14ac:dyDescent="0.3">
      <c r="A623" s="22"/>
      <c r="B623" s="18"/>
      <c r="C623" s="18"/>
      <c r="D623" s="18"/>
      <c r="E623" s="18"/>
      <c r="F623" s="18"/>
      <c r="G623" s="18"/>
      <c r="H623" s="20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spans="1:25" x14ac:dyDescent="0.3">
      <c r="A624" s="22"/>
      <c r="B624" s="18"/>
      <c r="C624" s="18"/>
      <c r="D624" s="18"/>
      <c r="E624" s="18"/>
      <c r="F624" s="18"/>
      <c r="G624" s="18"/>
      <c r="H624" s="20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spans="1:25" x14ac:dyDescent="0.3">
      <c r="A625" s="22"/>
      <c r="B625" s="18"/>
      <c r="C625" s="18"/>
      <c r="D625" s="18"/>
      <c r="E625" s="18"/>
      <c r="F625" s="18"/>
      <c r="G625" s="18"/>
      <c r="H625" s="20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spans="1:25" x14ac:dyDescent="0.3">
      <c r="A626" s="22"/>
      <c r="B626" s="18"/>
      <c r="C626" s="18"/>
      <c r="D626" s="18"/>
      <c r="E626" s="18"/>
      <c r="F626" s="18"/>
      <c r="G626" s="18"/>
      <c r="H626" s="20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spans="1:25" x14ac:dyDescent="0.3">
      <c r="A627" s="22"/>
      <c r="B627" s="18"/>
      <c r="C627" s="18"/>
      <c r="D627" s="18"/>
      <c r="E627" s="18"/>
      <c r="F627" s="18"/>
      <c r="G627" s="18"/>
      <c r="H627" s="20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spans="1:25" x14ac:dyDescent="0.3">
      <c r="A628" s="22"/>
      <c r="B628" s="18"/>
      <c r="C628" s="18"/>
      <c r="D628" s="18"/>
      <c r="E628" s="18"/>
      <c r="F628" s="18"/>
      <c r="G628" s="18"/>
      <c r="H628" s="20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spans="1:25" x14ac:dyDescent="0.3">
      <c r="A629" s="22"/>
      <c r="B629" s="18"/>
      <c r="C629" s="18"/>
      <c r="D629" s="18"/>
      <c r="E629" s="18"/>
      <c r="F629" s="18"/>
      <c r="G629" s="18"/>
      <c r="H629" s="20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spans="1:25" x14ac:dyDescent="0.3">
      <c r="A630" s="22"/>
      <c r="B630" s="18"/>
      <c r="C630" s="18"/>
      <c r="D630" s="18"/>
      <c r="E630" s="18"/>
      <c r="F630" s="18"/>
      <c r="G630" s="18"/>
      <c r="H630" s="20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spans="1:25" x14ac:dyDescent="0.3">
      <c r="A631" s="22"/>
      <c r="B631" s="18"/>
      <c r="C631" s="18"/>
      <c r="D631" s="18"/>
      <c r="E631" s="18"/>
      <c r="F631" s="18"/>
      <c r="G631" s="18"/>
      <c r="H631" s="20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spans="1:25" x14ac:dyDescent="0.3">
      <c r="A632" s="22"/>
      <c r="B632" s="18"/>
      <c r="C632" s="18"/>
      <c r="D632" s="18"/>
      <c r="E632" s="18"/>
      <c r="F632" s="18"/>
      <c r="G632" s="18"/>
      <c r="H632" s="20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spans="1:25" x14ac:dyDescent="0.3">
      <c r="A633" s="22"/>
      <c r="B633" s="18"/>
      <c r="C633" s="18"/>
      <c r="D633" s="18"/>
      <c r="E633" s="18"/>
      <c r="F633" s="18"/>
      <c r="G633" s="18"/>
      <c r="H633" s="20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spans="1:25" x14ac:dyDescent="0.3">
      <c r="A634" s="22"/>
      <c r="B634" s="18"/>
      <c r="C634" s="18"/>
      <c r="D634" s="18"/>
      <c r="E634" s="18"/>
      <c r="F634" s="18"/>
      <c r="G634" s="18"/>
      <c r="H634" s="20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spans="1:25" x14ac:dyDescent="0.3">
      <c r="A635" s="22"/>
      <c r="B635" s="18"/>
      <c r="C635" s="18"/>
      <c r="D635" s="18"/>
      <c r="E635" s="18"/>
      <c r="F635" s="18"/>
      <c r="G635" s="18"/>
      <c r="H635" s="20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spans="1:25" x14ac:dyDescent="0.3">
      <c r="A636" s="22"/>
      <c r="B636" s="18"/>
      <c r="C636" s="18"/>
      <c r="D636" s="18"/>
      <c r="E636" s="18"/>
      <c r="F636" s="18"/>
      <c r="G636" s="18"/>
      <c r="H636" s="20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spans="1:25" x14ac:dyDescent="0.3">
      <c r="A637" s="22"/>
      <c r="B637" s="18"/>
      <c r="C637" s="18"/>
      <c r="D637" s="18"/>
      <c r="E637" s="18"/>
      <c r="F637" s="18"/>
      <c r="G637" s="18"/>
      <c r="H637" s="20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spans="1:25" x14ac:dyDescent="0.3">
      <c r="A638" s="22"/>
      <c r="B638" s="18"/>
      <c r="C638" s="18"/>
      <c r="D638" s="18"/>
      <c r="E638" s="18"/>
      <c r="F638" s="18"/>
      <c r="G638" s="18"/>
      <c r="H638" s="20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spans="1:25" x14ac:dyDescent="0.3">
      <c r="A639" s="22"/>
      <c r="B639" s="18"/>
      <c r="C639" s="18"/>
      <c r="D639" s="18"/>
      <c r="E639" s="18"/>
      <c r="F639" s="18"/>
      <c r="G639" s="18"/>
      <c r="H639" s="20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spans="1:25" x14ac:dyDescent="0.3">
      <c r="A640" s="22"/>
      <c r="B640" s="18"/>
      <c r="C640" s="18"/>
      <c r="D640" s="18"/>
      <c r="E640" s="18"/>
      <c r="F640" s="18"/>
      <c r="G640" s="18"/>
      <c r="H640" s="20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5" x14ac:dyDescent="0.3">
      <c r="A641" s="22"/>
      <c r="B641" s="18"/>
      <c r="C641" s="18"/>
      <c r="D641" s="18"/>
      <c r="E641" s="18"/>
      <c r="F641" s="18"/>
      <c r="G641" s="18"/>
      <c r="H641" s="20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spans="1:25" x14ac:dyDescent="0.3">
      <c r="A642" s="22"/>
      <c r="B642" s="18"/>
      <c r="C642" s="18"/>
      <c r="D642" s="18"/>
      <c r="E642" s="18"/>
      <c r="F642" s="18"/>
      <c r="G642" s="18"/>
      <c r="H642" s="20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spans="1:25" x14ac:dyDescent="0.3">
      <c r="A643" s="22"/>
      <c r="B643" s="18"/>
      <c r="C643" s="18"/>
      <c r="D643" s="18"/>
      <c r="E643" s="18"/>
      <c r="F643" s="18"/>
      <c r="G643" s="18"/>
      <c r="H643" s="20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spans="1:25" x14ac:dyDescent="0.3">
      <c r="A644" s="22"/>
      <c r="B644" s="18"/>
      <c r="C644" s="18"/>
      <c r="D644" s="18"/>
      <c r="E644" s="18"/>
      <c r="F644" s="18"/>
      <c r="G644" s="18"/>
      <c r="H644" s="20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spans="1:25" x14ac:dyDescent="0.3">
      <c r="A645" s="22"/>
      <c r="B645" s="18"/>
      <c r="C645" s="18"/>
      <c r="D645" s="18"/>
      <c r="E645" s="18"/>
      <c r="F645" s="18"/>
      <c r="G645" s="18"/>
      <c r="H645" s="20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spans="1:25" x14ac:dyDescent="0.3">
      <c r="A646" s="22"/>
      <c r="B646" s="18"/>
      <c r="C646" s="18"/>
      <c r="D646" s="18"/>
      <c r="E646" s="18"/>
      <c r="F646" s="18"/>
      <c r="G646" s="18"/>
      <c r="H646" s="20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spans="1:25" x14ac:dyDescent="0.3">
      <c r="A647" s="22"/>
      <c r="B647" s="18"/>
      <c r="C647" s="18"/>
      <c r="D647" s="18"/>
      <c r="E647" s="18"/>
      <c r="F647" s="18"/>
      <c r="G647" s="18"/>
      <c r="H647" s="20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spans="1:25" x14ac:dyDescent="0.3">
      <c r="A648" s="22"/>
      <c r="B648" s="18"/>
      <c r="C648" s="18"/>
      <c r="D648" s="18"/>
      <c r="E648" s="18"/>
      <c r="F648" s="18"/>
      <c r="G648" s="18"/>
      <c r="H648" s="20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spans="1:25" x14ac:dyDescent="0.3">
      <c r="A649" s="22"/>
      <c r="B649" s="18"/>
      <c r="C649" s="18"/>
      <c r="D649" s="18"/>
      <c r="E649" s="18"/>
      <c r="F649" s="18"/>
      <c r="G649" s="18"/>
      <c r="H649" s="20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spans="1:25" x14ac:dyDescent="0.3">
      <c r="A650" s="22"/>
      <c r="B650" s="18"/>
      <c r="C650" s="18"/>
      <c r="D650" s="18"/>
      <c r="E650" s="18"/>
      <c r="F650" s="18"/>
      <c r="G650" s="18"/>
      <c r="H650" s="20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spans="1:25" x14ac:dyDescent="0.3">
      <c r="A651" s="22"/>
      <c r="B651" s="18"/>
      <c r="C651" s="18"/>
      <c r="D651" s="18"/>
      <c r="E651" s="18"/>
      <c r="F651" s="18"/>
      <c r="G651" s="18"/>
      <c r="H651" s="20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spans="1:25" x14ac:dyDescent="0.3">
      <c r="A652" s="22"/>
      <c r="B652" s="18"/>
      <c r="C652" s="18"/>
      <c r="D652" s="18"/>
      <c r="E652" s="18"/>
      <c r="F652" s="18"/>
      <c r="G652" s="18"/>
      <c r="H652" s="20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spans="1:25" x14ac:dyDescent="0.3">
      <c r="A653" s="22"/>
      <c r="B653" s="18"/>
      <c r="C653" s="18"/>
      <c r="D653" s="18"/>
      <c r="E653" s="18"/>
      <c r="F653" s="18"/>
      <c r="G653" s="18"/>
      <c r="H653" s="20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spans="1:25" x14ac:dyDescent="0.3">
      <c r="A654" s="22"/>
      <c r="B654" s="18"/>
      <c r="C654" s="18"/>
      <c r="D654" s="18"/>
      <c r="E654" s="18"/>
      <c r="F654" s="18"/>
      <c r="G654" s="18"/>
      <c r="H654" s="20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spans="1:25" x14ac:dyDescent="0.3">
      <c r="A655" s="22"/>
      <c r="B655" s="18"/>
      <c r="C655" s="18"/>
      <c r="D655" s="18"/>
      <c r="E655" s="18"/>
      <c r="F655" s="18"/>
      <c r="G655" s="18"/>
      <c r="H655" s="20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spans="1:25" x14ac:dyDescent="0.3">
      <c r="A656" s="22"/>
      <c r="B656" s="18"/>
      <c r="C656" s="18"/>
      <c r="D656" s="18"/>
      <c r="E656" s="18"/>
      <c r="F656" s="18"/>
      <c r="G656" s="18"/>
      <c r="H656" s="20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spans="1:25" x14ac:dyDescent="0.3">
      <c r="A657" s="22"/>
      <c r="B657" s="18"/>
      <c r="C657" s="18"/>
      <c r="D657" s="18"/>
      <c r="E657" s="18"/>
      <c r="F657" s="18"/>
      <c r="G657" s="18"/>
      <c r="H657" s="20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spans="1:25" x14ac:dyDescent="0.3">
      <c r="A658" s="22"/>
      <c r="B658" s="18"/>
      <c r="C658" s="18"/>
      <c r="D658" s="18"/>
      <c r="E658" s="18"/>
      <c r="F658" s="18"/>
      <c r="G658" s="18"/>
      <c r="H658" s="20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spans="1:25" x14ac:dyDescent="0.3">
      <c r="A659" s="22"/>
      <c r="B659" s="18"/>
      <c r="C659" s="18"/>
      <c r="D659" s="18"/>
      <c r="E659" s="18"/>
      <c r="F659" s="18"/>
      <c r="G659" s="18"/>
      <c r="H659" s="20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spans="1:25" x14ac:dyDescent="0.3">
      <c r="A660" s="22"/>
      <c r="B660" s="18"/>
      <c r="C660" s="18"/>
      <c r="D660" s="18"/>
      <c r="E660" s="18"/>
      <c r="F660" s="18"/>
      <c r="G660" s="18"/>
      <c r="H660" s="20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spans="1:25" x14ac:dyDescent="0.3">
      <c r="A661" s="22"/>
      <c r="B661" s="18"/>
      <c r="C661" s="18"/>
      <c r="D661" s="18"/>
      <c r="E661" s="18"/>
      <c r="F661" s="18"/>
      <c r="G661" s="18"/>
      <c r="H661" s="20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spans="1:25" x14ac:dyDescent="0.3">
      <c r="A662" s="22"/>
      <c r="B662" s="18"/>
      <c r="C662" s="18"/>
      <c r="D662" s="18"/>
      <c r="E662" s="18"/>
      <c r="F662" s="18"/>
      <c r="G662" s="18"/>
      <c r="H662" s="20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spans="1:25" x14ac:dyDescent="0.3">
      <c r="A663" s="22"/>
      <c r="B663" s="18"/>
      <c r="C663" s="18"/>
      <c r="D663" s="18"/>
      <c r="E663" s="18"/>
      <c r="F663" s="18"/>
      <c r="G663" s="18"/>
      <c r="H663" s="20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spans="1:25" x14ac:dyDescent="0.3">
      <c r="A664" s="22"/>
      <c r="B664" s="18"/>
      <c r="C664" s="18"/>
      <c r="D664" s="18"/>
      <c r="E664" s="18"/>
      <c r="F664" s="18"/>
      <c r="G664" s="18"/>
      <c r="H664" s="20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spans="1:25" x14ac:dyDescent="0.3">
      <c r="A665" s="22"/>
      <c r="B665" s="18"/>
      <c r="C665" s="18"/>
      <c r="D665" s="18"/>
      <c r="E665" s="18"/>
      <c r="F665" s="18"/>
      <c r="G665" s="18"/>
      <c r="H665" s="20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spans="1:25" x14ac:dyDescent="0.3">
      <c r="A666" s="22"/>
      <c r="B666" s="18"/>
      <c r="C666" s="18"/>
      <c r="D666" s="18"/>
      <c r="E666" s="18"/>
      <c r="F666" s="18"/>
      <c r="G666" s="18"/>
      <c r="H666" s="20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spans="1:25" x14ac:dyDescent="0.3">
      <c r="A667" s="22"/>
      <c r="B667" s="18"/>
      <c r="C667" s="18"/>
      <c r="D667" s="18"/>
      <c r="E667" s="18"/>
      <c r="F667" s="18"/>
      <c r="G667" s="18"/>
      <c r="H667" s="20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spans="1:25" x14ac:dyDescent="0.3">
      <c r="A668" s="22"/>
      <c r="B668" s="18"/>
      <c r="C668" s="18"/>
      <c r="D668" s="18"/>
      <c r="E668" s="18"/>
      <c r="F668" s="18"/>
      <c r="G668" s="18"/>
      <c r="H668" s="20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spans="1:25" x14ac:dyDescent="0.3">
      <c r="A669" s="22"/>
      <c r="B669" s="18"/>
      <c r="C669" s="18"/>
      <c r="D669" s="18"/>
      <c r="E669" s="18"/>
      <c r="F669" s="18"/>
      <c r="G669" s="18"/>
      <c r="H669" s="20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spans="1:25" x14ac:dyDescent="0.3">
      <c r="A670" s="22"/>
      <c r="B670" s="18"/>
      <c r="C670" s="18"/>
      <c r="D670" s="18"/>
      <c r="E670" s="18"/>
      <c r="F670" s="18"/>
      <c r="G670" s="18"/>
      <c r="H670" s="20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spans="1:25" x14ac:dyDescent="0.3">
      <c r="A671" s="22"/>
      <c r="B671" s="18"/>
      <c r="C671" s="18"/>
      <c r="D671" s="18"/>
      <c r="E671" s="18"/>
      <c r="F671" s="18"/>
      <c r="G671" s="18"/>
      <c r="H671" s="20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spans="1:25" x14ac:dyDescent="0.3">
      <c r="A672" s="22"/>
      <c r="B672" s="18"/>
      <c r="C672" s="18"/>
      <c r="D672" s="18"/>
      <c r="E672" s="18"/>
      <c r="F672" s="18"/>
      <c r="G672" s="18"/>
      <c r="H672" s="20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spans="1:25" x14ac:dyDescent="0.3">
      <c r="A673" s="22"/>
      <c r="B673" s="18"/>
      <c r="C673" s="18"/>
      <c r="D673" s="18"/>
      <c r="E673" s="18"/>
      <c r="F673" s="18"/>
      <c r="G673" s="18"/>
      <c r="H673" s="20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spans="1:25" x14ac:dyDescent="0.3">
      <c r="A674" s="22"/>
      <c r="B674" s="18"/>
      <c r="C674" s="18"/>
      <c r="D674" s="18"/>
      <c r="E674" s="18"/>
      <c r="F674" s="18"/>
      <c r="G674" s="18"/>
      <c r="H674" s="20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spans="1:25" x14ac:dyDescent="0.3">
      <c r="A675" s="22"/>
      <c r="B675" s="18"/>
      <c r="C675" s="18"/>
      <c r="D675" s="18"/>
      <c r="E675" s="18"/>
      <c r="F675" s="18"/>
      <c r="G675" s="18"/>
      <c r="H675" s="20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spans="1:25" x14ac:dyDescent="0.3">
      <c r="A676" s="22"/>
      <c r="B676" s="18"/>
      <c r="C676" s="18"/>
      <c r="D676" s="18"/>
      <c r="E676" s="18"/>
      <c r="F676" s="18"/>
      <c r="G676" s="18"/>
      <c r="H676" s="20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spans="1:25" x14ac:dyDescent="0.3">
      <c r="A677" s="22"/>
      <c r="B677" s="18"/>
      <c r="C677" s="18"/>
      <c r="D677" s="18"/>
      <c r="E677" s="18"/>
      <c r="F677" s="18"/>
      <c r="G677" s="18"/>
      <c r="H677" s="20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spans="1:25" x14ac:dyDescent="0.3">
      <c r="A678" s="22"/>
      <c r="B678" s="18"/>
      <c r="C678" s="18"/>
      <c r="D678" s="18"/>
      <c r="E678" s="18"/>
      <c r="F678" s="18"/>
      <c r="G678" s="18"/>
      <c r="H678" s="20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spans="1:25" x14ac:dyDescent="0.3">
      <c r="A679" s="22"/>
      <c r="B679" s="18"/>
      <c r="C679" s="18"/>
      <c r="D679" s="18"/>
      <c r="E679" s="18"/>
      <c r="F679" s="18"/>
      <c r="G679" s="18"/>
      <c r="H679" s="20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spans="1:25" x14ac:dyDescent="0.3">
      <c r="A680" s="22"/>
      <c r="B680" s="18"/>
      <c r="C680" s="18"/>
      <c r="D680" s="18"/>
      <c r="E680" s="18"/>
      <c r="F680" s="18"/>
      <c r="G680" s="18"/>
      <c r="H680" s="20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spans="1:25" x14ac:dyDescent="0.3">
      <c r="A681" s="22"/>
      <c r="B681" s="18"/>
      <c r="C681" s="18"/>
      <c r="D681" s="18"/>
      <c r="E681" s="18"/>
      <c r="F681" s="18"/>
      <c r="G681" s="18"/>
      <c r="H681" s="20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spans="1:25" x14ac:dyDescent="0.3">
      <c r="A682" s="22"/>
      <c r="B682" s="18"/>
      <c r="C682" s="18"/>
      <c r="D682" s="18"/>
      <c r="E682" s="18"/>
      <c r="F682" s="18"/>
      <c r="G682" s="18"/>
      <c r="H682" s="20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spans="1:25" x14ac:dyDescent="0.3">
      <c r="A683" s="22"/>
      <c r="B683" s="18"/>
      <c r="C683" s="18"/>
      <c r="D683" s="18"/>
      <c r="E683" s="18"/>
      <c r="F683" s="18"/>
      <c r="G683" s="18"/>
      <c r="H683" s="20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spans="1:25" x14ac:dyDescent="0.3">
      <c r="A684" s="22"/>
      <c r="B684" s="18"/>
      <c r="C684" s="18"/>
      <c r="D684" s="18"/>
      <c r="E684" s="18"/>
      <c r="F684" s="18"/>
      <c r="G684" s="18"/>
      <c r="H684" s="20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spans="1:25" x14ac:dyDescent="0.3">
      <c r="A685" s="22"/>
      <c r="B685" s="18"/>
      <c r="C685" s="18"/>
      <c r="D685" s="18"/>
      <c r="E685" s="18"/>
      <c r="F685" s="18"/>
      <c r="G685" s="18"/>
      <c r="H685" s="20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spans="1:25" x14ac:dyDescent="0.3">
      <c r="A686" s="22"/>
      <c r="B686" s="18"/>
      <c r="C686" s="18"/>
      <c r="D686" s="18"/>
      <c r="E686" s="18"/>
      <c r="F686" s="18"/>
      <c r="G686" s="18"/>
      <c r="H686" s="20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spans="1:25" x14ac:dyDescent="0.3">
      <c r="A687" s="22"/>
      <c r="B687" s="18"/>
      <c r="C687" s="18"/>
      <c r="D687" s="18"/>
      <c r="E687" s="18"/>
      <c r="F687" s="18"/>
      <c r="G687" s="18"/>
      <c r="H687" s="20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spans="1:25" x14ac:dyDescent="0.3">
      <c r="A688" s="22"/>
      <c r="B688" s="18"/>
      <c r="C688" s="18"/>
      <c r="D688" s="18"/>
      <c r="E688" s="18"/>
      <c r="F688" s="18"/>
      <c r="G688" s="18"/>
      <c r="H688" s="20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spans="1:25" x14ac:dyDescent="0.3">
      <c r="A689" s="22"/>
      <c r="B689" s="18"/>
      <c r="C689" s="18"/>
      <c r="D689" s="18"/>
      <c r="E689" s="18"/>
      <c r="F689" s="18"/>
      <c r="G689" s="18"/>
      <c r="H689" s="20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spans="1:25" x14ac:dyDescent="0.3">
      <c r="A690" s="22"/>
      <c r="B690" s="18"/>
      <c r="C690" s="18"/>
      <c r="D690" s="18"/>
      <c r="E690" s="18"/>
      <c r="F690" s="18"/>
      <c r="G690" s="18"/>
      <c r="H690" s="20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spans="1:25" x14ac:dyDescent="0.3">
      <c r="A691" s="22"/>
      <c r="B691" s="18"/>
      <c r="C691" s="18"/>
      <c r="D691" s="18"/>
      <c r="E691" s="18"/>
      <c r="F691" s="18"/>
      <c r="G691" s="18"/>
      <c r="H691" s="20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spans="1:25" x14ac:dyDescent="0.3">
      <c r="A692" s="22"/>
      <c r="B692" s="18"/>
      <c r="C692" s="18"/>
      <c r="D692" s="18"/>
      <c r="E692" s="18"/>
      <c r="F692" s="18"/>
      <c r="G692" s="18"/>
      <c r="H692" s="20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spans="1:25" x14ac:dyDescent="0.3">
      <c r="A693" s="22"/>
      <c r="B693" s="18"/>
      <c r="C693" s="18"/>
      <c r="D693" s="18"/>
      <c r="E693" s="18"/>
      <c r="F693" s="18"/>
      <c r="G693" s="18"/>
      <c r="H693" s="20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spans="1:25" x14ac:dyDescent="0.3">
      <c r="A694" s="22"/>
      <c r="B694" s="18"/>
      <c r="C694" s="18"/>
      <c r="D694" s="18"/>
      <c r="E694" s="18"/>
      <c r="F694" s="18"/>
      <c r="G694" s="18"/>
      <c r="H694" s="20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spans="1:25" x14ac:dyDescent="0.3">
      <c r="A695" s="22"/>
      <c r="B695" s="18"/>
      <c r="C695" s="18"/>
      <c r="D695" s="18"/>
      <c r="E695" s="18"/>
      <c r="F695" s="18"/>
      <c r="G695" s="18"/>
      <c r="H695" s="20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spans="1:25" x14ac:dyDescent="0.3">
      <c r="A696" s="22"/>
      <c r="B696" s="18"/>
      <c r="C696" s="18"/>
      <c r="D696" s="18"/>
      <c r="E696" s="18"/>
      <c r="F696" s="18"/>
      <c r="G696" s="18"/>
      <c r="H696" s="20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spans="1:25" x14ac:dyDescent="0.3">
      <c r="A697" s="22"/>
      <c r="B697" s="18"/>
      <c r="C697" s="18"/>
      <c r="D697" s="18"/>
      <c r="E697" s="18"/>
      <c r="F697" s="18"/>
      <c r="G697" s="18"/>
      <c r="H697" s="20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spans="1:25" x14ac:dyDescent="0.3">
      <c r="A698" s="22"/>
      <c r="B698" s="18"/>
      <c r="C698" s="18"/>
      <c r="D698" s="18"/>
      <c r="E698" s="18"/>
      <c r="F698" s="18"/>
      <c r="G698" s="18"/>
      <c r="H698" s="20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spans="1:25" x14ac:dyDescent="0.3">
      <c r="A699" s="22"/>
      <c r="B699" s="18"/>
      <c r="C699" s="18"/>
      <c r="D699" s="18"/>
      <c r="E699" s="18"/>
      <c r="F699" s="18"/>
      <c r="G699" s="18"/>
      <c r="H699" s="20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spans="1:25" x14ac:dyDescent="0.3">
      <c r="A700" s="22"/>
      <c r="B700" s="18"/>
      <c r="C700" s="18"/>
      <c r="D700" s="18"/>
      <c r="E700" s="18"/>
      <c r="F700" s="18"/>
      <c r="G700" s="18"/>
      <c r="H700" s="20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spans="1:25" x14ac:dyDescent="0.3">
      <c r="A701" s="22"/>
      <c r="B701" s="18"/>
      <c r="C701" s="18"/>
      <c r="D701" s="18"/>
      <c r="E701" s="18"/>
      <c r="F701" s="18"/>
      <c r="G701" s="18"/>
      <c r="H701" s="20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spans="1:25" x14ac:dyDescent="0.3">
      <c r="A702" s="22"/>
      <c r="B702" s="18"/>
      <c r="C702" s="18"/>
      <c r="D702" s="18"/>
      <c r="E702" s="18"/>
      <c r="F702" s="18"/>
      <c r="G702" s="18"/>
      <c r="H702" s="20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spans="1:25" x14ac:dyDescent="0.3">
      <c r="A703" s="22"/>
      <c r="B703" s="18"/>
      <c r="C703" s="18"/>
      <c r="D703" s="18"/>
      <c r="E703" s="18"/>
      <c r="F703" s="18"/>
      <c r="G703" s="18"/>
      <c r="H703" s="20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spans="1:25" x14ac:dyDescent="0.3">
      <c r="A704" s="22"/>
      <c r="B704" s="18"/>
      <c r="C704" s="18"/>
      <c r="D704" s="18"/>
      <c r="E704" s="18"/>
      <c r="F704" s="18"/>
      <c r="G704" s="18"/>
      <c r="H704" s="20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spans="1:25" x14ac:dyDescent="0.3">
      <c r="A705" s="22"/>
      <c r="B705" s="18"/>
      <c r="C705" s="18"/>
      <c r="D705" s="18"/>
      <c r="E705" s="18"/>
      <c r="F705" s="18"/>
      <c r="G705" s="18"/>
      <c r="H705" s="20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spans="1:25" x14ac:dyDescent="0.3">
      <c r="A706" s="22"/>
      <c r="B706" s="18"/>
      <c r="C706" s="18"/>
      <c r="D706" s="18"/>
      <c r="E706" s="18"/>
      <c r="F706" s="18"/>
      <c r="G706" s="18"/>
      <c r="H706" s="20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spans="1:25" x14ac:dyDescent="0.3">
      <c r="A707" s="22"/>
      <c r="B707" s="18"/>
      <c r="C707" s="18"/>
      <c r="D707" s="18"/>
      <c r="E707" s="18"/>
      <c r="F707" s="18"/>
      <c r="G707" s="18"/>
      <c r="H707" s="20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spans="1:25" x14ac:dyDescent="0.3">
      <c r="A708" s="22"/>
      <c r="B708" s="18"/>
      <c r="C708" s="18"/>
      <c r="D708" s="18"/>
      <c r="E708" s="18"/>
      <c r="F708" s="18"/>
      <c r="G708" s="18"/>
      <c r="H708" s="20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spans="1:25" x14ac:dyDescent="0.3">
      <c r="A709" s="22"/>
      <c r="B709" s="18"/>
      <c r="C709" s="18"/>
      <c r="D709" s="18"/>
      <c r="E709" s="18"/>
      <c r="F709" s="18"/>
      <c r="G709" s="18"/>
      <c r="H709" s="20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spans="1:25" x14ac:dyDescent="0.3">
      <c r="A710" s="22"/>
      <c r="B710" s="18"/>
      <c r="C710" s="18"/>
      <c r="D710" s="18"/>
      <c r="E710" s="18"/>
      <c r="F710" s="18"/>
      <c r="G710" s="18"/>
      <c r="H710" s="20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spans="1:25" x14ac:dyDescent="0.3">
      <c r="A711" s="22"/>
      <c r="B711" s="18"/>
      <c r="C711" s="18"/>
      <c r="D711" s="18"/>
      <c r="E711" s="18"/>
      <c r="F711" s="18"/>
      <c r="G711" s="18"/>
      <c r="H711" s="20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spans="1:25" x14ac:dyDescent="0.3">
      <c r="A712" s="22"/>
      <c r="B712" s="18"/>
      <c r="C712" s="18"/>
      <c r="D712" s="18"/>
      <c r="E712" s="18"/>
      <c r="F712" s="18"/>
      <c r="G712" s="18"/>
      <c r="H712" s="20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spans="1:25" x14ac:dyDescent="0.3">
      <c r="A713" s="22"/>
      <c r="B713" s="18"/>
      <c r="C713" s="18"/>
      <c r="D713" s="18"/>
      <c r="E713" s="18"/>
      <c r="F713" s="18"/>
      <c r="G713" s="18"/>
      <c r="H713" s="20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spans="1:25" x14ac:dyDescent="0.3">
      <c r="A714" s="22"/>
      <c r="B714" s="18"/>
      <c r="C714" s="18"/>
      <c r="D714" s="18"/>
      <c r="E714" s="18"/>
      <c r="F714" s="18"/>
      <c r="G714" s="18"/>
      <c r="H714" s="20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spans="1:25" x14ac:dyDescent="0.3">
      <c r="A715" s="22"/>
      <c r="B715" s="18"/>
      <c r="C715" s="18"/>
      <c r="D715" s="18"/>
      <c r="E715" s="18"/>
      <c r="F715" s="18"/>
      <c r="G715" s="18"/>
      <c r="H715" s="20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spans="1:25" x14ac:dyDescent="0.3">
      <c r="A716" s="22"/>
      <c r="B716" s="18"/>
      <c r="C716" s="18"/>
      <c r="D716" s="18"/>
      <c r="E716" s="18"/>
      <c r="F716" s="18"/>
      <c r="G716" s="18"/>
      <c r="H716" s="20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spans="1:25" x14ac:dyDescent="0.3">
      <c r="A717" s="22"/>
      <c r="B717" s="18"/>
      <c r="C717" s="18"/>
      <c r="D717" s="18"/>
      <c r="E717" s="18"/>
      <c r="F717" s="18"/>
      <c r="G717" s="18"/>
      <c r="H717" s="20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spans="1:25" x14ac:dyDescent="0.3">
      <c r="A718" s="22"/>
      <c r="B718" s="18"/>
      <c r="C718" s="18"/>
      <c r="D718" s="18"/>
      <c r="E718" s="18"/>
      <c r="F718" s="18"/>
      <c r="G718" s="18"/>
      <c r="H718" s="20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spans="1:25" x14ac:dyDescent="0.3">
      <c r="A719" s="22"/>
      <c r="B719" s="18"/>
      <c r="C719" s="18"/>
      <c r="D719" s="18"/>
      <c r="E719" s="18"/>
      <c r="F719" s="18"/>
      <c r="G719" s="18"/>
      <c r="H719" s="20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spans="1:25" x14ac:dyDescent="0.3">
      <c r="A720" s="22"/>
      <c r="B720" s="18"/>
      <c r="C720" s="18"/>
      <c r="D720" s="18"/>
      <c r="E720" s="18"/>
      <c r="F720" s="18"/>
      <c r="G720" s="18"/>
      <c r="H720" s="20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spans="1:25" x14ac:dyDescent="0.3">
      <c r="A721" s="22"/>
      <c r="B721" s="18"/>
      <c r="C721" s="18"/>
      <c r="D721" s="18"/>
      <c r="E721" s="18"/>
      <c r="F721" s="18"/>
      <c r="G721" s="18"/>
      <c r="H721" s="20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spans="1:25" x14ac:dyDescent="0.3">
      <c r="A722" s="22"/>
      <c r="B722" s="18"/>
      <c r="C722" s="18"/>
      <c r="D722" s="18"/>
      <c r="E722" s="18"/>
      <c r="F722" s="18"/>
      <c r="G722" s="18"/>
      <c r="H722" s="20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spans="1:25" x14ac:dyDescent="0.3">
      <c r="A723" s="22"/>
      <c r="B723" s="18"/>
      <c r="C723" s="18"/>
      <c r="D723" s="18"/>
      <c r="E723" s="18"/>
      <c r="F723" s="18"/>
      <c r="G723" s="18"/>
      <c r="H723" s="20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spans="1:25" x14ac:dyDescent="0.3">
      <c r="A724" s="22"/>
      <c r="B724" s="18"/>
      <c r="C724" s="18"/>
      <c r="D724" s="18"/>
      <c r="E724" s="18"/>
      <c r="F724" s="18"/>
      <c r="G724" s="18"/>
      <c r="H724" s="20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spans="1:25" x14ac:dyDescent="0.3">
      <c r="A725" s="22"/>
      <c r="B725" s="18"/>
      <c r="C725" s="18"/>
      <c r="D725" s="18"/>
      <c r="E725" s="18"/>
      <c r="F725" s="18"/>
      <c r="G725" s="18"/>
      <c r="H725" s="20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spans="1:25" x14ac:dyDescent="0.3">
      <c r="A726" s="22"/>
      <c r="B726" s="18"/>
      <c r="C726" s="18"/>
      <c r="D726" s="18"/>
      <c r="E726" s="18"/>
      <c r="F726" s="18"/>
      <c r="G726" s="18"/>
      <c r="H726" s="20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spans="1:25" x14ac:dyDescent="0.3">
      <c r="A727" s="22"/>
      <c r="B727" s="18"/>
      <c r="C727" s="18"/>
      <c r="D727" s="18"/>
      <c r="E727" s="18"/>
      <c r="F727" s="18"/>
      <c r="G727" s="18"/>
      <c r="H727" s="20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spans="1:25" x14ac:dyDescent="0.3">
      <c r="A728" s="22"/>
      <c r="B728" s="18"/>
      <c r="C728" s="18"/>
      <c r="D728" s="18"/>
      <c r="E728" s="18"/>
      <c r="F728" s="18"/>
      <c r="G728" s="18"/>
      <c r="H728" s="20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spans="1:25" x14ac:dyDescent="0.3">
      <c r="A729" s="22"/>
      <c r="B729" s="18"/>
      <c r="C729" s="18"/>
      <c r="D729" s="18"/>
      <c r="E729" s="18"/>
      <c r="F729" s="18"/>
      <c r="G729" s="18"/>
      <c r="H729" s="20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spans="1:25" x14ac:dyDescent="0.3">
      <c r="A730" s="22"/>
      <c r="B730" s="18"/>
      <c r="C730" s="18"/>
      <c r="D730" s="18"/>
      <c r="E730" s="18"/>
      <c r="F730" s="18"/>
      <c r="G730" s="18"/>
      <c r="H730" s="20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spans="1:25" x14ac:dyDescent="0.3">
      <c r="A731" s="22"/>
      <c r="B731" s="18"/>
      <c r="C731" s="18"/>
      <c r="D731" s="18"/>
      <c r="E731" s="18"/>
      <c r="F731" s="18"/>
      <c r="G731" s="18"/>
      <c r="H731" s="20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spans="1:25" x14ac:dyDescent="0.3">
      <c r="A732" s="22"/>
      <c r="B732" s="18"/>
      <c r="C732" s="18"/>
      <c r="D732" s="18"/>
      <c r="E732" s="18"/>
      <c r="F732" s="18"/>
      <c r="G732" s="18"/>
      <c r="H732" s="20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spans="1:25" x14ac:dyDescent="0.3">
      <c r="A733" s="22"/>
      <c r="B733" s="18"/>
      <c r="C733" s="18"/>
      <c r="D733" s="18"/>
      <c r="E733" s="18"/>
      <c r="F733" s="18"/>
      <c r="G733" s="18"/>
      <c r="H733" s="20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spans="1:25" x14ac:dyDescent="0.3">
      <c r="A734" s="22"/>
      <c r="B734" s="18"/>
      <c r="C734" s="18"/>
      <c r="D734" s="18"/>
      <c r="E734" s="18"/>
      <c r="F734" s="18"/>
      <c r="G734" s="18"/>
      <c r="H734" s="20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spans="1:25" x14ac:dyDescent="0.3">
      <c r="A735" s="22"/>
      <c r="B735" s="18"/>
      <c r="C735" s="18"/>
      <c r="D735" s="18"/>
      <c r="E735" s="18"/>
      <c r="F735" s="18"/>
      <c r="G735" s="18"/>
      <c r="H735" s="20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spans="1:25" x14ac:dyDescent="0.3">
      <c r="A736" s="22"/>
      <c r="B736" s="18"/>
      <c r="C736" s="18"/>
      <c r="D736" s="18"/>
      <c r="E736" s="18"/>
      <c r="F736" s="18"/>
      <c r="G736" s="18"/>
      <c r="H736" s="20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spans="1:25" x14ac:dyDescent="0.3">
      <c r="A737" s="22"/>
      <c r="B737" s="18"/>
      <c r="C737" s="18"/>
      <c r="D737" s="18"/>
      <c r="E737" s="18"/>
      <c r="F737" s="18"/>
      <c r="G737" s="18"/>
      <c r="H737" s="20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spans="1:25" x14ac:dyDescent="0.3">
      <c r="A738" s="22"/>
      <c r="B738" s="18"/>
      <c r="C738" s="18"/>
      <c r="D738" s="18"/>
      <c r="E738" s="18"/>
      <c r="F738" s="18"/>
      <c r="G738" s="18"/>
      <c r="H738" s="20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spans="1:25" x14ac:dyDescent="0.3">
      <c r="A739" s="22"/>
      <c r="B739" s="18"/>
      <c r="C739" s="18"/>
      <c r="D739" s="18"/>
      <c r="E739" s="18"/>
      <c r="F739" s="18"/>
      <c r="G739" s="18"/>
      <c r="H739" s="20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spans="1:25" x14ac:dyDescent="0.3">
      <c r="A740" s="22"/>
      <c r="B740" s="18"/>
      <c r="C740" s="18"/>
      <c r="D740" s="18"/>
      <c r="E740" s="18"/>
      <c r="F740" s="18"/>
      <c r="G740" s="18"/>
      <c r="H740" s="20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spans="1:25" x14ac:dyDescent="0.3">
      <c r="A741" s="22"/>
      <c r="B741" s="18"/>
      <c r="C741" s="18"/>
      <c r="D741" s="18"/>
      <c r="E741" s="18"/>
      <c r="F741" s="18"/>
      <c r="G741" s="18"/>
      <c r="H741" s="20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spans="1:25" x14ac:dyDescent="0.3">
      <c r="A742" s="22"/>
      <c r="B742" s="18"/>
      <c r="C742" s="18"/>
      <c r="D742" s="18"/>
      <c r="E742" s="18"/>
      <c r="F742" s="18"/>
      <c r="G742" s="18"/>
      <c r="H742" s="20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spans="1:25" x14ac:dyDescent="0.3">
      <c r="A743" s="22"/>
      <c r="B743" s="18"/>
      <c r="C743" s="18"/>
      <c r="D743" s="18"/>
      <c r="E743" s="18"/>
      <c r="F743" s="18"/>
      <c r="G743" s="18"/>
      <c r="H743" s="20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spans="1:25" x14ac:dyDescent="0.3">
      <c r="A744" s="22"/>
      <c r="B744" s="18"/>
      <c r="C744" s="18"/>
      <c r="D744" s="18"/>
      <c r="E744" s="18"/>
      <c r="F744" s="18"/>
      <c r="G744" s="18"/>
      <c r="H744" s="20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spans="1:25" x14ac:dyDescent="0.3">
      <c r="A745" s="22"/>
      <c r="B745" s="18"/>
      <c r="C745" s="18"/>
      <c r="D745" s="18"/>
      <c r="E745" s="18"/>
      <c r="F745" s="18"/>
      <c r="G745" s="18"/>
      <c r="H745" s="20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spans="1:25" x14ac:dyDescent="0.3">
      <c r="A746" s="22"/>
      <c r="B746" s="18"/>
      <c r="C746" s="18"/>
      <c r="D746" s="18"/>
      <c r="E746" s="18"/>
      <c r="F746" s="18"/>
      <c r="G746" s="18"/>
      <c r="H746" s="20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spans="1:25" x14ac:dyDescent="0.3">
      <c r="A747" s="22"/>
      <c r="B747" s="18"/>
      <c r="C747" s="18"/>
      <c r="D747" s="18"/>
      <c r="E747" s="18"/>
      <c r="F747" s="18"/>
      <c r="G747" s="18"/>
      <c r="H747" s="20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spans="1:25" x14ac:dyDescent="0.3">
      <c r="A748" s="22"/>
      <c r="B748" s="18"/>
      <c r="C748" s="18"/>
      <c r="D748" s="18"/>
      <c r="E748" s="18"/>
      <c r="F748" s="18"/>
      <c r="G748" s="18"/>
      <c r="H748" s="20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spans="1:25" x14ac:dyDescent="0.3">
      <c r="A749" s="22"/>
      <c r="B749" s="18"/>
      <c r="C749" s="18"/>
      <c r="D749" s="18"/>
      <c r="E749" s="18"/>
      <c r="F749" s="18"/>
      <c r="G749" s="18"/>
      <c r="H749" s="20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spans="1:25" x14ac:dyDescent="0.3">
      <c r="A750" s="22"/>
      <c r="B750" s="18"/>
      <c r="C750" s="18"/>
      <c r="D750" s="18"/>
      <c r="E750" s="18"/>
      <c r="F750" s="18"/>
      <c r="G750" s="18"/>
      <c r="H750" s="20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spans="1:25" x14ac:dyDescent="0.3">
      <c r="A751" s="22"/>
      <c r="B751" s="18"/>
      <c r="C751" s="18"/>
      <c r="D751" s="18"/>
      <c r="E751" s="18"/>
      <c r="F751" s="18"/>
      <c r="G751" s="18"/>
      <c r="H751" s="20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spans="1:25" x14ac:dyDescent="0.3">
      <c r="A752" s="22"/>
      <c r="B752" s="18"/>
      <c r="C752" s="18"/>
      <c r="D752" s="18"/>
      <c r="E752" s="18"/>
      <c r="F752" s="18"/>
      <c r="G752" s="18"/>
      <c r="H752" s="20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spans="1:25" x14ac:dyDescent="0.3">
      <c r="A753" s="22"/>
      <c r="B753" s="18"/>
      <c r="C753" s="18"/>
      <c r="D753" s="18"/>
      <c r="E753" s="18"/>
      <c r="F753" s="18"/>
      <c r="G753" s="18"/>
      <c r="H753" s="20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spans="1:25" x14ac:dyDescent="0.3">
      <c r="A754" s="22"/>
      <c r="B754" s="18"/>
      <c r="C754" s="18"/>
      <c r="D754" s="18"/>
      <c r="E754" s="18"/>
      <c r="F754" s="18"/>
      <c r="G754" s="18"/>
      <c r="H754" s="20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spans="1:25" x14ac:dyDescent="0.3">
      <c r="A755" s="22"/>
      <c r="B755" s="18"/>
      <c r="C755" s="18"/>
      <c r="D755" s="18"/>
      <c r="E755" s="18"/>
      <c r="F755" s="18"/>
      <c r="G755" s="18"/>
      <c r="H755" s="20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spans="1:25" x14ac:dyDescent="0.3">
      <c r="A756" s="22"/>
      <c r="B756" s="18"/>
      <c r="C756" s="18"/>
      <c r="D756" s="18"/>
      <c r="E756" s="18"/>
      <c r="F756" s="18"/>
      <c r="G756" s="18"/>
      <c r="H756" s="20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spans="1:25" x14ac:dyDescent="0.3">
      <c r="A757" s="22"/>
      <c r="B757" s="18"/>
      <c r="C757" s="18"/>
      <c r="D757" s="18"/>
      <c r="E757" s="18"/>
      <c r="F757" s="18"/>
      <c r="G757" s="18"/>
      <c r="H757" s="20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spans="1:25" x14ac:dyDescent="0.3">
      <c r="A758" s="22"/>
      <c r="B758" s="18"/>
      <c r="C758" s="18"/>
      <c r="D758" s="18"/>
      <c r="E758" s="18"/>
      <c r="F758" s="18"/>
      <c r="G758" s="18"/>
      <c r="H758" s="20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spans="1:25" x14ac:dyDescent="0.3">
      <c r="A759" s="22"/>
      <c r="B759" s="18"/>
      <c r="C759" s="18"/>
      <c r="D759" s="18"/>
      <c r="E759" s="18"/>
      <c r="F759" s="18"/>
      <c r="G759" s="18"/>
      <c r="H759" s="20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spans="1:25" x14ac:dyDescent="0.3">
      <c r="A760" s="22"/>
      <c r="B760" s="18"/>
      <c r="C760" s="18"/>
      <c r="D760" s="18"/>
      <c r="E760" s="18"/>
      <c r="F760" s="18"/>
      <c r="G760" s="18"/>
      <c r="H760" s="20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spans="1:25" x14ac:dyDescent="0.3">
      <c r="A761" s="22"/>
      <c r="B761" s="18"/>
      <c r="C761" s="18"/>
      <c r="D761" s="18"/>
      <c r="E761" s="18"/>
      <c r="F761" s="18"/>
      <c r="G761" s="18"/>
      <c r="H761" s="20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spans="1:25" x14ac:dyDescent="0.3">
      <c r="A762" s="22"/>
      <c r="B762" s="18"/>
      <c r="C762" s="18"/>
      <c r="D762" s="18"/>
      <c r="E762" s="18"/>
      <c r="F762" s="18"/>
      <c r="G762" s="18"/>
      <c r="H762" s="20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spans="1:25" x14ac:dyDescent="0.3">
      <c r="A763" s="22"/>
      <c r="B763" s="18"/>
      <c r="C763" s="18"/>
      <c r="D763" s="18"/>
      <c r="E763" s="18"/>
      <c r="F763" s="18"/>
      <c r="G763" s="18"/>
      <c r="H763" s="20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spans="1:25" x14ac:dyDescent="0.3">
      <c r="A764" s="22"/>
      <c r="B764" s="18"/>
      <c r="C764" s="18"/>
      <c r="D764" s="18"/>
      <c r="E764" s="18"/>
      <c r="F764" s="18"/>
      <c r="G764" s="18"/>
      <c r="H764" s="20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spans="1:25" x14ac:dyDescent="0.3">
      <c r="A765" s="22"/>
      <c r="B765" s="18"/>
      <c r="C765" s="18"/>
      <c r="D765" s="18"/>
      <c r="E765" s="18"/>
      <c r="F765" s="18"/>
      <c r="G765" s="18"/>
      <c r="H765" s="20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spans="1:25" x14ac:dyDescent="0.3">
      <c r="A766" s="22"/>
      <c r="B766" s="18"/>
      <c r="C766" s="18"/>
      <c r="D766" s="18"/>
      <c r="E766" s="18"/>
      <c r="F766" s="18"/>
      <c r="G766" s="18"/>
      <c r="H766" s="20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spans="1:25" x14ac:dyDescent="0.3">
      <c r="A767" s="22"/>
      <c r="B767" s="18"/>
      <c r="C767" s="18"/>
      <c r="D767" s="18"/>
      <c r="E767" s="18"/>
      <c r="F767" s="18"/>
      <c r="G767" s="18"/>
      <c r="H767" s="20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spans="1:25" x14ac:dyDescent="0.3">
      <c r="A768" s="22"/>
      <c r="B768" s="18"/>
      <c r="C768" s="18"/>
      <c r="D768" s="18"/>
      <c r="E768" s="18"/>
      <c r="F768" s="18"/>
      <c r="G768" s="18"/>
      <c r="H768" s="20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spans="1:25" x14ac:dyDescent="0.3">
      <c r="A769" s="22"/>
      <c r="B769" s="18"/>
      <c r="C769" s="18"/>
      <c r="D769" s="18"/>
      <c r="E769" s="18"/>
      <c r="F769" s="18"/>
      <c r="G769" s="18"/>
      <c r="H769" s="20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spans="1:25" x14ac:dyDescent="0.3">
      <c r="A770" s="22"/>
      <c r="B770" s="18"/>
      <c r="C770" s="18"/>
      <c r="D770" s="18"/>
      <c r="E770" s="18"/>
      <c r="F770" s="18"/>
      <c r="G770" s="18"/>
      <c r="H770" s="20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spans="1:25" x14ac:dyDescent="0.3">
      <c r="A771" s="22"/>
      <c r="B771" s="18"/>
      <c r="C771" s="18"/>
      <c r="D771" s="18"/>
      <c r="E771" s="18"/>
      <c r="F771" s="18"/>
      <c r="G771" s="18"/>
      <c r="H771" s="20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spans="1:25" x14ac:dyDescent="0.3">
      <c r="A772" s="22"/>
      <c r="B772" s="18"/>
      <c r="C772" s="18"/>
      <c r="D772" s="18"/>
      <c r="E772" s="18"/>
      <c r="F772" s="18"/>
      <c r="G772" s="18"/>
      <c r="H772" s="20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spans="1:25" x14ac:dyDescent="0.3">
      <c r="A773" s="22"/>
      <c r="B773" s="18"/>
      <c r="C773" s="18"/>
      <c r="D773" s="18"/>
      <c r="E773" s="18"/>
      <c r="F773" s="18"/>
      <c r="G773" s="18"/>
      <c r="H773" s="20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spans="1:25" x14ac:dyDescent="0.3">
      <c r="A774" s="22"/>
      <c r="B774" s="18"/>
      <c r="C774" s="18"/>
      <c r="D774" s="18"/>
      <c r="E774" s="18"/>
      <c r="F774" s="18"/>
      <c r="G774" s="18"/>
      <c r="H774" s="20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spans="1:25" x14ac:dyDescent="0.3">
      <c r="A775" s="22"/>
      <c r="B775" s="18"/>
      <c r="C775" s="18"/>
      <c r="D775" s="18"/>
      <c r="E775" s="18"/>
      <c r="F775" s="18"/>
      <c r="G775" s="18"/>
      <c r="H775" s="20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spans="1:25" x14ac:dyDescent="0.3">
      <c r="A776" s="22"/>
      <c r="B776" s="18"/>
      <c r="C776" s="18"/>
      <c r="D776" s="18"/>
      <c r="E776" s="18"/>
      <c r="F776" s="18"/>
      <c r="G776" s="18"/>
      <c r="H776" s="20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spans="1:25" x14ac:dyDescent="0.3">
      <c r="A777" s="22"/>
      <c r="B777" s="18"/>
      <c r="C777" s="18"/>
      <c r="D777" s="18"/>
      <c r="E777" s="18"/>
      <c r="F777" s="18"/>
      <c r="G777" s="18"/>
      <c r="H777" s="20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spans="1:25" x14ac:dyDescent="0.3">
      <c r="A778" s="22"/>
      <c r="B778" s="18"/>
      <c r="C778" s="18"/>
      <c r="D778" s="18"/>
      <c r="E778" s="18"/>
      <c r="F778" s="18"/>
      <c r="G778" s="18"/>
      <c r="H778" s="20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spans="1:25" x14ac:dyDescent="0.3">
      <c r="A779" s="22"/>
      <c r="B779" s="18"/>
      <c r="C779" s="18"/>
      <c r="D779" s="18"/>
      <c r="E779" s="18"/>
      <c r="F779" s="18"/>
      <c r="G779" s="18"/>
      <c r="H779" s="20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spans="1:25" x14ac:dyDescent="0.3">
      <c r="A780" s="22"/>
      <c r="B780" s="18"/>
      <c r="C780" s="18"/>
      <c r="D780" s="18"/>
      <c r="E780" s="18"/>
      <c r="F780" s="18"/>
      <c r="G780" s="18"/>
      <c r="H780" s="20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spans="1:25" x14ac:dyDescent="0.3">
      <c r="A781" s="22"/>
      <c r="B781" s="18"/>
      <c r="C781" s="18"/>
      <c r="D781" s="18"/>
      <c r="E781" s="18"/>
      <c r="F781" s="18"/>
      <c r="G781" s="18"/>
      <c r="H781" s="20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spans="1:25" x14ac:dyDescent="0.3">
      <c r="A782" s="22"/>
      <c r="B782" s="18"/>
      <c r="C782" s="18"/>
      <c r="D782" s="18"/>
      <c r="E782" s="18"/>
      <c r="F782" s="18"/>
      <c r="G782" s="18"/>
      <c r="H782" s="20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spans="1:25" x14ac:dyDescent="0.3">
      <c r="A783" s="22"/>
      <c r="B783" s="18"/>
      <c r="C783" s="18"/>
      <c r="D783" s="18"/>
      <c r="E783" s="18"/>
      <c r="F783" s="18"/>
      <c r="G783" s="18"/>
      <c r="H783" s="20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spans="1:25" x14ac:dyDescent="0.3">
      <c r="A784" s="22"/>
      <c r="B784" s="18"/>
      <c r="C784" s="18"/>
      <c r="D784" s="18"/>
      <c r="E784" s="18"/>
      <c r="F784" s="18"/>
      <c r="G784" s="18"/>
      <c r="H784" s="20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spans="1:25" x14ac:dyDescent="0.3">
      <c r="A785" s="22"/>
      <c r="B785" s="18"/>
      <c r="C785" s="18"/>
      <c r="D785" s="18"/>
      <c r="E785" s="18"/>
      <c r="F785" s="18"/>
      <c r="G785" s="18"/>
      <c r="H785" s="20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spans="1:25" x14ac:dyDescent="0.3">
      <c r="A786" s="22"/>
      <c r="B786" s="18"/>
      <c r="C786" s="18"/>
      <c r="D786" s="18"/>
      <c r="E786" s="18"/>
      <c r="F786" s="18"/>
      <c r="G786" s="18"/>
      <c r="H786" s="20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spans="1:25" x14ac:dyDescent="0.3">
      <c r="A787" s="22"/>
      <c r="B787" s="18"/>
      <c r="C787" s="18"/>
      <c r="D787" s="18"/>
      <c r="E787" s="18"/>
      <c r="F787" s="18"/>
      <c r="G787" s="18"/>
      <c r="H787" s="20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spans="1:25" x14ac:dyDescent="0.3">
      <c r="A788" s="22"/>
      <c r="B788" s="18"/>
      <c r="C788" s="18"/>
      <c r="D788" s="18"/>
      <c r="E788" s="18"/>
      <c r="F788" s="18"/>
      <c r="G788" s="18"/>
      <c r="H788" s="20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spans="1:25" x14ac:dyDescent="0.3">
      <c r="A789" s="22"/>
      <c r="B789" s="18"/>
      <c r="C789" s="18"/>
      <c r="D789" s="18"/>
      <c r="E789" s="18"/>
      <c r="F789" s="18"/>
      <c r="G789" s="18"/>
      <c r="H789" s="20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spans="1:25" x14ac:dyDescent="0.3">
      <c r="A790" s="22"/>
      <c r="B790" s="18"/>
      <c r="C790" s="18"/>
      <c r="D790" s="18"/>
      <c r="E790" s="18"/>
      <c r="F790" s="18"/>
      <c r="G790" s="18"/>
      <c r="H790" s="20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spans="1:25" x14ac:dyDescent="0.3">
      <c r="A791" s="22"/>
      <c r="B791" s="18"/>
      <c r="C791" s="18"/>
      <c r="D791" s="18"/>
      <c r="E791" s="18"/>
      <c r="F791" s="18"/>
      <c r="G791" s="18"/>
      <c r="H791" s="20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spans="1:25" x14ac:dyDescent="0.3">
      <c r="A792" s="22"/>
      <c r="B792" s="18"/>
      <c r="C792" s="18"/>
      <c r="D792" s="18"/>
      <c r="E792" s="18"/>
      <c r="F792" s="18"/>
      <c r="G792" s="18"/>
      <c r="H792" s="20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spans="1:25" x14ac:dyDescent="0.3">
      <c r="A793" s="22"/>
      <c r="B793" s="18"/>
      <c r="C793" s="18"/>
      <c r="D793" s="18"/>
      <c r="E793" s="18"/>
      <c r="F793" s="18"/>
      <c r="G793" s="18"/>
      <c r="H793" s="20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spans="1:25" x14ac:dyDescent="0.3">
      <c r="A794" s="22"/>
      <c r="B794" s="18"/>
      <c r="C794" s="18"/>
      <c r="D794" s="18"/>
      <c r="E794" s="18"/>
      <c r="F794" s="18"/>
      <c r="G794" s="18"/>
      <c r="H794" s="20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spans="1:25" x14ac:dyDescent="0.3">
      <c r="A795" s="22"/>
      <c r="B795" s="18"/>
      <c r="C795" s="18"/>
      <c r="D795" s="18"/>
      <c r="E795" s="18"/>
      <c r="F795" s="18"/>
      <c r="G795" s="18"/>
      <c r="H795" s="20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spans="1:25" x14ac:dyDescent="0.3">
      <c r="A796" s="22"/>
      <c r="B796" s="18"/>
      <c r="C796" s="18"/>
      <c r="D796" s="18"/>
      <c r="E796" s="18"/>
      <c r="F796" s="18"/>
      <c r="G796" s="18"/>
      <c r="H796" s="20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spans="1:25" x14ac:dyDescent="0.3">
      <c r="A797" s="22"/>
      <c r="B797" s="18"/>
      <c r="C797" s="18"/>
      <c r="D797" s="18"/>
      <c r="E797" s="18"/>
      <c r="F797" s="18"/>
      <c r="G797" s="18"/>
      <c r="H797" s="20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spans="1:25" x14ac:dyDescent="0.3">
      <c r="A798" s="22"/>
      <c r="B798" s="18"/>
      <c r="C798" s="18"/>
      <c r="D798" s="18"/>
      <c r="E798" s="18"/>
      <c r="F798" s="18"/>
      <c r="G798" s="18"/>
      <c r="H798" s="20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spans="1:25" x14ac:dyDescent="0.3">
      <c r="A799" s="22"/>
      <c r="B799" s="18"/>
      <c r="C799" s="18"/>
      <c r="D799" s="18"/>
      <c r="E799" s="18"/>
      <c r="F799" s="18"/>
      <c r="G799" s="18"/>
      <c r="H799" s="20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spans="1:25" x14ac:dyDescent="0.3">
      <c r="A800" s="22"/>
      <c r="B800" s="18"/>
      <c r="C800" s="18"/>
      <c r="D800" s="18"/>
      <c r="E800" s="18"/>
      <c r="F800" s="18"/>
      <c r="G800" s="18"/>
      <c r="H800" s="20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spans="1:25" x14ac:dyDescent="0.3">
      <c r="A801" s="22"/>
      <c r="B801" s="18"/>
      <c r="C801" s="18"/>
      <c r="D801" s="18"/>
      <c r="E801" s="18"/>
      <c r="F801" s="18"/>
      <c r="G801" s="18"/>
      <c r="H801" s="20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spans="1:25" x14ac:dyDescent="0.3">
      <c r="A802" s="22"/>
      <c r="B802" s="18"/>
      <c r="C802" s="18"/>
      <c r="D802" s="18"/>
      <c r="E802" s="18"/>
      <c r="F802" s="18"/>
      <c r="G802" s="18"/>
      <c r="H802" s="20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spans="1:25" x14ac:dyDescent="0.3">
      <c r="A803" s="22"/>
      <c r="B803" s="18"/>
      <c r="C803" s="18"/>
      <c r="D803" s="18"/>
      <c r="E803" s="18"/>
      <c r="F803" s="18"/>
      <c r="G803" s="18"/>
      <c r="H803" s="20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spans="1:25" x14ac:dyDescent="0.3">
      <c r="A804" s="22"/>
      <c r="B804" s="18"/>
      <c r="C804" s="18"/>
      <c r="D804" s="18"/>
      <c r="E804" s="18"/>
      <c r="F804" s="18"/>
      <c r="G804" s="18"/>
      <c r="H804" s="20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spans="1:25" x14ac:dyDescent="0.3">
      <c r="A805" s="22"/>
      <c r="B805" s="18"/>
      <c r="C805" s="18"/>
      <c r="D805" s="18"/>
      <c r="E805" s="18"/>
      <c r="F805" s="18"/>
      <c r="G805" s="18"/>
      <c r="H805" s="20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spans="1:25" x14ac:dyDescent="0.3">
      <c r="A806" s="22"/>
      <c r="B806" s="18"/>
      <c r="C806" s="18"/>
      <c r="D806" s="18"/>
      <c r="E806" s="18"/>
      <c r="F806" s="18"/>
      <c r="G806" s="18"/>
      <c r="H806" s="20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spans="1:25" x14ac:dyDescent="0.3">
      <c r="A807" s="22"/>
      <c r="B807" s="18"/>
      <c r="C807" s="18"/>
      <c r="D807" s="18"/>
      <c r="E807" s="18"/>
      <c r="F807" s="18"/>
      <c r="G807" s="18"/>
      <c r="H807" s="20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spans="1:25" x14ac:dyDescent="0.3">
      <c r="A808" s="22"/>
      <c r="B808" s="18"/>
      <c r="C808" s="18"/>
      <c r="D808" s="18"/>
      <c r="E808" s="18"/>
      <c r="F808" s="18"/>
      <c r="G808" s="18"/>
      <c r="H808" s="20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spans="1:25" x14ac:dyDescent="0.3">
      <c r="A809" s="22"/>
      <c r="B809" s="18"/>
      <c r="C809" s="18"/>
      <c r="D809" s="18"/>
      <c r="E809" s="18"/>
      <c r="F809" s="18"/>
      <c r="G809" s="18"/>
      <c r="H809" s="20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spans="1:25" x14ac:dyDescent="0.3">
      <c r="A810" s="22"/>
      <c r="B810" s="18"/>
      <c r="C810" s="18"/>
      <c r="D810" s="18"/>
      <c r="E810" s="18"/>
      <c r="F810" s="18"/>
      <c r="G810" s="18"/>
      <c r="H810" s="20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spans="1:25" x14ac:dyDescent="0.3">
      <c r="A811" s="22"/>
      <c r="B811" s="18"/>
      <c r="C811" s="18"/>
      <c r="D811" s="18"/>
      <c r="E811" s="18"/>
      <c r="F811" s="18"/>
      <c r="G811" s="18"/>
      <c r="H811" s="20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spans="1:25" x14ac:dyDescent="0.3">
      <c r="A812" s="22"/>
      <c r="B812" s="18"/>
      <c r="C812" s="18"/>
      <c r="D812" s="18"/>
      <c r="E812" s="18"/>
      <c r="F812" s="18"/>
      <c r="G812" s="18"/>
      <c r="H812" s="20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spans="1:25" x14ac:dyDescent="0.3">
      <c r="A813" s="22"/>
      <c r="B813" s="18"/>
      <c r="C813" s="18"/>
      <c r="D813" s="18"/>
      <c r="E813" s="18"/>
      <c r="F813" s="18"/>
      <c r="G813" s="18"/>
      <c r="H813" s="20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spans="1:25" x14ac:dyDescent="0.3">
      <c r="A814" s="22"/>
      <c r="B814" s="18"/>
      <c r="C814" s="18"/>
      <c r="D814" s="18"/>
      <c r="E814" s="18"/>
      <c r="F814" s="18"/>
      <c r="G814" s="18"/>
      <c r="H814" s="20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spans="1:25" x14ac:dyDescent="0.3">
      <c r="A815" s="22"/>
      <c r="B815" s="18"/>
      <c r="C815" s="18"/>
      <c r="D815" s="18"/>
      <c r="E815" s="18"/>
      <c r="F815" s="18"/>
      <c r="G815" s="18"/>
      <c r="H815" s="20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spans="1:25" x14ac:dyDescent="0.3">
      <c r="A816" s="22"/>
      <c r="B816" s="18"/>
      <c r="C816" s="18"/>
      <c r="D816" s="18"/>
      <c r="E816" s="18"/>
      <c r="F816" s="18"/>
      <c r="G816" s="18"/>
      <c r="H816" s="20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spans="1:25" x14ac:dyDescent="0.3">
      <c r="A817" s="22"/>
      <c r="B817" s="18"/>
      <c r="C817" s="18"/>
      <c r="D817" s="18"/>
      <c r="E817" s="18"/>
      <c r="F817" s="18"/>
      <c r="G817" s="18"/>
      <c r="H817" s="20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spans="1:25" x14ac:dyDescent="0.3">
      <c r="A818" s="22"/>
      <c r="B818" s="18"/>
      <c r="C818" s="18"/>
      <c r="D818" s="18"/>
      <c r="E818" s="18"/>
      <c r="F818" s="18"/>
      <c r="G818" s="18"/>
      <c r="H818" s="20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spans="1:25" x14ac:dyDescent="0.3">
      <c r="A819" s="22"/>
      <c r="B819" s="18"/>
      <c r="C819" s="18"/>
      <c r="D819" s="18"/>
      <c r="E819" s="18"/>
      <c r="F819" s="18"/>
      <c r="G819" s="18"/>
      <c r="H819" s="20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spans="1:25" x14ac:dyDescent="0.3">
      <c r="A820" s="22"/>
      <c r="B820" s="18"/>
      <c r="C820" s="18"/>
      <c r="D820" s="18"/>
      <c r="E820" s="18"/>
      <c r="F820" s="18"/>
      <c r="G820" s="18"/>
      <c r="H820" s="20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spans="1:25" x14ac:dyDescent="0.3">
      <c r="A821" s="22"/>
      <c r="B821" s="18"/>
      <c r="C821" s="18"/>
      <c r="D821" s="18"/>
      <c r="E821" s="18"/>
      <c r="F821" s="18"/>
      <c r="G821" s="18"/>
      <c r="H821" s="20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spans="1:25" x14ac:dyDescent="0.3">
      <c r="A822" s="22"/>
      <c r="B822" s="18"/>
      <c r="C822" s="18"/>
      <c r="D822" s="18"/>
      <c r="E822" s="18"/>
      <c r="F822" s="18"/>
      <c r="G822" s="18"/>
      <c r="H822" s="20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spans="1:25" x14ac:dyDescent="0.3">
      <c r="A823" s="22"/>
      <c r="B823" s="18"/>
      <c r="C823" s="18"/>
      <c r="D823" s="18"/>
      <c r="E823" s="18"/>
      <c r="F823" s="18"/>
      <c r="G823" s="18"/>
      <c r="H823" s="20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spans="1:25" x14ac:dyDescent="0.3">
      <c r="A824" s="22"/>
      <c r="B824" s="18"/>
      <c r="C824" s="18"/>
      <c r="D824" s="18"/>
      <c r="E824" s="18"/>
      <c r="F824" s="18"/>
      <c r="G824" s="18"/>
      <c r="H824" s="20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spans="1:25" x14ac:dyDescent="0.3">
      <c r="A825" s="22"/>
      <c r="B825" s="18"/>
      <c r="C825" s="18"/>
      <c r="D825" s="18"/>
      <c r="E825" s="18"/>
      <c r="F825" s="18"/>
      <c r="G825" s="18"/>
      <c r="H825" s="20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spans="1:25" x14ac:dyDescent="0.3">
      <c r="A826" s="22"/>
      <c r="B826" s="18"/>
      <c r="C826" s="18"/>
      <c r="D826" s="18"/>
      <c r="E826" s="18"/>
      <c r="F826" s="18"/>
      <c r="G826" s="18"/>
      <c r="H826" s="20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spans="1:25" x14ac:dyDescent="0.3">
      <c r="A827" s="22"/>
      <c r="B827" s="18"/>
      <c r="C827" s="18"/>
      <c r="D827" s="18"/>
      <c r="E827" s="18"/>
      <c r="F827" s="18"/>
      <c r="G827" s="18"/>
      <c r="H827" s="20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spans="1:25" x14ac:dyDescent="0.3">
      <c r="A828" s="22"/>
      <c r="B828" s="18"/>
      <c r="C828" s="18"/>
      <c r="D828" s="18"/>
      <c r="E828" s="18"/>
      <c r="F828" s="18"/>
      <c r="G828" s="18"/>
      <c r="H828" s="20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spans="1:25" x14ac:dyDescent="0.3">
      <c r="A829" s="22"/>
      <c r="B829" s="18"/>
      <c r="C829" s="18"/>
      <c r="D829" s="18"/>
      <c r="E829" s="18"/>
      <c r="F829" s="18"/>
      <c r="G829" s="18"/>
      <c r="H829" s="20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spans="1:25" x14ac:dyDescent="0.3">
      <c r="A830" s="22"/>
      <c r="B830" s="18"/>
      <c r="C830" s="18"/>
      <c r="D830" s="18"/>
      <c r="E830" s="18"/>
      <c r="F830" s="18"/>
      <c r="G830" s="18"/>
      <c r="H830" s="20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spans="1:25" x14ac:dyDescent="0.3">
      <c r="A831" s="22"/>
      <c r="B831" s="18"/>
      <c r="C831" s="18"/>
      <c r="D831" s="18"/>
      <c r="E831" s="18"/>
      <c r="F831" s="18"/>
      <c r="G831" s="18"/>
      <c r="H831" s="20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spans="1:25" x14ac:dyDescent="0.3">
      <c r="A832" s="22"/>
      <c r="B832" s="18"/>
      <c r="C832" s="18"/>
      <c r="D832" s="18"/>
      <c r="E832" s="18"/>
      <c r="F832" s="18"/>
      <c r="G832" s="18"/>
      <c r="H832" s="20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spans="1:25" x14ac:dyDescent="0.3">
      <c r="A833" s="22"/>
      <c r="B833" s="18"/>
      <c r="C833" s="18"/>
      <c r="D833" s="18"/>
      <c r="E833" s="18"/>
      <c r="F833" s="18"/>
      <c r="G833" s="18"/>
      <c r="H833" s="20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spans="1:25" x14ac:dyDescent="0.3">
      <c r="A834" s="22"/>
      <c r="B834" s="18"/>
      <c r="C834" s="18"/>
      <c r="D834" s="18"/>
      <c r="E834" s="18"/>
      <c r="F834" s="18"/>
      <c r="G834" s="18"/>
      <c r="H834" s="20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spans="1:25" x14ac:dyDescent="0.3">
      <c r="A835" s="22"/>
      <c r="B835" s="18"/>
      <c r="C835" s="18"/>
      <c r="D835" s="18"/>
      <c r="E835" s="18"/>
      <c r="F835" s="18"/>
      <c r="G835" s="18"/>
      <c r="H835" s="20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spans="1:25" x14ac:dyDescent="0.3">
      <c r="A836" s="22"/>
      <c r="B836" s="18"/>
      <c r="C836" s="18"/>
      <c r="D836" s="18"/>
      <c r="E836" s="18"/>
      <c r="F836" s="18"/>
      <c r="G836" s="18"/>
      <c r="H836" s="20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spans="1:25" x14ac:dyDescent="0.3">
      <c r="A837" s="22"/>
      <c r="B837" s="18"/>
      <c r="C837" s="18"/>
      <c r="D837" s="18"/>
      <c r="E837" s="18"/>
      <c r="F837" s="18"/>
      <c r="G837" s="18"/>
      <c r="H837" s="20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spans="1:25" x14ac:dyDescent="0.3">
      <c r="A838" s="22"/>
      <c r="B838" s="18"/>
      <c r="C838" s="18"/>
      <c r="D838" s="18"/>
      <c r="E838" s="18"/>
      <c r="F838" s="18"/>
      <c r="G838" s="18"/>
      <c r="H838" s="20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spans="1:25" x14ac:dyDescent="0.3">
      <c r="A839" s="22"/>
      <c r="B839" s="18"/>
      <c r="C839" s="18"/>
      <c r="D839" s="18"/>
      <c r="E839" s="18"/>
      <c r="F839" s="18"/>
      <c r="G839" s="18"/>
      <c r="H839" s="20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spans="1:25" x14ac:dyDescent="0.3">
      <c r="A840" s="22"/>
      <c r="B840" s="18"/>
      <c r="C840" s="18"/>
      <c r="D840" s="18"/>
      <c r="E840" s="18"/>
      <c r="F840" s="18"/>
      <c r="G840" s="18"/>
      <c r="H840" s="20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spans="1:25" x14ac:dyDescent="0.3">
      <c r="A841" s="22"/>
      <c r="B841" s="18"/>
      <c r="C841" s="18"/>
      <c r="D841" s="18"/>
      <c r="E841" s="18"/>
      <c r="F841" s="18"/>
      <c r="G841" s="18"/>
      <c r="H841" s="20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spans="1:25" x14ac:dyDescent="0.3">
      <c r="A842" s="22"/>
      <c r="B842" s="18"/>
      <c r="C842" s="18"/>
      <c r="D842" s="18"/>
      <c r="E842" s="18"/>
      <c r="F842" s="18"/>
      <c r="G842" s="18"/>
      <c r="H842" s="20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spans="1:25" x14ac:dyDescent="0.3">
      <c r="A843" s="22"/>
      <c r="B843" s="18"/>
      <c r="C843" s="18"/>
      <c r="D843" s="18"/>
      <c r="E843" s="18"/>
      <c r="F843" s="18"/>
      <c r="G843" s="18"/>
      <c r="H843" s="20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spans="1:25" x14ac:dyDescent="0.3">
      <c r="A844" s="22"/>
      <c r="B844" s="18"/>
      <c r="C844" s="18"/>
      <c r="D844" s="18"/>
      <c r="E844" s="18"/>
      <c r="F844" s="18"/>
      <c r="G844" s="18"/>
      <c r="H844" s="20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spans="1:25" x14ac:dyDescent="0.3">
      <c r="A845" s="22"/>
      <c r="B845" s="18"/>
      <c r="C845" s="18"/>
      <c r="D845" s="18"/>
      <c r="E845" s="18"/>
      <c r="F845" s="18"/>
      <c r="G845" s="18"/>
      <c r="H845" s="20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spans="1:25" x14ac:dyDescent="0.3">
      <c r="A846" s="22"/>
      <c r="B846" s="18"/>
      <c r="C846" s="18"/>
      <c r="D846" s="18"/>
      <c r="E846" s="18"/>
      <c r="F846" s="18"/>
      <c r="G846" s="18"/>
      <c r="H846" s="20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spans="1:25" x14ac:dyDescent="0.3">
      <c r="A847" s="22"/>
      <c r="B847" s="18"/>
      <c r="C847" s="18"/>
      <c r="D847" s="18"/>
      <c r="E847" s="18"/>
      <c r="F847" s="18"/>
      <c r="G847" s="18"/>
      <c r="H847" s="20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spans="1:25" x14ac:dyDescent="0.3">
      <c r="A848" s="22"/>
      <c r="B848" s="18"/>
      <c r="C848" s="18"/>
      <c r="D848" s="18"/>
      <c r="E848" s="18"/>
      <c r="F848" s="18"/>
      <c r="G848" s="18"/>
      <c r="H848" s="20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spans="1:25" x14ac:dyDescent="0.3">
      <c r="A849" s="22"/>
      <c r="B849" s="18"/>
      <c r="C849" s="18"/>
      <c r="D849" s="18"/>
      <c r="E849" s="18"/>
      <c r="F849" s="18"/>
      <c r="G849" s="18"/>
      <c r="H849" s="20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spans="1:25" x14ac:dyDescent="0.3">
      <c r="A850" s="22"/>
      <c r="B850" s="18"/>
      <c r="C850" s="18"/>
      <c r="D850" s="18"/>
      <c r="E850" s="18"/>
      <c r="F850" s="18"/>
      <c r="G850" s="18"/>
      <c r="H850" s="20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spans="1:25" x14ac:dyDescent="0.3">
      <c r="A851" s="22"/>
      <c r="B851" s="18"/>
      <c r="C851" s="18"/>
      <c r="D851" s="18"/>
      <c r="E851" s="18"/>
      <c r="F851" s="18"/>
      <c r="G851" s="18"/>
      <c r="H851" s="20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spans="1:25" x14ac:dyDescent="0.3">
      <c r="A852" s="22"/>
      <c r="B852" s="18"/>
      <c r="C852" s="18"/>
      <c r="D852" s="18"/>
      <c r="E852" s="18"/>
      <c r="F852" s="18"/>
      <c r="G852" s="18"/>
      <c r="H852" s="20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spans="1:25" x14ac:dyDescent="0.3">
      <c r="A853" s="22"/>
      <c r="B853" s="18"/>
      <c r="C853" s="18"/>
      <c r="D853" s="18"/>
      <c r="E853" s="18"/>
      <c r="F853" s="18"/>
      <c r="G853" s="18"/>
      <c r="H853" s="20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spans="1:25" x14ac:dyDescent="0.3">
      <c r="A854" s="22"/>
      <c r="B854" s="18"/>
      <c r="C854" s="18"/>
      <c r="D854" s="18"/>
      <c r="E854" s="18"/>
      <c r="F854" s="18"/>
      <c r="G854" s="18"/>
      <c r="H854" s="20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spans="1:25" x14ac:dyDescent="0.3">
      <c r="A855" s="22"/>
      <c r="B855" s="18"/>
      <c r="C855" s="18"/>
      <c r="D855" s="18"/>
      <c r="E855" s="18"/>
      <c r="F855" s="18"/>
      <c r="G855" s="18"/>
      <c r="H855" s="20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spans="1:25" x14ac:dyDescent="0.3">
      <c r="A856" s="22"/>
      <c r="B856" s="18"/>
      <c r="C856" s="18"/>
      <c r="D856" s="18"/>
      <c r="E856" s="18"/>
      <c r="F856" s="18"/>
      <c r="G856" s="18"/>
      <c r="H856" s="20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spans="1:25" x14ac:dyDescent="0.3">
      <c r="A857" s="22"/>
      <c r="B857" s="18"/>
      <c r="C857" s="18"/>
      <c r="D857" s="18"/>
      <c r="E857" s="18"/>
      <c r="F857" s="18"/>
      <c r="G857" s="18"/>
      <c r="H857" s="20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spans="1:25" x14ac:dyDescent="0.3">
      <c r="A858" s="22"/>
      <c r="B858" s="18"/>
      <c r="C858" s="18"/>
      <c r="D858" s="18"/>
      <c r="E858" s="18"/>
      <c r="F858" s="18"/>
      <c r="G858" s="18"/>
      <c r="H858" s="20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spans="1:25" x14ac:dyDescent="0.3">
      <c r="A859" s="22"/>
      <c r="B859" s="18"/>
      <c r="C859" s="18"/>
      <c r="D859" s="18"/>
      <c r="E859" s="18"/>
      <c r="F859" s="18"/>
      <c r="G859" s="18"/>
      <c r="H859" s="20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spans="1:25" x14ac:dyDescent="0.3">
      <c r="A860" s="22"/>
      <c r="B860" s="18"/>
      <c r="C860" s="18"/>
      <c r="D860" s="18"/>
      <c r="E860" s="18"/>
      <c r="F860" s="18"/>
      <c r="G860" s="18"/>
      <c r="H860" s="20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spans="1:25" x14ac:dyDescent="0.3">
      <c r="A861" s="22"/>
      <c r="B861" s="18"/>
      <c r="C861" s="18"/>
      <c r="D861" s="18"/>
      <c r="E861" s="18"/>
      <c r="F861" s="18"/>
      <c r="G861" s="18"/>
      <c r="H861" s="20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spans="1:25" x14ac:dyDescent="0.3">
      <c r="A862" s="22"/>
      <c r="B862" s="18"/>
      <c r="C862" s="18"/>
      <c r="D862" s="18"/>
      <c r="E862" s="18"/>
      <c r="F862" s="18"/>
      <c r="G862" s="18"/>
      <c r="H862" s="20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spans="1:25" x14ac:dyDescent="0.3">
      <c r="A863" s="22"/>
      <c r="B863" s="18"/>
      <c r="C863" s="18"/>
      <c r="D863" s="18"/>
      <c r="E863" s="18"/>
      <c r="F863" s="18"/>
      <c r="G863" s="18"/>
      <c r="H863" s="20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spans="1:25" x14ac:dyDescent="0.3">
      <c r="A864" s="22"/>
      <c r="B864" s="18"/>
      <c r="C864" s="18"/>
      <c r="D864" s="18"/>
      <c r="E864" s="18"/>
      <c r="F864" s="18"/>
      <c r="G864" s="18"/>
      <c r="H864" s="20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spans="1:25" x14ac:dyDescent="0.3">
      <c r="A865" s="22"/>
      <c r="B865" s="18"/>
      <c r="C865" s="18"/>
      <c r="D865" s="18"/>
      <c r="E865" s="18"/>
      <c r="F865" s="18"/>
      <c r="G865" s="18"/>
      <c r="H865" s="20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spans="1:25" x14ac:dyDescent="0.3">
      <c r="A866" s="22"/>
      <c r="B866" s="18"/>
      <c r="C866" s="18"/>
      <c r="D866" s="18"/>
      <c r="E866" s="18"/>
      <c r="F866" s="18"/>
      <c r="G866" s="18"/>
      <c r="H866" s="20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spans="1:25" x14ac:dyDescent="0.3">
      <c r="A867" s="22"/>
      <c r="B867" s="18"/>
      <c r="C867" s="18"/>
      <c r="D867" s="18"/>
      <c r="E867" s="18"/>
      <c r="F867" s="18"/>
      <c r="G867" s="18"/>
      <c r="H867" s="20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spans="1:25" x14ac:dyDescent="0.3">
      <c r="A868" s="22"/>
      <c r="B868" s="18"/>
      <c r="C868" s="18"/>
      <c r="D868" s="18"/>
      <c r="E868" s="18"/>
      <c r="F868" s="18"/>
      <c r="G868" s="18"/>
      <c r="H868" s="20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spans="1:25" x14ac:dyDescent="0.3">
      <c r="A869" s="22"/>
      <c r="B869" s="18"/>
      <c r="C869" s="18"/>
      <c r="D869" s="18"/>
      <c r="E869" s="18"/>
      <c r="F869" s="18"/>
      <c r="G869" s="18"/>
      <c r="H869" s="20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spans="1:25" x14ac:dyDescent="0.3">
      <c r="A870" s="22"/>
      <c r="B870" s="18"/>
      <c r="C870" s="18"/>
      <c r="D870" s="18"/>
      <c r="E870" s="18"/>
      <c r="F870" s="18"/>
      <c r="G870" s="18"/>
      <c r="H870" s="20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spans="1:25" x14ac:dyDescent="0.3">
      <c r="A871" s="22"/>
      <c r="B871" s="18"/>
      <c r="C871" s="18"/>
      <c r="D871" s="18"/>
      <c r="E871" s="18"/>
      <c r="F871" s="18"/>
      <c r="G871" s="18"/>
      <c r="H871" s="20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spans="1:25" x14ac:dyDescent="0.3">
      <c r="A872" s="22"/>
      <c r="B872" s="18"/>
      <c r="C872" s="18"/>
      <c r="D872" s="18"/>
      <c r="E872" s="18"/>
      <c r="F872" s="18"/>
      <c r="G872" s="18"/>
      <c r="H872" s="20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spans="1:25" x14ac:dyDescent="0.3">
      <c r="A873" s="22"/>
      <c r="B873" s="18"/>
      <c r="C873" s="18"/>
      <c r="D873" s="18"/>
      <c r="E873" s="18"/>
      <c r="F873" s="18"/>
      <c r="G873" s="18"/>
      <c r="H873" s="20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spans="1:25" x14ac:dyDescent="0.3">
      <c r="A874" s="22"/>
      <c r="B874" s="18"/>
      <c r="C874" s="18"/>
      <c r="D874" s="18"/>
      <c r="E874" s="18"/>
      <c r="F874" s="18"/>
      <c r="G874" s="18"/>
      <c r="H874" s="20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spans="1:25" x14ac:dyDescent="0.3">
      <c r="A875" s="22"/>
      <c r="B875" s="18"/>
      <c r="C875" s="18"/>
      <c r="D875" s="18"/>
      <c r="E875" s="18"/>
      <c r="F875" s="18"/>
      <c r="G875" s="18"/>
      <c r="H875" s="20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spans="1:25" x14ac:dyDescent="0.3">
      <c r="A876" s="22"/>
      <c r="B876" s="18"/>
      <c r="C876" s="18"/>
      <c r="D876" s="18"/>
      <c r="E876" s="18"/>
      <c r="F876" s="18"/>
      <c r="G876" s="18"/>
      <c r="H876" s="20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spans="1:25" x14ac:dyDescent="0.3">
      <c r="A877" s="22"/>
      <c r="B877" s="18"/>
      <c r="C877" s="18"/>
      <c r="D877" s="18"/>
      <c r="E877" s="18"/>
      <c r="F877" s="18"/>
      <c r="G877" s="18"/>
      <c r="H877" s="20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spans="1:25" x14ac:dyDescent="0.3">
      <c r="A878" s="22"/>
      <c r="B878" s="18"/>
      <c r="C878" s="18"/>
      <c r="D878" s="18"/>
      <c r="E878" s="18"/>
      <c r="F878" s="18"/>
      <c r="G878" s="18"/>
      <c r="H878" s="20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spans="1:25" x14ac:dyDescent="0.3">
      <c r="A879" s="22"/>
      <c r="B879" s="18"/>
      <c r="C879" s="18"/>
      <c r="D879" s="18"/>
      <c r="E879" s="18"/>
      <c r="F879" s="18"/>
      <c r="G879" s="18"/>
      <c r="H879" s="20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spans="1:25" x14ac:dyDescent="0.3">
      <c r="A880" s="22"/>
      <c r="B880" s="18"/>
      <c r="C880" s="18"/>
      <c r="D880" s="18"/>
      <c r="E880" s="18"/>
      <c r="F880" s="18"/>
      <c r="G880" s="18"/>
      <c r="H880" s="20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spans="1:25" x14ac:dyDescent="0.3">
      <c r="A881" s="22"/>
      <c r="B881" s="18"/>
      <c r="C881" s="18"/>
      <c r="D881" s="18"/>
      <c r="E881" s="18"/>
      <c r="F881" s="18"/>
      <c r="G881" s="18"/>
      <c r="H881" s="20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spans="1:25" x14ac:dyDescent="0.3">
      <c r="A882" s="22"/>
      <c r="B882" s="18"/>
      <c r="C882" s="18"/>
      <c r="D882" s="18"/>
      <c r="E882" s="18"/>
      <c r="F882" s="18"/>
      <c r="G882" s="18"/>
      <c r="H882" s="20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spans="1:25" x14ac:dyDescent="0.3">
      <c r="A883" s="22"/>
      <c r="B883" s="18"/>
      <c r="C883" s="18"/>
      <c r="D883" s="18"/>
      <c r="E883" s="18"/>
      <c r="F883" s="18"/>
      <c r="G883" s="18"/>
      <c r="H883" s="20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spans="1:25" x14ac:dyDescent="0.3">
      <c r="A884" s="22"/>
      <c r="B884" s="18"/>
      <c r="C884" s="18"/>
      <c r="D884" s="18"/>
      <c r="E884" s="18"/>
      <c r="F884" s="18"/>
      <c r="G884" s="18"/>
      <c r="H884" s="20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spans="1:25" x14ac:dyDescent="0.3">
      <c r="A885" s="22"/>
      <c r="B885" s="18"/>
      <c r="C885" s="18"/>
      <c r="D885" s="18"/>
      <c r="E885" s="18"/>
      <c r="F885" s="18"/>
      <c r="G885" s="18"/>
      <c r="H885" s="20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spans="1:25" x14ac:dyDescent="0.3">
      <c r="A886" s="22"/>
      <c r="B886" s="18"/>
      <c r="C886" s="18"/>
      <c r="D886" s="18"/>
      <c r="E886" s="18"/>
      <c r="F886" s="18"/>
      <c r="G886" s="18"/>
      <c r="H886" s="20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spans="1:25" x14ac:dyDescent="0.3">
      <c r="A887" s="22"/>
      <c r="B887" s="18"/>
      <c r="C887" s="18"/>
      <c r="D887" s="18"/>
      <c r="E887" s="18"/>
      <c r="F887" s="18"/>
      <c r="G887" s="18"/>
      <c r="H887" s="20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spans="1:25" x14ac:dyDescent="0.3">
      <c r="A888" s="22"/>
      <c r="B888" s="18"/>
      <c r="C888" s="18"/>
      <c r="D888" s="18"/>
      <c r="E888" s="18"/>
      <c r="F888" s="18"/>
      <c r="G888" s="18"/>
      <c r="H888" s="20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spans="1:25" x14ac:dyDescent="0.3">
      <c r="A889" s="22"/>
      <c r="B889" s="18"/>
      <c r="C889" s="18"/>
      <c r="D889" s="18"/>
      <c r="E889" s="18"/>
      <c r="F889" s="18"/>
      <c r="G889" s="18"/>
      <c r="H889" s="20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spans="1:25" x14ac:dyDescent="0.3">
      <c r="A890" s="22"/>
      <c r="B890" s="18"/>
      <c r="C890" s="18"/>
      <c r="D890" s="18"/>
      <c r="E890" s="18"/>
      <c r="F890" s="18"/>
      <c r="G890" s="18"/>
      <c r="H890" s="20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spans="1:25" x14ac:dyDescent="0.3">
      <c r="A891" s="22"/>
      <c r="B891" s="18"/>
      <c r="C891" s="18"/>
      <c r="D891" s="18"/>
      <c r="E891" s="18"/>
      <c r="F891" s="18"/>
      <c r="G891" s="18"/>
      <c r="H891" s="20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spans="1:25" x14ac:dyDescent="0.3">
      <c r="A892" s="22"/>
      <c r="B892" s="18"/>
      <c r="C892" s="18"/>
      <c r="D892" s="18"/>
      <c r="E892" s="18"/>
      <c r="F892" s="18"/>
      <c r="G892" s="18"/>
      <c r="H892" s="20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spans="1:25" x14ac:dyDescent="0.3">
      <c r="A893" s="22"/>
      <c r="B893" s="18"/>
      <c r="C893" s="18"/>
      <c r="D893" s="18"/>
      <c r="E893" s="18"/>
      <c r="F893" s="18"/>
      <c r="G893" s="18"/>
      <c r="H893" s="20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spans="1:25" x14ac:dyDescent="0.3">
      <c r="A894" s="22"/>
      <c r="B894" s="18"/>
      <c r="C894" s="18"/>
      <c r="D894" s="18"/>
      <c r="E894" s="18"/>
      <c r="F894" s="18"/>
      <c r="G894" s="18"/>
      <c r="H894" s="20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spans="1:25" x14ac:dyDescent="0.3">
      <c r="A895" s="22"/>
      <c r="B895" s="18"/>
      <c r="C895" s="18"/>
      <c r="D895" s="18"/>
      <c r="E895" s="18"/>
      <c r="F895" s="18"/>
      <c r="G895" s="18"/>
      <c r="H895" s="20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spans="1:25" x14ac:dyDescent="0.3">
      <c r="A896" s="22"/>
      <c r="B896" s="18"/>
      <c r="C896" s="18"/>
      <c r="D896" s="18"/>
      <c r="E896" s="18"/>
      <c r="F896" s="18"/>
      <c r="G896" s="18"/>
      <c r="H896" s="20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spans="1:25" x14ac:dyDescent="0.3">
      <c r="A897" s="22"/>
      <c r="B897" s="18"/>
      <c r="C897" s="18"/>
      <c r="D897" s="18"/>
      <c r="E897" s="18"/>
      <c r="F897" s="18"/>
      <c r="G897" s="18"/>
      <c r="H897" s="20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spans="1:25" x14ac:dyDescent="0.3">
      <c r="A898" s="22"/>
      <c r="B898" s="18"/>
      <c r="C898" s="18"/>
      <c r="D898" s="18"/>
      <c r="E898" s="18"/>
      <c r="F898" s="18"/>
      <c r="G898" s="18"/>
      <c r="H898" s="20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spans="1:25" x14ac:dyDescent="0.3">
      <c r="A899" s="22"/>
      <c r="B899" s="18"/>
      <c r="C899" s="18"/>
      <c r="D899" s="18"/>
      <c r="E899" s="18"/>
      <c r="F899" s="18"/>
      <c r="G899" s="18"/>
      <c r="H899" s="20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spans="1:25" x14ac:dyDescent="0.3">
      <c r="A900" s="22"/>
      <c r="B900" s="18"/>
      <c r="C900" s="18"/>
      <c r="D900" s="18"/>
      <c r="E900" s="18"/>
      <c r="F900" s="18"/>
      <c r="G900" s="18"/>
      <c r="H900" s="20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spans="1:25" x14ac:dyDescent="0.3">
      <c r="A901" s="22"/>
      <c r="B901" s="18"/>
      <c r="C901" s="18"/>
      <c r="D901" s="18"/>
      <c r="E901" s="18"/>
      <c r="F901" s="18"/>
      <c r="G901" s="18"/>
      <c r="H901" s="20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spans="1:25" x14ac:dyDescent="0.3">
      <c r="A902" s="22"/>
      <c r="B902" s="18"/>
      <c r="C902" s="18"/>
      <c r="D902" s="18"/>
      <c r="E902" s="18"/>
      <c r="F902" s="18"/>
      <c r="G902" s="18"/>
      <c r="H902" s="20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spans="1:25" x14ac:dyDescent="0.3">
      <c r="A903" s="22"/>
      <c r="B903" s="18"/>
      <c r="C903" s="18"/>
      <c r="D903" s="18"/>
      <c r="E903" s="18"/>
      <c r="F903" s="18"/>
      <c r="G903" s="18"/>
      <c r="H903" s="20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spans="1:25" x14ac:dyDescent="0.3">
      <c r="A904" s="22"/>
      <c r="B904" s="18"/>
      <c r="C904" s="18"/>
      <c r="D904" s="18"/>
      <c r="E904" s="18"/>
      <c r="F904" s="18"/>
      <c r="G904" s="18"/>
      <c r="H904" s="20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spans="1:25" x14ac:dyDescent="0.3">
      <c r="A905" s="22"/>
      <c r="B905" s="18"/>
      <c r="C905" s="18"/>
      <c r="D905" s="18"/>
      <c r="E905" s="18"/>
      <c r="F905" s="18"/>
      <c r="G905" s="18"/>
      <c r="H905" s="20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spans="1:25" x14ac:dyDescent="0.3">
      <c r="A906" s="22"/>
      <c r="B906" s="18"/>
      <c r="C906" s="18"/>
      <c r="D906" s="18"/>
      <c r="E906" s="18"/>
      <c r="F906" s="18"/>
      <c r="G906" s="18"/>
      <c r="H906" s="20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spans="1:25" x14ac:dyDescent="0.3">
      <c r="A907" s="22"/>
      <c r="B907" s="18"/>
      <c r="C907" s="18"/>
      <c r="D907" s="18"/>
      <c r="E907" s="18"/>
      <c r="F907" s="18"/>
      <c r="G907" s="18"/>
      <c r="H907" s="20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spans="1:25" x14ac:dyDescent="0.3">
      <c r="A908" s="22"/>
      <c r="B908" s="18"/>
      <c r="C908" s="18"/>
      <c r="D908" s="18"/>
      <c r="E908" s="18"/>
      <c r="F908" s="18"/>
      <c r="G908" s="18"/>
      <c r="H908" s="20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spans="1:25" x14ac:dyDescent="0.3">
      <c r="A909" s="22"/>
      <c r="B909" s="18"/>
      <c r="C909" s="18"/>
      <c r="D909" s="18"/>
      <c r="E909" s="18"/>
      <c r="F909" s="18"/>
      <c r="G909" s="18"/>
      <c r="H909" s="20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spans="1:25" x14ac:dyDescent="0.3">
      <c r="A910" s="22"/>
      <c r="B910" s="18"/>
      <c r="C910" s="18"/>
      <c r="D910" s="18"/>
      <c r="E910" s="18"/>
      <c r="F910" s="18"/>
      <c r="G910" s="18"/>
      <c r="H910" s="20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spans="1:25" x14ac:dyDescent="0.3">
      <c r="A911" s="22"/>
      <c r="B911" s="18"/>
      <c r="C911" s="18"/>
      <c r="D911" s="18"/>
      <c r="E911" s="18"/>
      <c r="F911" s="18"/>
      <c r="G911" s="18"/>
      <c r="H911" s="20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spans="1:25" x14ac:dyDescent="0.3">
      <c r="A912" s="22"/>
      <c r="B912" s="18"/>
      <c r="C912" s="18"/>
      <c r="D912" s="18"/>
      <c r="E912" s="18"/>
      <c r="F912" s="18"/>
      <c r="G912" s="18"/>
      <c r="H912" s="20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spans="1:25" x14ac:dyDescent="0.3">
      <c r="A913" s="22"/>
      <c r="B913" s="18"/>
      <c r="C913" s="18"/>
      <c r="D913" s="18"/>
      <c r="E913" s="18"/>
      <c r="F913" s="18"/>
      <c r="G913" s="18"/>
      <c r="H913" s="20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spans="1:25" x14ac:dyDescent="0.3">
      <c r="A914" s="22"/>
      <c r="B914" s="18"/>
      <c r="C914" s="18"/>
      <c r="D914" s="18"/>
      <c r="E914" s="18"/>
      <c r="F914" s="18"/>
      <c r="G914" s="18"/>
      <c r="H914" s="20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spans="1:25" x14ac:dyDescent="0.3">
      <c r="A915" s="22"/>
      <c r="B915" s="18"/>
      <c r="C915" s="18"/>
      <c r="D915" s="18"/>
      <c r="E915" s="18"/>
      <c r="F915" s="18"/>
      <c r="G915" s="18"/>
      <c r="H915" s="20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spans="1:25" x14ac:dyDescent="0.3">
      <c r="A916" s="22"/>
      <c r="B916" s="18"/>
      <c r="C916" s="18"/>
      <c r="D916" s="18"/>
      <c r="E916" s="18"/>
      <c r="F916" s="18"/>
      <c r="G916" s="18"/>
      <c r="H916" s="20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spans="1:25" x14ac:dyDescent="0.3">
      <c r="A917" s="22"/>
      <c r="B917" s="18"/>
      <c r="C917" s="18"/>
      <c r="D917" s="18"/>
      <c r="E917" s="18"/>
      <c r="F917" s="18"/>
      <c r="G917" s="18"/>
      <c r="H917" s="20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spans="1:25" x14ac:dyDescent="0.3">
      <c r="A918" s="22"/>
      <c r="B918" s="18"/>
      <c r="C918" s="18"/>
      <c r="D918" s="18"/>
      <c r="E918" s="18"/>
      <c r="F918" s="18"/>
      <c r="G918" s="18"/>
      <c r="H918" s="20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spans="1:25" x14ac:dyDescent="0.3">
      <c r="A919" s="22"/>
      <c r="B919" s="18"/>
      <c r="C919" s="18"/>
      <c r="D919" s="18"/>
      <c r="E919" s="18"/>
      <c r="F919" s="18"/>
      <c r="G919" s="18"/>
      <c r="H919" s="20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spans="1:25" x14ac:dyDescent="0.3">
      <c r="A920" s="22"/>
      <c r="B920" s="18"/>
      <c r="C920" s="18"/>
      <c r="D920" s="18"/>
      <c r="E920" s="18"/>
      <c r="F920" s="18"/>
      <c r="G920" s="18"/>
      <c r="H920" s="20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spans="1:25" x14ac:dyDescent="0.3">
      <c r="A921" s="22"/>
      <c r="B921" s="18"/>
      <c r="C921" s="18"/>
      <c r="D921" s="18"/>
      <c r="E921" s="18"/>
      <c r="F921" s="18"/>
      <c r="G921" s="18"/>
      <c r="H921" s="20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spans="1:25" x14ac:dyDescent="0.3">
      <c r="A922" s="22"/>
      <c r="B922" s="18"/>
      <c r="C922" s="18"/>
      <c r="D922" s="18"/>
      <c r="E922" s="18"/>
      <c r="F922" s="18"/>
      <c r="G922" s="18"/>
      <c r="H922" s="20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spans="1:25" x14ac:dyDescent="0.3">
      <c r="A923" s="22"/>
      <c r="B923" s="18"/>
      <c r="C923" s="18"/>
      <c r="D923" s="18"/>
      <c r="E923" s="18"/>
      <c r="F923" s="18"/>
      <c r="G923" s="18"/>
      <c r="H923" s="20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spans="1:25" x14ac:dyDescent="0.3">
      <c r="A924" s="22"/>
      <c r="B924" s="18"/>
      <c r="C924" s="18"/>
      <c r="D924" s="18"/>
      <c r="E924" s="18"/>
      <c r="F924" s="18"/>
      <c r="G924" s="18"/>
      <c r="H924" s="20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spans="1:25" x14ac:dyDescent="0.3">
      <c r="A925" s="22"/>
      <c r="B925" s="18"/>
      <c r="C925" s="18"/>
      <c r="D925" s="18"/>
      <c r="E925" s="18"/>
      <c r="F925" s="18"/>
      <c r="G925" s="18"/>
      <c r="H925" s="20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spans="1:25" x14ac:dyDescent="0.3">
      <c r="A926" s="22"/>
      <c r="B926" s="18"/>
      <c r="C926" s="18"/>
      <c r="D926" s="18"/>
      <c r="E926" s="18"/>
      <c r="F926" s="18"/>
      <c r="G926" s="18"/>
      <c r="H926" s="20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spans="1:25" x14ac:dyDescent="0.3">
      <c r="A927" s="22"/>
      <c r="B927" s="18"/>
      <c r="C927" s="18"/>
      <c r="D927" s="18"/>
      <c r="E927" s="18"/>
      <c r="F927" s="18"/>
      <c r="G927" s="18"/>
      <c r="H927" s="20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spans="1:25" x14ac:dyDescent="0.3">
      <c r="A928" s="22"/>
      <c r="B928" s="18"/>
      <c r="C928" s="18"/>
      <c r="D928" s="18"/>
      <c r="E928" s="18"/>
      <c r="F928" s="18"/>
      <c r="G928" s="18"/>
      <c r="H928" s="20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spans="1:25" x14ac:dyDescent="0.3">
      <c r="A929" s="22"/>
      <c r="B929" s="18"/>
      <c r="C929" s="18"/>
      <c r="D929" s="18"/>
      <c r="E929" s="18"/>
      <c r="F929" s="18"/>
      <c r="G929" s="18"/>
      <c r="H929" s="20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spans="1:25" x14ac:dyDescent="0.3">
      <c r="A930" s="22"/>
      <c r="B930" s="18"/>
      <c r="C930" s="18"/>
      <c r="D930" s="18"/>
      <c r="E930" s="18"/>
      <c r="F930" s="18"/>
      <c r="G930" s="18"/>
      <c r="H930" s="20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spans="1:25" x14ac:dyDescent="0.3">
      <c r="A931" s="22"/>
      <c r="B931" s="18"/>
      <c r="C931" s="18"/>
      <c r="D931" s="18"/>
      <c r="E931" s="18"/>
      <c r="F931" s="18"/>
      <c r="G931" s="18"/>
      <c r="H931" s="20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spans="1:25" x14ac:dyDescent="0.3">
      <c r="A932" s="22"/>
      <c r="B932" s="18"/>
      <c r="C932" s="18"/>
      <c r="D932" s="18"/>
      <c r="E932" s="18"/>
      <c r="F932" s="18"/>
      <c r="G932" s="18"/>
      <c r="H932" s="20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spans="1:25" x14ac:dyDescent="0.3">
      <c r="A933" s="22"/>
      <c r="B933" s="18"/>
      <c r="C933" s="18"/>
      <c r="D933" s="18"/>
      <c r="E933" s="18"/>
      <c r="F933" s="18"/>
      <c r="G933" s="18"/>
      <c r="H933" s="20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spans="1:25" x14ac:dyDescent="0.3">
      <c r="A934" s="22"/>
      <c r="B934" s="18"/>
      <c r="C934" s="18"/>
      <c r="D934" s="18"/>
      <c r="E934" s="18"/>
      <c r="F934" s="18"/>
      <c r="G934" s="18"/>
      <c r="H934" s="20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spans="1:25" x14ac:dyDescent="0.3">
      <c r="A935" s="22"/>
      <c r="B935" s="18"/>
      <c r="C935" s="18"/>
      <c r="D935" s="18"/>
      <c r="E935" s="18"/>
      <c r="F935" s="18"/>
      <c r="G935" s="18"/>
      <c r="H935" s="20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spans="1:25" x14ac:dyDescent="0.3">
      <c r="A936" s="22"/>
      <c r="B936" s="18"/>
      <c r="C936" s="18"/>
      <c r="D936" s="18"/>
      <c r="E936" s="18"/>
      <c r="F936" s="18"/>
      <c r="G936" s="18"/>
      <c r="H936" s="20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spans="1:25" x14ac:dyDescent="0.3">
      <c r="A937" s="22"/>
      <c r="B937" s="18"/>
      <c r="C937" s="18"/>
      <c r="D937" s="18"/>
      <c r="E937" s="18"/>
      <c r="F937" s="18"/>
      <c r="G937" s="18"/>
      <c r="H937" s="20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spans="1:25" x14ac:dyDescent="0.3">
      <c r="A938" s="22"/>
      <c r="B938" s="18"/>
      <c r="C938" s="18"/>
      <c r="D938" s="18"/>
      <c r="E938" s="18"/>
      <c r="F938" s="18"/>
      <c r="G938" s="18"/>
      <c r="H938" s="20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spans="1:25" x14ac:dyDescent="0.3">
      <c r="A939" s="22"/>
      <c r="B939" s="18"/>
      <c r="C939" s="18"/>
      <c r="D939" s="18"/>
      <c r="E939" s="18"/>
      <c r="F939" s="18"/>
      <c r="G939" s="18"/>
      <c r="H939" s="20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spans="1:25" x14ac:dyDescent="0.3">
      <c r="A940" s="22"/>
      <c r="B940" s="18"/>
      <c r="C940" s="18"/>
      <c r="D940" s="18"/>
      <c r="E940" s="18"/>
      <c r="F940" s="18"/>
      <c r="G940" s="18"/>
      <c r="H940" s="20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spans="1:25" x14ac:dyDescent="0.3">
      <c r="A941" s="22"/>
      <c r="B941" s="18"/>
      <c r="C941" s="18"/>
      <c r="D941" s="18"/>
      <c r="E941" s="18"/>
      <c r="F941" s="18"/>
      <c r="G941" s="18"/>
      <c r="H941" s="20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spans="1:25" x14ac:dyDescent="0.3">
      <c r="A942" s="22"/>
      <c r="B942" s="18"/>
      <c r="C942" s="18"/>
      <c r="D942" s="18"/>
      <c r="E942" s="18"/>
      <c r="F942" s="18"/>
      <c r="G942" s="18"/>
      <c r="H942" s="20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spans="1:25" x14ac:dyDescent="0.3">
      <c r="A943" s="22"/>
      <c r="B943" s="18"/>
      <c r="C943" s="18"/>
      <c r="D943" s="18"/>
      <c r="E943" s="18"/>
      <c r="F943" s="18"/>
      <c r="G943" s="18"/>
      <c r="H943" s="20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spans="1:25" x14ac:dyDescent="0.3">
      <c r="A944" s="22"/>
      <c r="B944" s="18"/>
      <c r="C944" s="18"/>
      <c r="D944" s="18"/>
      <c r="E944" s="18"/>
      <c r="F944" s="18"/>
      <c r="G944" s="18"/>
      <c r="H944" s="20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spans="1:25" x14ac:dyDescent="0.3">
      <c r="A945" s="22"/>
      <c r="B945" s="18"/>
      <c r="C945" s="18"/>
      <c r="D945" s="18"/>
      <c r="E945" s="18"/>
      <c r="F945" s="18"/>
      <c r="G945" s="18"/>
      <c r="H945" s="20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spans="1:25" x14ac:dyDescent="0.3">
      <c r="A946" s="22"/>
      <c r="B946" s="18"/>
      <c r="C946" s="18"/>
      <c r="D946" s="18"/>
      <c r="E946" s="18"/>
      <c r="F946" s="18"/>
      <c r="G946" s="18"/>
      <c r="H946" s="20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spans="1:25" x14ac:dyDescent="0.3">
      <c r="A947" s="22"/>
      <c r="B947" s="18"/>
      <c r="C947" s="18"/>
      <c r="D947" s="18"/>
      <c r="E947" s="18"/>
      <c r="F947" s="18"/>
      <c r="G947" s="18"/>
      <c r="H947" s="20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spans="1:25" x14ac:dyDescent="0.3">
      <c r="A948" s="22"/>
      <c r="B948" s="18"/>
      <c r="C948" s="18"/>
      <c r="D948" s="18"/>
      <c r="E948" s="18"/>
      <c r="F948" s="18"/>
      <c r="G948" s="18"/>
      <c r="H948" s="20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spans="1:25" x14ac:dyDescent="0.3">
      <c r="A949" s="22"/>
      <c r="B949" s="18"/>
      <c r="C949" s="18"/>
      <c r="D949" s="18"/>
      <c r="E949" s="18"/>
      <c r="F949" s="18"/>
      <c r="G949" s="18"/>
      <c r="H949" s="20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spans="1:25" x14ac:dyDescent="0.3">
      <c r="A950" s="22"/>
      <c r="B950" s="18"/>
      <c r="C950" s="18"/>
      <c r="D950" s="18"/>
      <c r="E950" s="18"/>
      <c r="F950" s="18"/>
      <c r="G950" s="18"/>
      <c r="H950" s="20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spans="1:25" x14ac:dyDescent="0.3">
      <c r="A951" s="22"/>
      <c r="B951" s="18"/>
      <c r="C951" s="18"/>
      <c r="D951" s="18"/>
      <c r="E951" s="18"/>
      <c r="F951" s="18"/>
      <c r="G951" s="18"/>
      <c r="H951" s="20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spans="1:25" x14ac:dyDescent="0.3">
      <c r="A952" s="22"/>
      <c r="B952" s="18"/>
      <c r="C952" s="18"/>
      <c r="D952" s="18"/>
      <c r="E952" s="18"/>
      <c r="F952" s="18"/>
      <c r="G952" s="18"/>
      <c r="H952" s="20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spans="1:25" x14ac:dyDescent="0.3">
      <c r="A953" s="22"/>
      <c r="B953" s="18"/>
      <c r="C953" s="18"/>
      <c r="D953" s="18"/>
      <c r="E953" s="18"/>
      <c r="F953" s="18"/>
      <c r="G953" s="18"/>
      <c r="H953" s="20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spans="1:25" x14ac:dyDescent="0.3">
      <c r="A954" s="22"/>
      <c r="B954" s="18"/>
      <c r="C954" s="18"/>
      <c r="D954" s="18"/>
      <c r="E954" s="18"/>
      <c r="F954" s="18"/>
      <c r="G954" s="18"/>
      <c r="H954" s="20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spans="1:25" x14ac:dyDescent="0.3">
      <c r="A955" s="22"/>
      <c r="B955" s="18"/>
      <c r="C955" s="18"/>
      <c r="D955" s="18"/>
      <c r="E955" s="18"/>
      <c r="F955" s="18"/>
      <c r="G955" s="18"/>
      <c r="H955" s="20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spans="1:25" x14ac:dyDescent="0.3">
      <c r="A956" s="22"/>
      <c r="B956" s="18"/>
      <c r="C956" s="18"/>
      <c r="D956" s="18"/>
      <c r="E956" s="18"/>
      <c r="F956" s="18"/>
      <c r="G956" s="18"/>
      <c r="H956" s="20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spans="1:25" x14ac:dyDescent="0.3">
      <c r="A957" s="22"/>
      <c r="B957" s="18"/>
      <c r="C957" s="18"/>
      <c r="D957" s="18"/>
      <c r="E957" s="18"/>
      <c r="F957" s="18"/>
      <c r="G957" s="18"/>
      <c r="H957" s="20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spans="1:25" x14ac:dyDescent="0.3">
      <c r="A958" s="22"/>
      <c r="B958" s="18"/>
      <c r="C958" s="18"/>
      <c r="D958" s="18"/>
      <c r="E958" s="18"/>
      <c r="F958" s="18"/>
      <c r="G958" s="18"/>
      <c r="H958" s="20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spans="1:25" x14ac:dyDescent="0.3">
      <c r="A959" s="22"/>
      <c r="B959" s="18"/>
      <c r="C959" s="18"/>
      <c r="D959" s="18"/>
      <c r="E959" s="18"/>
      <c r="F959" s="18"/>
      <c r="G959" s="18"/>
      <c r="H959" s="20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spans="1:25" x14ac:dyDescent="0.3">
      <c r="A960" s="22"/>
      <c r="B960" s="18"/>
      <c r="C960" s="18"/>
      <c r="D960" s="18"/>
      <c r="E960" s="18"/>
      <c r="F960" s="18"/>
      <c r="G960" s="18"/>
      <c r="H960" s="20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spans="1:25" x14ac:dyDescent="0.3">
      <c r="A961" s="22"/>
      <c r="B961" s="18"/>
      <c r="C961" s="18"/>
      <c r="D961" s="18"/>
      <c r="E961" s="18"/>
      <c r="F961" s="18"/>
      <c r="G961" s="18"/>
      <c r="H961" s="20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spans="1:25" x14ac:dyDescent="0.3">
      <c r="A962" s="22"/>
      <c r="B962" s="18"/>
      <c r="C962" s="18"/>
      <c r="D962" s="18"/>
      <c r="E962" s="18"/>
      <c r="F962" s="18"/>
      <c r="G962" s="18"/>
      <c r="H962" s="20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spans="1:25" x14ac:dyDescent="0.3">
      <c r="A963" s="22"/>
      <c r="B963" s="18"/>
      <c r="C963" s="18"/>
      <c r="D963" s="18"/>
      <c r="E963" s="18"/>
      <c r="F963" s="18"/>
      <c r="G963" s="18"/>
      <c r="H963" s="20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spans="1:25" x14ac:dyDescent="0.3">
      <c r="A964" s="22"/>
      <c r="B964" s="18"/>
      <c r="C964" s="18"/>
      <c r="D964" s="18"/>
      <c r="E964" s="18"/>
      <c r="F964" s="18"/>
      <c r="G964" s="18"/>
      <c r="H964" s="20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spans="1:25" x14ac:dyDescent="0.3">
      <c r="A965" s="22"/>
      <c r="B965" s="18"/>
      <c r="C965" s="18"/>
      <c r="D965" s="18"/>
      <c r="E965" s="18"/>
      <c r="F965" s="18"/>
      <c r="G965" s="18"/>
      <c r="H965" s="20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spans="1:25" x14ac:dyDescent="0.3">
      <c r="A966" s="22"/>
      <c r="B966" s="18"/>
      <c r="C966" s="18"/>
      <c r="D966" s="18"/>
      <c r="E966" s="18"/>
      <c r="F966" s="18"/>
      <c r="G966" s="18"/>
      <c r="H966" s="20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spans="1:25" x14ac:dyDescent="0.3">
      <c r="A967" s="22"/>
      <c r="B967" s="18"/>
      <c r="C967" s="18"/>
      <c r="D967" s="18"/>
      <c r="E967" s="18"/>
      <c r="F967" s="18"/>
      <c r="G967" s="18"/>
      <c r="H967" s="20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spans="1:25" x14ac:dyDescent="0.3">
      <c r="A968" s="22"/>
      <c r="B968" s="18"/>
      <c r="C968" s="18"/>
      <c r="D968" s="18"/>
      <c r="E968" s="18"/>
      <c r="F968" s="18"/>
      <c r="G968" s="18"/>
      <c r="H968" s="20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spans="1:25" x14ac:dyDescent="0.3">
      <c r="A969" s="22"/>
      <c r="B969" s="18"/>
      <c r="C969" s="18"/>
      <c r="D969" s="18"/>
      <c r="E969" s="18"/>
      <c r="F969" s="18"/>
      <c r="G969" s="18"/>
      <c r="H969" s="20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spans="1:25" x14ac:dyDescent="0.3">
      <c r="A970" s="22"/>
      <c r="B970" s="18"/>
      <c r="C970" s="18"/>
      <c r="D970" s="18"/>
      <c r="E970" s="18"/>
      <c r="F970" s="18"/>
      <c r="G970" s="18"/>
      <c r="H970" s="20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spans="1:25" x14ac:dyDescent="0.3">
      <c r="A971" s="22"/>
      <c r="B971" s="18"/>
      <c r="C971" s="18"/>
      <c r="D971" s="18"/>
      <c r="E971" s="18"/>
      <c r="F971" s="18"/>
      <c r="G971" s="18"/>
      <c r="H971" s="20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spans="1:25" x14ac:dyDescent="0.3">
      <c r="A972" s="22"/>
      <c r="B972" s="18"/>
      <c r="C972" s="18"/>
      <c r="D972" s="18"/>
      <c r="E972" s="18"/>
      <c r="F972" s="18"/>
      <c r="G972" s="18"/>
      <c r="H972" s="20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spans="1:25" x14ac:dyDescent="0.3">
      <c r="A973" s="22"/>
      <c r="B973" s="18"/>
      <c r="C973" s="18"/>
      <c r="D973" s="18"/>
      <c r="E973" s="18"/>
      <c r="F973" s="18"/>
      <c r="G973" s="18"/>
      <c r="H973" s="20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spans="1:25" x14ac:dyDescent="0.3">
      <c r="A974" s="22"/>
      <c r="B974" s="18"/>
      <c r="C974" s="18"/>
      <c r="D974" s="18"/>
      <c r="E974" s="18"/>
      <c r="F974" s="18"/>
      <c r="G974" s="18"/>
      <c r="H974" s="20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spans="1:25" x14ac:dyDescent="0.3">
      <c r="A975" s="22"/>
      <c r="B975" s="18"/>
      <c r="C975" s="18"/>
      <c r="D975" s="18"/>
      <c r="E975" s="18"/>
      <c r="F975" s="18"/>
      <c r="G975" s="18"/>
      <c r="H975" s="20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spans="1:25" x14ac:dyDescent="0.3">
      <c r="A976" s="22"/>
      <c r="B976" s="18"/>
      <c r="C976" s="18"/>
      <c r="D976" s="18"/>
      <c r="E976" s="18"/>
      <c r="F976" s="18"/>
      <c r="G976" s="18"/>
      <c r="H976" s="20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spans="1:25" x14ac:dyDescent="0.3">
      <c r="A977" s="22"/>
      <c r="B977" s="18"/>
      <c r="C977" s="18"/>
      <c r="D977" s="18"/>
      <c r="E977" s="18"/>
      <c r="F977" s="18"/>
      <c r="G977" s="18"/>
      <c r="H977" s="20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spans="1:25" x14ac:dyDescent="0.3">
      <c r="A978" s="22"/>
      <c r="B978" s="18"/>
      <c r="C978" s="18"/>
      <c r="D978" s="18"/>
      <c r="E978" s="18"/>
      <c r="F978" s="18"/>
      <c r="G978" s="18"/>
      <c r="H978" s="20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spans="1:25" x14ac:dyDescent="0.3">
      <c r="A979" s="22"/>
      <c r="B979" s="18"/>
      <c r="C979" s="18"/>
      <c r="D979" s="18"/>
      <c r="E979" s="18"/>
      <c r="F979" s="18"/>
      <c r="G979" s="18"/>
      <c r="H979" s="20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spans="1:25" x14ac:dyDescent="0.3">
      <c r="A980" s="22"/>
      <c r="B980" s="18"/>
      <c r="C980" s="18"/>
      <c r="D980" s="18"/>
      <c r="E980" s="18"/>
      <c r="F980" s="18"/>
      <c r="G980" s="18"/>
      <c r="H980" s="20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spans="1:25" x14ac:dyDescent="0.3">
      <c r="A981" s="22"/>
      <c r="B981" s="18"/>
      <c r="C981" s="18"/>
      <c r="D981" s="18"/>
      <c r="E981" s="18"/>
      <c r="F981" s="18"/>
      <c r="G981" s="18"/>
      <c r="H981" s="20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spans="1:25" x14ac:dyDescent="0.3">
      <c r="A982" s="22"/>
      <c r="B982" s="18"/>
      <c r="C982" s="18"/>
      <c r="D982" s="18"/>
      <c r="E982" s="18"/>
      <c r="F982" s="18"/>
      <c r="G982" s="18"/>
      <c r="H982" s="20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spans="1:25" x14ac:dyDescent="0.3">
      <c r="A983" s="22"/>
      <c r="B983" s="18"/>
      <c r="C983" s="18"/>
      <c r="D983" s="18"/>
      <c r="E983" s="18"/>
      <c r="F983" s="18"/>
      <c r="G983" s="18"/>
      <c r="H983" s="20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spans="1:25" x14ac:dyDescent="0.3">
      <c r="A984" s="22"/>
      <c r="B984" s="18"/>
      <c r="C984" s="18"/>
      <c r="D984" s="18"/>
      <c r="E984" s="18"/>
      <c r="F984" s="18"/>
      <c r="G984" s="18"/>
      <c r="H984" s="20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spans="1:25" x14ac:dyDescent="0.3">
      <c r="A985" s="22"/>
      <c r="B985" s="18"/>
      <c r="C985" s="18"/>
      <c r="D985" s="18"/>
      <c r="E985" s="18"/>
      <c r="F985" s="18"/>
      <c r="G985" s="18"/>
      <c r="H985" s="20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spans="1:25" x14ac:dyDescent="0.3">
      <c r="A986" s="22"/>
      <c r="B986" s="18"/>
      <c r="C986" s="18"/>
      <c r="D986" s="18"/>
      <c r="E986" s="18"/>
      <c r="F986" s="18"/>
      <c r="G986" s="18"/>
      <c r="H986" s="20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spans="1:25" x14ac:dyDescent="0.3">
      <c r="A987" s="22"/>
      <c r="B987" s="18"/>
      <c r="C987" s="18"/>
      <c r="D987" s="18"/>
      <c r="E987" s="18"/>
      <c r="F987" s="18"/>
      <c r="G987" s="18"/>
      <c r="H987" s="20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spans="1:25" x14ac:dyDescent="0.3">
      <c r="A988" s="22"/>
      <c r="B988" s="18"/>
      <c r="C988" s="18"/>
      <c r="D988" s="18"/>
      <c r="E988" s="18"/>
      <c r="F988" s="18"/>
      <c r="G988" s="18"/>
      <c r="H988" s="20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spans="1:25" x14ac:dyDescent="0.3">
      <c r="A989" s="22"/>
      <c r="B989" s="18"/>
      <c r="C989" s="18"/>
      <c r="D989" s="18"/>
      <c r="E989" s="18"/>
      <c r="F989" s="18"/>
      <c r="G989" s="18"/>
      <c r="H989" s="20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spans="1:25" x14ac:dyDescent="0.3">
      <c r="A990" s="22"/>
      <c r="B990" s="18"/>
      <c r="C990" s="18"/>
      <c r="D990" s="18"/>
      <c r="E990" s="18"/>
      <c r="F990" s="18"/>
      <c r="G990" s="18"/>
      <c r="H990" s="20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spans="1:25" x14ac:dyDescent="0.3">
      <c r="A991" s="22"/>
      <c r="B991" s="18"/>
      <c r="C991" s="18"/>
      <c r="D991" s="18"/>
      <c r="E991" s="18"/>
      <c r="F991" s="18"/>
      <c r="G991" s="18"/>
      <c r="H991" s="20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spans="1:25" x14ac:dyDescent="0.3">
      <c r="A992" s="22"/>
      <c r="B992" s="18"/>
      <c r="C992" s="18"/>
      <c r="D992" s="18"/>
      <c r="E992" s="18"/>
      <c r="F992" s="18"/>
      <c r="G992" s="18"/>
      <c r="H992" s="20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spans="1:25" x14ac:dyDescent="0.3">
      <c r="A993" s="22"/>
      <c r="B993" s="18"/>
      <c r="C993" s="18"/>
      <c r="D993" s="18"/>
      <c r="E993" s="18"/>
      <c r="F993" s="18"/>
      <c r="G993" s="18"/>
      <c r="H993" s="20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spans="1:25" x14ac:dyDescent="0.3">
      <c r="A994" s="22"/>
      <c r="B994" s="18"/>
      <c r="C994" s="18"/>
      <c r="D994" s="18"/>
      <c r="E994" s="18"/>
      <c r="F994" s="18"/>
      <c r="G994" s="18"/>
      <c r="H994" s="20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spans="1:25" x14ac:dyDescent="0.3">
      <c r="A995" s="22"/>
      <c r="B995" s="18"/>
      <c r="C995" s="18"/>
      <c r="D995" s="18"/>
      <c r="E995" s="18"/>
      <c r="F995" s="18"/>
      <c r="G995" s="18"/>
      <c r="H995" s="20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spans="1:25" x14ac:dyDescent="0.3">
      <c r="A996" s="22"/>
      <c r="B996" s="18"/>
      <c r="C996" s="18"/>
      <c r="D996" s="18"/>
      <c r="E996" s="18"/>
      <c r="F996" s="18"/>
      <c r="G996" s="18"/>
      <c r="H996" s="20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spans="1:25" x14ac:dyDescent="0.3">
      <c r="A997" s="22"/>
      <c r="B997" s="18"/>
      <c r="C997" s="18"/>
      <c r="D997" s="18"/>
      <c r="E997" s="18"/>
      <c r="F997" s="18"/>
      <c r="G997" s="18"/>
      <c r="H997" s="20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spans="1:25" x14ac:dyDescent="0.3">
      <c r="A998" s="22"/>
      <c r="B998" s="18"/>
      <c r="C998" s="18"/>
      <c r="D998" s="18"/>
      <c r="E998" s="18"/>
      <c r="F998" s="18"/>
      <c r="G998" s="18"/>
      <c r="H998" s="20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 spans="1:25" x14ac:dyDescent="0.3">
      <c r="A999" s="22"/>
      <c r="B999" s="18"/>
      <c r="C999" s="18"/>
      <c r="D999" s="18"/>
      <c r="E999" s="18"/>
      <c r="F999" s="18"/>
      <c r="G999" s="18"/>
      <c r="H999" s="20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 spans="1:25" x14ac:dyDescent="0.3">
      <c r="A1000" s="22"/>
      <c r="B1000" s="18"/>
      <c r="C1000" s="18"/>
      <c r="D1000" s="18"/>
      <c r="E1000" s="18"/>
      <c r="F1000" s="18"/>
      <c r="G1000" s="18"/>
      <c r="H1000" s="20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  <row r="1001" spans="1:25" x14ac:dyDescent="0.3">
      <c r="A1001" s="22"/>
      <c r="B1001" s="18"/>
      <c r="C1001" s="18"/>
      <c r="D1001" s="18"/>
      <c r="E1001" s="18"/>
      <c r="F1001" s="18"/>
      <c r="G1001" s="18"/>
      <c r="H1001" s="20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</row>
  </sheetData>
  <mergeCells count="2">
    <mergeCell ref="A1:G1"/>
    <mergeCell ref="A2:A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9B3B8-32CA-6C48-B8AE-C044592D3C7A}">
  <dimension ref="A1:Y1001"/>
  <sheetViews>
    <sheetView topLeftCell="A77" workbookViewId="0">
      <selection activeCell="B80" sqref="B80"/>
    </sheetView>
  </sheetViews>
  <sheetFormatPr defaultColWidth="12.7109375" defaultRowHeight="18.75" x14ac:dyDescent="0.3"/>
  <cols>
    <col min="1" max="1" width="12" style="50" customWidth="1"/>
    <col min="2" max="2" width="25.140625" style="5" customWidth="1"/>
    <col min="3" max="3" width="20.140625" style="5" customWidth="1"/>
    <col min="4" max="4" width="18.42578125" style="5" customWidth="1"/>
    <col min="5" max="5" width="22.85546875" style="5" customWidth="1"/>
    <col min="6" max="7" width="18.42578125" style="5" customWidth="1"/>
    <col min="8" max="8" width="17.28515625" style="41" customWidth="1"/>
    <col min="9" max="16384" width="12.7109375" style="4"/>
  </cols>
  <sheetData>
    <row r="1" spans="1:25" s="11" customFormat="1" ht="35.1" customHeight="1" x14ac:dyDescent="0.2">
      <c r="A1" s="132" t="s">
        <v>208</v>
      </c>
      <c r="B1" s="132"/>
      <c r="C1" s="132"/>
      <c r="D1" s="132"/>
      <c r="E1" s="132"/>
      <c r="F1" s="132"/>
      <c r="G1" s="132"/>
      <c r="H1" s="8"/>
    </row>
    <row r="2" spans="1:25" s="10" customFormat="1" ht="60" customHeight="1" x14ac:dyDescent="0.2">
      <c r="A2" s="133" t="s">
        <v>129</v>
      </c>
      <c r="B2" s="6" t="s">
        <v>151</v>
      </c>
      <c r="C2" s="1" t="s">
        <v>152</v>
      </c>
      <c r="D2" s="1" t="s">
        <v>153</v>
      </c>
      <c r="E2" s="1" t="s">
        <v>154</v>
      </c>
      <c r="F2" s="12" t="s">
        <v>156</v>
      </c>
      <c r="G2" s="1" t="s">
        <v>205</v>
      </c>
      <c r="H2" s="48" t="s">
        <v>207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ht="27.95" customHeight="1" x14ac:dyDescent="0.3">
      <c r="A3" s="134"/>
      <c r="B3" s="49" t="s">
        <v>127</v>
      </c>
      <c r="C3" s="14"/>
      <c r="D3" s="14"/>
      <c r="E3" s="14"/>
      <c r="F3" s="15" t="e">
        <f t="shared" ref="F3" si="0">E3/D3</f>
        <v>#DIV/0!</v>
      </c>
      <c r="G3" s="16">
        <v>0.8</v>
      </c>
      <c r="H3" s="17" t="e">
        <f t="shared" ref="H3" si="1">F3/G3</f>
        <v>#DIV/0!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21" customHeight="1" x14ac:dyDescent="0.3">
      <c r="A4" s="21" cm="1">
        <f t="array" ref="A4">1+COUNT(_xlfn.UNIQUE(_xlfn._xlws.FILTER($H$4:$H$127, $H$4:$H$127 &gt; H4)))</f>
        <v>1</v>
      </c>
      <c r="B4" s="2" t="s">
        <v>24</v>
      </c>
      <c r="C4" s="2"/>
      <c r="D4" s="2"/>
      <c r="E4" s="2"/>
      <c r="F4" s="15" t="e">
        <f t="shared" ref="F4:F35" si="2">E4/D4</f>
        <v>#DIV/0!</v>
      </c>
      <c r="G4" s="19">
        <v>0.85</v>
      </c>
      <c r="H4" s="17" t="e">
        <f t="shared" ref="H4:H35" si="3">F4/G4</f>
        <v>#DIV/0!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21" customHeight="1" x14ac:dyDescent="0.3">
      <c r="A5" s="21" cm="1">
        <f t="array" ref="A5">1+COUNT(_xlfn.UNIQUE(_xlfn._xlws.FILTER($F$4:$F$127, $F$4:$F$127 &gt; F5)))</f>
        <v>1</v>
      </c>
      <c r="B5" s="2" t="s">
        <v>17</v>
      </c>
      <c r="C5" s="2"/>
      <c r="D5" s="2"/>
      <c r="E5" s="2"/>
      <c r="F5" s="15" t="e">
        <f t="shared" si="2"/>
        <v>#DIV/0!</v>
      </c>
      <c r="G5" s="19">
        <v>0.85</v>
      </c>
      <c r="H5" s="17" t="e">
        <f t="shared" si="3"/>
        <v>#DIV/0!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ht="21" customHeight="1" x14ac:dyDescent="0.3">
      <c r="A6" s="21" cm="1">
        <f t="array" ref="A6">1+COUNT(_xlfn.UNIQUE(_xlfn._xlws.FILTER($F$4:$F$127, $F$4:$F$127 &gt; F6)))</f>
        <v>1</v>
      </c>
      <c r="B6" s="2" t="s">
        <v>5</v>
      </c>
      <c r="C6" s="2"/>
      <c r="D6" s="2"/>
      <c r="E6" s="2"/>
      <c r="F6" s="15" t="e">
        <f t="shared" si="2"/>
        <v>#DIV/0!</v>
      </c>
      <c r="G6" s="19">
        <v>0.85</v>
      </c>
      <c r="H6" s="17" t="e">
        <f t="shared" si="3"/>
        <v>#DIV/0!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ht="21" customHeight="1" x14ac:dyDescent="0.3">
      <c r="A7" s="21" cm="1">
        <f t="array" ref="A7">1+COUNT(_xlfn.UNIQUE(_xlfn._xlws.FILTER($F$4:$F$127, $F$4:$F$127 &gt; F7)))</f>
        <v>1</v>
      </c>
      <c r="B7" s="2" t="s">
        <v>2</v>
      </c>
      <c r="C7" s="2"/>
      <c r="D7" s="2"/>
      <c r="E7" s="2"/>
      <c r="F7" s="15" t="e">
        <f t="shared" si="2"/>
        <v>#DIV/0!</v>
      </c>
      <c r="G7" s="19">
        <v>0.85</v>
      </c>
      <c r="H7" s="17" t="e">
        <f t="shared" si="3"/>
        <v>#DIV/0!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ht="21" customHeight="1" x14ac:dyDescent="0.3">
      <c r="A8" s="21" cm="1">
        <f t="array" ref="A8">1+COUNT(_xlfn.UNIQUE(_xlfn._xlws.FILTER($F$4:$F$127, $F$4:$F$127 &gt; F8)))</f>
        <v>1</v>
      </c>
      <c r="B8" s="2" t="s">
        <v>11</v>
      </c>
      <c r="C8" s="2"/>
      <c r="D8" s="2"/>
      <c r="E8" s="2"/>
      <c r="F8" s="15" t="e">
        <f t="shared" si="2"/>
        <v>#DIV/0!</v>
      </c>
      <c r="G8" s="19">
        <v>0.85</v>
      </c>
      <c r="H8" s="17" t="e">
        <f t="shared" si="3"/>
        <v>#DIV/0!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ht="21" customHeight="1" x14ac:dyDescent="0.3">
      <c r="A9" s="21" cm="1">
        <f t="array" ref="A9">1+COUNT(_xlfn.UNIQUE(_xlfn._xlws.FILTER($F$4:$F$127, $F$4:$F$127 &gt; F9)))</f>
        <v>1</v>
      </c>
      <c r="B9" s="2" t="s">
        <v>59</v>
      </c>
      <c r="C9" s="2"/>
      <c r="D9" s="2"/>
      <c r="E9" s="2"/>
      <c r="F9" s="15" t="e">
        <f t="shared" si="2"/>
        <v>#DIV/0!</v>
      </c>
      <c r="G9" s="19">
        <v>0.85</v>
      </c>
      <c r="H9" s="17" t="e">
        <f t="shared" si="3"/>
        <v>#DIV/0!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ht="21" customHeight="1" x14ac:dyDescent="0.3">
      <c r="A10" s="21" cm="1">
        <f t="array" ref="A10">1+COUNT(_xlfn.UNIQUE(_xlfn._xlws.FILTER($F$4:$F$127, $F$4:$F$127 &gt; F10)))</f>
        <v>1</v>
      </c>
      <c r="B10" s="2" t="s">
        <v>37</v>
      </c>
      <c r="C10" s="2"/>
      <c r="D10" s="2"/>
      <c r="E10" s="2"/>
      <c r="F10" s="15" t="e">
        <f t="shared" si="2"/>
        <v>#DIV/0!</v>
      </c>
      <c r="G10" s="19">
        <v>0.85</v>
      </c>
      <c r="H10" s="17" t="e">
        <f t="shared" si="3"/>
        <v>#DIV/0!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ht="21" customHeight="1" x14ac:dyDescent="0.3">
      <c r="A11" s="21" cm="1">
        <f t="array" ref="A11">1+COUNT(_xlfn.UNIQUE(_xlfn._xlws.FILTER($F$4:$F$127, $F$4:$F$127 &gt; F11)))</f>
        <v>1</v>
      </c>
      <c r="B11" s="2" t="s">
        <v>15</v>
      </c>
      <c r="C11" s="2"/>
      <c r="D11" s="2"/>
      <c r="E11" s="2"/>
      <c r="F11" s="15" t="e">
        <f t="shared" si="2"/>
        <v>#DIV/0!</v>
      </c>
      <c r="G11" s="19">
        <v>0.82</v>
      </c>
      <c r="H11" s="17" t="e">
        <f t="shared" si="3"/>
        <v>#DIV/0!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21" customHeight="1" x14ac:dyDescent="0.3">
      <c r="A12" s="21" cm="1">
        <f t="array" ref="A12">1+COUNT(_xlfn.UNIQUE(_xlfn._xlws.FILTER($F$4:$F$127, $F$4:$F$127 &gt; F12)))</f>
        <v>1</v>
      </c>
      <c r="B12" s="2" t="s">
        <v>50</v>
      </c>
      <c r="C12" s="2"/>
      <c r="D12" s="2"/>
      <c r="E12" s="2"/>
      <c r="F12" s="15" t="e">
        <f t="shared" si="2"/>
        <v>#DIV/0!</v>
      </c>
      <c r="G12" s="19">
        <v>0.82</v>
      </c>
      <c r="H12" s="17" t="e">
        <f t="shared" si="3"/>
        <v>#DIV/0!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21" customHeight="1" x14ac:dyDescent="0.3">
      <c r="A13" s="21" cm="1">
        <f t="array" ref="A13">1+COUNT(_xlfn.UNIQUE(_xlfn._xlws.FILTER($F$4:$F$127, $F$4:$F$127 &gt; F13)))</f>
        <v>1</v>
      </c>
      <c r="B13" s="2" t="s">
        <v>57</v>
      </c>
      <c r="C13" s="2"/>
      <c r="D13" s="2"/>
      <c r="E13" s="2"/>
      <c r="F13" s="15" t="e">
        <f t="shared" si="2"/>
        <v>#DIV/0!</v>
      </c>
      <c r="G13" s="19">
        <v>0.8</v>
      </c>
      <c r="H13" s="17" t="e">
        <f t="shared" si="3"/>
        <v>#DIV/0!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21" customHeight="1" x14ac:dyDescent="0.3">
      <c r="A14" s="21" cm="1">
        <f t="array" ref="A14">1+COUNT(_xlfn.UNIQUE(_xlfn._xlws.FILTER($F$4:$F$127, $F$4:$F$127 &gt; F14)))</f>
        <v>1</v>
      </c>
      <c r="B14" s="2" t="s">
        <v>94</v>
      </c>
      <c r="C14" s="2"/>
      <c r="D14" s="2"/>
      <c r="E14" s="2"/>
      <c r="F14" s="15" t="e">
        <f t="shared" si="2"/>
        <v>#DIV/0!</v>
      </c>
      <c r="G14" s="19">
        <v>0.8</v>
      </c>
      <c r="H14" s="17" t="e">
        <f t="shared" si="3"/>
        <v>#DIV/0!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21" customHeight="1" x14ac:dyDescent="0.3">
      <c r="A15" s="21" cm="1">
        <f t="array" ref="A15">1+COUNT(_xlfn.UNIQUE(_xlfn._xlws.FILTER($F$4:$F$127, $F$4:$F$127 &gt; F15)))</f>
        <v>1</v>
      </c>
      <c r="B15" s="2" t="s">
        <v>40</v>
      </c>
      <c r="C15" s="2"/>
      <c r="D15" s="2"/>
      <c r="E15" s="2"/>
      <c r="F15" s="15" t="e">
        <f t="shared" si="2"/>
        <v>#DIV/0!</v>
      </c>
      <c r="G15" s="19">
        <v>0.8</v>
      </c>
      <c r="H15" s="17" t="e">
        <f t="shared" si="3"/>
        <v>#DIV/0!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21" customHeight="1" x14ac:dyDescent="0.3">
      <c r="A16" s="21" cm="1">
        <f t="array" ref="A16">1+COUNT(_xlfn.UNIQUE(_xlfn._xlws.FILTER($F$4:$F$127, $F$4:$F$127 &gt; F16)))</f>
        <v>1</v>
      </c>
      <c r="B16" s="2" t="s">
        <v>111</v>
      </c>
      <c r="C16" s="2"/>
      <c r="D16" s="2"/>
      <c r="E16" s="2"/>
      <c r="F16" s="15" t="e">
        <f t="shared" si="2"/>
        <v>#DIV/0!</v>
      </c>
      <c r="G16" s="19">
        <v>0.8</v>
      </c>
      <c r="H16" s="17" t="e">
        <f t="shared" si="3"/>
        <v>#DIV/0!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21" customHeight="1" x14ac:dyDescent="0.3">
      <c r="A17" s="21" cm="1">
        <f t="array" ref="A17">1+COUNT(_xlfn.UNIQUE(_xlfn._xlws.FILTER($F$4:$F$127, $F$4:$F$127 &gt; F17)))</f>
        <v>1</v>
      </c>
      <c r="B17" s="2" t="s">
        <v>87</v>
      </c>
      <c r="C17" s="2"/>
      <c r="D17" s="2"/>
      <c r="E17" s="2"/>
      <c r="F17" s="15" t="e">
        <f t="shared" si="2"/>
        <v>#DIV/0!</v>
      </c>
      <c r="G17" s="19">
        <v>0.8</v>
      </c>
      <c r="H17" s="17" t="e">
        <f t="shared" si="3"/>
        <v>#DIV/0!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21" customHeight="1" x14ac:dyDescent="0.3">
      <c r="A18" s="21" cm="1">
        <f t="array" ref="A18">1+COUNT(_xlfn.UNIQUE(_xlfn._xlws.FILTER($F$4:$F$127, $F$4:$F$127 &gt; F18)))</f>
        <v>1</v>
      </c>
      <c r="B18" s="2" t="s">
        <v>77</v>
      </c>
      <c r="C18" s="2"/>
      <c r="D18" s="2"/>
      <c r="E18" s="2"/>
      <c r="F18" s="15" t="e">
        <f t="shared" si="2"/>
        <v>#DIV/0!</v>
      </c>
      <c r="G18" s="19">
        <v>0.8</v>
      </c>
      <c r="H18" s="17" t="e">
        <f t="shared" si="3"/>
        <v>#DIV/0!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21" customHeight="1" x14ac:dyDescent="0.3">
      <c r="A19" s="21" cm="1">
        <f t="array" ref="A19">1+COUNT(_xlfn.UNIQUE(_xlfn._xlws.FILTER($F$4:$F$127, $F$4:$F$127 &gt; F19)))</f>
        <v>1</v>
      </c>
      <c r="B19" s="2" t="s">
        <v>46</v>
      </c>
      <c r="C19" s="2"/>
      <c r="D19" s="2"/>
      <c r="E19" s="2"/>
      <c r="F19" s="15" t="e">
        <f t="shared" si="2"/>
        <v>#DIV/0!</v>
      </c>
      <c r="G19" s="19">
        <v>0.8</v>
      </c>
      <c r="H19" s="17" t="e">
        <f t="shared" si="3"/>
        <v>#DIV/0!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ht="21" customHeight="1" x14ac:dyDescent="0.3">
      <c r="A20" s="21" cm="1">
        <f t="array" ref="A20">1+COUNT(_xlfn.UNIQUE(_xlfn._xlws.FILTER($F$4:$F$127, $F$4:$F$127 &gt; F20)))</f>
        <v>1</v>
      </c>
      <c r="B20" s="2" t="s">
        <v>64</v>
      </c>
      <c r="C20" s="2"/>
      <c r="D20" s="2"/>
      <c r="E20" s="2"/>
      <c r="F20" s="15" t="e">
        <f t="shared" si="2"/>
        <v>#DIV/0!</v>
      </c>
      <c r="G20" s="19">
        <v>0.8</v>
      </c>
      <c r="H20" s="17" t="e">
        <f t="shared" si="3"/>
        <v>#DIV/0!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ht="21" customHeight="1" x14ac:dyDescent="0.3">
      <c r="A21" s="21" cm="1">
        <f t="array" ref="A21">1+COUNT(_xlfn.UNIQUE(_xlfn._xlws.FILTER($F$4:$F$127, $F$4:$F$127 &gt; F21)))</f>
        <v>1</v>
      </c>
      <c r="B21" s="2" t="s">
        <v>27</v>
      </c>
      <c r="C21" s="2"/>
      <c r="D21" s="2"/>
      <c r="E21" s="2"/>
      <c r="F21" s="15" t="e">
        <f t="shared" si="2"/>
        <v>#DIV/0!</v>
      </c>
      <c r="G21" s="19">
        <v>0.8</v>
      </c>
      <c r="H21" s="17" t="e">
        <f t="shared" si="3"/>
        <v>#DIV/0!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ht="21" customHeight="1" x14ac:dyDescent="0.3">
      <c r="A22" s="21" cm="1">
        <f t="array" ref="A22">1+COUNT(_xlfn.UNIQUE(_xlfn._xlws.FILTER($F$4:$F$127, $F$4:$F$127 &gt; F22)))</f>
        <v>1</v>
      </c>
      <c r="B22" s="2" t="s">
        <v>110</v>
      </c>
      <c r="C22" s="2"/>
      <c r="D22" s="2"/>
      <c r="E22" s="2"/>
      <c r="F22" s="15" t="e">
        <f t="shared" si="2"/>
        <v>#DIV/0!</v>
      </c>
      <c r="G22" s="19">
        <v>0.8</v>
      </c>
      <c r="H22" s="17" t="e">
        <f t="shared" si="3"/>
        <v>#DIV/0!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21" customHeight="1" x14ac:dyDescent="0.3">
      <c r="A23" s="21" cm="1">
        <f t="array" ref="A23">1+COUNT(_xlfn.UNIQUE(_xlfn._xlws.FILTER($F$4:$F$127, $F$4:$F$127 &gt; F23)))</f>
        <v>1</v>
      </c>
      <c r="B23" s="2" t="s">
        <v>92</v>
      </c>
      <c r="C23" s="2"/>
      <c r="D23" s="2"/>
      <c r="E23" s="2"/>
      <c r="F23" s="15" t="e">
        <f t="shared" si="2"/>
        <v>#DIV/0!</v>
      </c>
      <c r="G23" s="19">
        <v>0.8</v>
      </c>
      <c r="H23" s="17" t="e">
        <f t="shared" si="3"/>
        <v>#DIV/0!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21" customHeight="1" x14ac:dyDescent="0.3">
      <c r="A24" s="21" cm="1">
        <f t="array" ref="A24">1+COUNT(_xlfn.UNIQUE(_xlfn._xlws.FILTER($F$4:$F$127, $F$4:$F$127 &gt; F24)))</f>
        <v>1</v>
      </c>
      <c r="B24" s="2" t="s">
        <v>22</v>
      </c>
      <c r="C24" s="2"/>
      <c r="D24" s="2"/>
      <c r="E24" s="2"/>
      <c r="F24" s="15" t="e">
        <f t="shared" si="2"/>
        <v>#DIV/0!</v>
      </c>
      <c r="G24" s="19">
        <v>0.82</v>
      </c>
      <c r="H24" s="17" t="e">
        <f t="shared" si="3"/>
        <v>#DIV/0!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21" customHeight="1" x14ac:dyDescent="0.3">
      <c r="A25" s="21" cm="1">
        <f t="array" ref="A25">1+COUNT(_xlfn.UNIQUE(_xlfn._xlws.FILTER($F$4:$F$127, $F$4:$F$127 &gt; F25)))</f>
        <v>1</v>
      </c>
      <c r="B25" s="2" t="s">
        <v>70</v>
      </c>
      <c r="C25" s="2"/>
      <c r="D25" s="2"/>
      <c r="E25" s="2"/>
      <c r="F25" s="15" t="e">
        <f t="shared" si="2"/>
        <v>#DIV/0!</v>
      </c>
      <c r="G25" s="19">
        <v>0.8</v>
      </c>
      <c r="H25" s="17" t="e">
        <f t="shared" si="3"/>
        <v>#DIV/0!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21" customHeight="1" x14ac:dyDescent="0.3">
      <c r="A26" s="21" cm="1">
        <f t="array" ref="A26">1+COUNT(_xlfn.UNIQUE(_xlfn._xlws.FILTER($F$4:$F$127, $F$4:$F$127 &gt; F26)))</f>
        <v>1</v>
      </c>
      <c r="B26" s="2" t="s">
        <v>116</v>
      </c>
      <c r="C26" s="2"/>
      <c r="D26" s="2"/>
      <c r="E26" s="2"/>
      <c r="F26" s="15" t="e">
        <f t="shared" si="2"/>
        <v>#DIV/0!</v>
      </c>
      <c r="G26" s="19">
        <v>0.8</v>
      </c>
      <c r="H26" s="17" t="e">
        <f t="shared" si="3"/>
        <v>#DIV/0!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ht="21" customHeight="1" x14ac:dyDescent="0.3">
      <c r="A27" s="21" cm="1">
        <f t="array" ref="A27">1+COUNT(_xlfn.UNIQUE(_xlfn._xlws.FILTER($F$4:$F$127, $F$4:$F$127 &gt; F27)))</f>
        <v>1</v>
      </c>
      <c r="B27" s="2" t="s">
        <v>4</v>
      </c>
      <c r="C27" s="2"/>
      <c r="D27" s="2"/>
      <c r="E27" s="2"/>
      <c r="F27" s="15" t="e">
        <f t="shared" si="2"/>
        <v>#DIV/0!</v>
      </c>
      <c r="G27" s="19">
        <v>0.8</v>
      </c>
      <c r="H27" s="17" t="e">
        <f t="shared" si="3"/>
        <v>#DIV/0!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ht="21" customHeight="1" x14ac:dyDescent="0.3">
      <c r="A28" s="21" cm="1">
        <f t="array" ref="A28">1+COUNT(_xlfn.UNIQUE(_xlfn._xlws.FILTER($F$4:$F$127, $F$4:$F$127 &gt; F28)))</f>
        <v>1</v>
      </c>
      <c r="B28" s="2" t="s">
        <v>58</v>
      </c>
      <c r="C28" s="2"/>
      <c r="D28" s="2"/>
      <c r="E28" s="2"/>
      <c r="F28" s="15" t="e">
        <f t="shared" si="2"/>
        <v>#DIV/0!</v>
      </c>
      <c r="G28" s="19">
        <v>0.82</v>
      </c>
      <c r="H28" s="17" t="e">
        <f t="shared" si="3"/>
        <v>#DIV/0!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21" customHeight="1" x14ac:dyDescent="0.3">
      <c r="A29" s="21" cm="1">
        <f t="array" ref="A29">1+COUNT(_xlfn.UNIQUE(_xlfn._xlws.FILTER($F$4:$F$127, $F$4:$F$127 &gt; F29)))</f>
        <v>1</v>
      </c>
      <c r="B29" s="2" t="s">
        <v>36</v>
      </c>
      <c r="C29" s="2"/>
      <c r="D29" s="2"/>
      <c r="E29" s="2"/>
      <c r="F29" s="15" t="e">
        <f t="shared" si="2"/>
        <v>#DIV/0!</v>
      </c>
      <c r="G29" s="19">
        <v>0.8</v>
      </c>
      <c r="H29" s="17" t="e">
        <f t="shared" si="3"/>
        <v>#DIV/0!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ht="21" customHeight="1" x14ac:dyDescent="0.3">
      <c r="A30" s="21" cm="1">
        <f t="array" ref="A30">1+COUNT(_xlfn.UNIQUE(_xlfn._xlws.FILTER($F$4:$F$127, $F$4:$F$127 &gt; F30)))</f>
        <v>1</v>
      </c>
      <c r="B30" s="2" t="s">
        <v>78</v>
      </c>
      <c r="C30" s="2"/>
      <c r="D30" s="2"/>
      <c r="E30" s="2"/>
      <c r="F30" s="15" t="e">
        <f t="shared" si="2"/>
        <v>#DIV/0!</v>
      </c>
      <c r="G30" s="19">
        <v>0.8</v>
      </c>
      <c r="H30" s="17" t="e">
        <f t="shared" si="3"/>
        <v>#DIV/0!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ht="21" customHeight="1" x14ac:dyDescent="0.3">
      <c r="A31" s="21" cm="1">
        <f t="array" ref="A31">1+COUNT(_xlfn.UNIQUE(_xlfn._xlws.FILTER($F$4:$F$127, $F$4:$F$127 &gt; F31)))</f>
        <v>1</v>
      </c>
      <c r="B31" s="2" t="s">
        <v>119</v>
      </c>
      <c r="C31" s="2"/>
      <c r="D31" s="2"/>
      <c r="E31" s="2"/>
      <c r="F31" s="15" t="e">
        <f t="shared" si="2"/>
        <v>#DIV/0!</v>
      </c>
      <c r="G31" s="19">
        <v>0.8</v>
      </c>
      <c r="H31" s="17" t="e">
        <f t="shared" si="3"/>
        <v>#DIV/0!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ht="21" customHeight="1" x14ac:dyDescent="0.3">
      <c r="A32" s="21" cm="1">
        <f t="array" ref="A32">1+COUNT(_xlfn.UNIQUE(_xlfn._xlws.FILTER($F$4:$F$127, $F$4:$F$127 &gt; F32)))</f>
        <v>1</v>
      </c>
      <c r="B32" s="2" t="s">
        <v>68</v>
      </c>
      <c r="C32" s="2"/>
      <c r="D32" s="2"/>
      <c r="E32" s="2"/>
      <c r="F32" s="15" t="e">
        <f t="shared" si="2"/>
        <v>#DIV/0!</v>
      </c>
      <c r="G32" s="19">
        <v>0.8</v>
      </c>
      <c r="H32" s="17" t="e">
        <f t="shared" si="3"/>
        <v>#DIV/0!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ht="21" customHeight="1" x14ac:dyDescent="0.3">
      <c r="A33" s="21" cm="1">
        <f t="array" ref="A33">1+COUNT(_xlfn.UNIQUE(_xlfn._xlws.FILTER($F$4:$F$127, $F$4:$F$127 &gt; F33)))</f>
        <v>1</v>
      </c>
      <c r="B33" s="2" t="s">
        <v>0</v>
      </c>
      <c r="C33" s="2"/>
      <c r="D33" s="2"/>
      <c r="E33" s="2"/>
      <c r="F33" s="15" t="e">
        <f t="shared" si="2"/>
        <v>#DIV/0!</v>
      </c>
      <c r="G33" s="19">
        <v>0.8</v>
      </c>
      <c r="H33" s="17" t="e">
        <f t="shared" si="3"/>
        <v>#DIV/0!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21" customHeight="1" x14ac:dyDescent="0.3">
      <c r="A34" s="21" cm="1">
        <f t="array" ref="A34">1+COUNT(_xlfn.UNIQUE(_xlfn._xlws.FILTER($F$4:$F$127, $F$4:$F$127 &gt; F34)))</f>
        <v>1</v>
      </c>
      <c r="B34" s="2" t="s">
        <v>21</v>
      </c>
      <c r="C34" s="2"/>
      <c r="D34" s="2"/>
      <c r="E34" s="2"/>
      <c r="F34" s="15" t="e">
        <f t="shared" si="2"/>
        <v>#DIV/0!</v>
      </c>
      <c r="G34" s="19">
        <v>0.82</v>
      </c>
      <c r="H34" s="17" t="e">
        <f t="shared" si="3"/>
        <v>#DIV/0!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21" customHeight="1" x14ac:dyDescent="0.3">
      <c r="A35" s="21" cm="1">
        <f t="array" ref="A35">1+COUNT(_xlfn.UNIQUE(_xlfn._xlws.FILTER($F$4:$F$127, $F$4:$F$127 &gt; F35)))</f>
        <v>1</v>
      </c>
      <c r="B35" s="2" t="s">
        <v>102</v>
      </c>
      <c r="C35" s="2"/>
      <c r="D35" s="2"/>
      <c r="E35" s="2"/>
      <c r="F35" s="15" t="e">
        <f t="shared" si="2"/>
        <v>#DIV/0!</v>
      </c>
      <c r="G35" s="19">
        <v>0.8</v>
      </c>
      <c r="H35" s="17" t="e">
        <f t="shared" si="3"/>
        <v>#DIV/0!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21" customHeight="1" x14ac:dyDescent="0.3">
      <c r="A36" s="21" cm="1">
        <f t="array" ref="A36">1+COUNT(_xlfn.UNIQUE(_xlfn._xlws.FILTER($F$4:$F$127, $F$4:$F$127 &gt; F36)))</f>
        <v>1</v>
      </c>
      <c r="B36" s="2" t="s">
        <v>29</v>
      </c>
      <c r="C36" s="2"/>
      <c r="D36" s="2"/>
      <c r="E36" s="2"/>
      <c r="F36" s="15" t="e">
        <f t="shared" ref="F36:F67" si="4">E36/D36</f>
        <v>#DIV/0!</v>
      </c>
      <c r="G36" s="19">
        <v>0.8</v>
      </c>
      <c r="H36" s="17" t="e">
        <f t="shared" ref="H36:H67" si="5">F36/G36</f>
        <v>#DIV/0!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ht="21" customHeight="1" x14ac:dyDescent="0.3">
      <c r="A37" s="21" cm="1">
        <f t="array" ref="A37">1+COUNT(_xlfn.UNIQUE(_xlfn._xlws.FILTER($F$4:$F$127, $F$4:$F$127 &gt; F37)))</f>
        <v>1</v>
      </c>
      <c r="B37" s="2" t="s">
        <v>38</v>
      </c>
      <c r="C37" s="2"/>
      <c r="D37" s="2"/>
      <c r="E37" s="2"/>
      <c r="F37" s="15" t="e">
        <f t="shared" si="4"/>
        <v>#DIV/0!</v>
      </c>
      <c r="G37" s="19">
        <v>0.82</v>
      </c>
      <c r="H37" s="17" t="e">
        <f t="shared" si="5"/>
        <v>#DIV/0!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21" customHeight="1" x14ac:dyDescent="0.3">
      <c r="A38" s="21" cm="1">
        <f t="array" ref="A38">1+COUNT(_xlfn.UNIQUE(_xlfn._xlws.FILTER($F$4:$F$127, $F$4:$F$127 &gt; F38)))</f>
        <v>1</v>
      </c>
      <c r="B38" s="2" t="s">
        <v>69</v>
      </c>
      <c r="C38" s="2"/>
      <c r="D38" s="2"/>
      <c r="E38" s="2"/>
      <c r="F38" s="15" t="e">
        <f t="shared" si="4"/>
        <v>#DIV/0!</v>
      </c>
      <c r="G38" s="19">
        <v>0.8</v>
      </c>
      <c r="H38" s="17" t="e">
        <f t="shared" si="5"/>
        <v>#DIV/0!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21" customHeight="1" x14ac:dyDescent="0.3">
      <c r="A39" s="21" cm="1">
        <f t="array" ref="A39">1+COUNT(_xlfn.UNIQUE(_xlfn._xlws.FILTER($F$4:$F$127, $F$4:$F$127 &gt; F39)))</f>
        <v>1</v>
      </c>
      <c r="B39" s="2" t="s">
        <v>93</v>
      </c>
      <c r="C39" s="2"/>
      <c r="D39" s="2"/>
      <c r="E39" s="2"/>
      <c r="F39" s="15" t="e">
        <f t="shared" si="4"/>
        <v>#DIV/0!</v>
      </c>
      <c r="G39" s="19">
        <v>0.8</v>
      </c>
      <c r="H39" s="17" t="e">
        <f t="shared" si="5"/>
        <v>#DIV/0!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21" customHeight="1" x14ac:dyDescent="0.3">
      <c r="A40" s="21" cm="1">
        <f t="array" ref="A40">1+COUNT(_xlfn.UNIQUE(_xlfn._xlws.FILTER($F$4:$F$127, $F$4:$F$127 &gt; F40)))</f>
        <v>1</v>
      </c>
      <c r="B40" s="2" t="s">
        <v>65</v>
      </c>
      <c r="C40" s="2"/>
      <c r="D40" s="2"/>
      <c r="E40" s="2"/>
      <c r="F40" s="15" t="e">
        <f t="shared" si="4"/>
        <v>#DIV/0!</v>
      </c>
      <c r="G40" s="19">
        <v>0.8</v>
      </c>
      <c r="H40" s="17" t="e">
        <f t="shared" si="5"/>
        <v>#DIV/0!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21" customHeight="1" x14ac:dyDescent="0.3">
      <c r="A41" s="21" cm="1">
        <f t="array" ref="A41">1+COUNT(_xlfn.UNIQUE(_xlfn._xlws.FILTER($F$4:$F$127, $F$4:$F$127 &gt; F41)))</f>
        <v>1</v>
      </c>
      <c r="B41" s="2" t="s">
        <v>35</v>
      </c>
      <c r="C41" s="2"/>
      <c r="D41" s="2"/>
      <c r="E41" s="2"/>
      <c r="F41" s="15" t="e">
        <f t="shared" si="4"/>
        <v>#DIV/0!</v>
      </c>
      <c r="G41" s="19">
        <v>0.8</v>
      </c>
      <c r="H41" s="17" t="e">
        <f t="shared" si="5"/>
        <v>#DIV/0!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21" customHeight="1" x14ac:dyDescent="0.3">
      <c r="A42" s="21" cm="1">
        <f t="array" ref="A42">1+COUNT(_xlfn.UNIQUE(_xlfn._xlws.FILTER($F$4:$F$127, $F$4:$F$127 &gt; F42)))</f>
        <v>1</v>
      </c>
      <c r="B42" s="2" t="s">
        <v>39</v>
      </c>
      <c r="C42" s="2"/>
      <c r="D42" s="2"/>
      <c r="E42" s="2"/>
      <c r="F42" s="15" t="e">
        <f t="shared" si="4"/>
        <v>#DIV/0!</v>
      </c>
      <c r="G42" s="19">
        <v>0.8</v>
      </c>
      <c r="H42" s="17" t="e">
        <f t="shared" si="5"/>
        <v>#DIV/0!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21" customHeight="1" x14ac:dyDescent="0.3">
      <c r="A43" s="21" cm="1">
        <f t="array" ref="A43">1+COUNT(_xlfn.UNIQUE(_xlfn._xlws.FILTER($F$4:$F$127, $F$4:$F$127 &gt; F43)))</f>
        <v>1</v>
      </c>
      <c r="B43" s="2" t="s">
        <v>49</v>
      </c>
      <c r="C43" s="2"/>
      <c r="D43" s="2"/>
      <c r="E43" s="2"/>
      <c r="F43" s="15" t="e">
        <f t="shared" si="4"/>
        <v>#DIV/0!</v>
      </c>
      <c r="G43" s="19">
        <v>0.8</v>
      </c>
      <c r="H43" s="17" t="e">
        <f t="shared" si="5"/>
        <v>#DIV/0!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21" customHeight="1" x14ac:dyDescent="0.3">
      <c r="A44" s="21" cm="1">
        <f t="array" ref="A44">1+COUNT(_xlfn.UNIQUE(_xlfn._xlws.FILTER($F$4:$F$127, $F$4:$F$127 &gt; F44)))</f>
        <v>1</v>
      </c>
      <c r="B44" s="2" t="s">
        <v>71</v>
      </c>
      <c r="C44" s="2"/>
      <c r="D44" s="2"/>
      <c r="E44" s="2"/>
      <c r="F44" s="15" t="e">
        <f t="shared" si="4"/>
        <v>#DIV/0!</v>
      </c>
      <c r="G44" s="19">
        <v>0.8</v>
      </c>
      <c r="H44" s="17" t="e">
        <f t="shared" si="5"/>
        <v>#DIV/0!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21" customHeight="1" x14ac:dyDescent="0.3">
      <c r="A45" s="21" cm="1">
        <f t="array" ref="A45">1+COUNT(_xlfn.UNIQUE(_xlfn._xlws.FILTER($F$4:$F$127, $F$4:$F$127 &gt; F45)))</f>
        <v>1</v>
      </c>
      <c r="B45" s="2" t="s">
        <v>3</v>
      </c>
      <c r="C45" s="2"/>
      <c r="D45" s="2"/>
      <c r="E45" s="2"/>
      <c r="F45" s="15" t="e">
        <f t="shared" si="4"/>
        <v>#DIV/0!</v>
      </c>
      <c r="G45" s="19">
        <v>0.8</v>
      </c>
      <c r="H45" s="17" t="e">
        <f t="shared" si="5"/>
        <v>#DIV/0!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21" customHeight="1" x14ac:dyDescent="0.3">
      <c r="A46" s="21" cm="1">
        <f t="array" ref="A46">1+COUNT(_xlfn.UNIQUE(_xlfn._xlws.FILTER($F$4:$F$127, $F$4:$F$127 &gt; F46)))</f>
        <v>1</v>
      </c>
      <c r="B46" s="2" t="s">
        <v>56</v>
      </c>
      <c r="C46" s="2"/>
      <c r="D46" s="2"/>
      <c r="E46" s="2"/>
      <c r="F46" s="15" t="e">
        <f t="shared" si="4"/>
        <v>#DIV/0!</v>
      </c>
      <c r="G46" s="19">
        <v>0.8</v>
      </c>
      <c r="H46" s="17" t="e">
        <f t="shared" si="5"/>
        <v>#DIV/0!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21" customHeight="1" x14ac:dyDescent="0.3">
      <c r="A47" s="21" cm="1">
        <f t="array" ref="A47">1+COUNT(_xlfn.UNIQUE(_xlfn._xlws.FILTER($F$4:$F$127, $F$4:$F$127 &gt; F47)))</f>
        <v>1</v>
      </c>
      <c r="B47" s="2" t="s">
        <v>26</v>
      </c>
      <c r="C47" s="2"/>
      <c r="D47" s="2"/>
      <c r="E47" s="2"/>
      <c r="F47" s="15" t="e">
        <f t="shared" si="4"/>
        <v>#DIV/0!</v>
      </c>
      <c r="G47" s="19">
        <v>0.8</v>
      </c>
      <c r="H47" s="17" t="e">
        <f t="shared" si="5"/>
        <v>#DIV/0!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ht="21" customHeight="1" x14ac:dyDescent="0.3">
      <c r="A48" s="21" cm="1">
        <f t="array" ref="A48">1+COUNT(_xlfn.UNIQUE(_xlfn._xlws.FILTER($F$4:$F$127, $F$4:$F$127 &gt; F48)))</f>
        <v>1</v>
      </c>
      <c r="B48" s="2" t="s">
        <v>33</v>
      </c>
      <c r="C48" s="2"/>
      <c r="D48" s="2"/>
      <c r="E48" s="2"/>
      <c r="F48" s="15" t="e">
        <f t="shared" si="4"/>
        <v>#DIV/0!</v>
      </c>
      <c r="G48" s="19">
        <v>0.82</v>
      </c>
      <c r="H48" s="17" t="e">
        <f t="shared" si="5"/>
        <v>#DIV/0!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21" customHeight="1" x14ac:dyDescent="0.3">
      <c r="A49" s="21" cm="1">
        <f t="array" ref="A49">1+COUNT(_xlfn.UNIQUE(_xlfn._xlws.FILTER($F$4:$F$127, $F$4:$F$127 &gt; F49)))</f>
        <v>1</v>
      </c>
      <c r="B49" s="2" t="s">
        <v>89</v>
      </c>
      <c r="C49" s="2"/>
      <c r="D49" s="2"/>
      <c r="E49" s="2"/>
      <c r="F49" s="15" t="e">
        <f t="shared" si="4"/>
        <v>#DIV/0!</v>
      </c>
      <c r="G49" s="19">
        <v>0.8</v>
      </c>
      <c r="H49" s="17" t="e">
        <f t="shared" si="5"/>
        <v>#DIV/0!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21" customHeight="1" x14ac:dyDescent="0.3">
      <c r="A50" s="21" cm="1">
        <f t="array" ref="A50">1+COUNT(_xlfn.UNIQUE(_xlfn._xlws.FILTER($F$4:$F$127, $F$4:$F$127 &gt; F50)))</f>
        <v>1</v>
      </c>
      <c r="B50" s="2" t="s">
        <v>112</v>
      </c>
      <c r="C50" s="2"/>
      <c r="D50" s="2"/>
      <c r="E50" s="2"/>
      <c r="F50" s="15" t="e">
        <f t="shared" si="4"/>
        <v>#DIV/0!</v>
      </c>
      <c r="G50" s="19">
        <v>0.8</v>
      </c>
      <c r="H50" s="17" t="e">
        <f t="shared" si="5"/>
        <v>#DIV/0!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21" customHeight="1" x14ac:dyDescent="0.3">
      <c r="A51" s="21" cm="1">
        <f t="array" ref="A51">1+COUNT(_xlfn.UNIQUE(_xlfn._xlws.FILTER($F$4:$F$127, $F$4:$F$127 &gt; F51)))</f>
        <v>1</v>
      </c>
      <c r="B51" s="2" t="s">
        <v>123</v>
      </c>
      <c r="C51" s="2"/>
      <c r="D51" s="2"/>
      <c r="E51" s="2"/>
      <c r="F51" s="15" t="e">
        <f t="shared" si="4"/>
        <v>#DIV/0!</v>
      </c>
      <c r="G51" s="19">
        <v>0.8</v>
      </c>
      <c r="H51" s="17" t="e">
        <f t="shared" si="5"/>
        <v>#DIV/0!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21" customHeight="1" x14ac:dyDescent="0.3">
      <c r="A52" s="21" cm="1">
        <f t="array" ref="A52">1+COUNT(_xlfn.UNIQUE(_xlfn._xlws.FILTER($F$4:$F$127, $F$4:$F$127 &gt; F52)))</f>
        <v>1</v>
      </c>
      <c r="B52" s="2" t="s">
        <v>79</v>
      </c>
      <c r="C52" s="2"/>
      <c r="D52" s="2"/>
      <c r="E52" s="2"/>
      <c r="F52" s="15" t="e">
        <f t="shared" si="4"/>
        <v>#DIV/0!</v>
      </c>
      <c r="G52" s="19">
        <v>0.8</v>
      </c>
      <c r="H52" s="17" t="e">
        <f t="shared" si="5"/>
        <v>#DIV/0!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ht="21" customHeight="1" x14ac:dyDescent="0.3">
      <c r="A53" s="21" cm="1">
        <f t="array" ref="A53">1+COUNT(_xlfn.UNIQUE(_xlfn._xlws.FILTER($F$4:$F$127, $F$4:$F$127 &gt; F53)))</f>
        <v>1</v>
      </c>
      <c r="B53" s="2" t="s">
        <v>96</v>
      </c>
      <c r="C53" s="2"/>
      <c r="D53" s="2"/>
      <c r="E53" s="2"/>
      <c r="F53" s="15" t="e">
        <f t="shared" si="4"/>
        <v>#DIV/0!</v>
      </c>
      <c r="G53" s="19">
        <v>0.8</v>
      </c>
      <c r="H53" s="17" t="e">
        <f t="shared" si="5"/>
        <v>#DIV/0!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ht="21" customHeight="1" x14ac:dyDescent="0.3">
      <c r="A54" s="21" cm="1">
        <f t="array" ref="A54">1+COUNT(_xlfn.UNIQUE(_xlfn._xlws.FILTER($F$4:$F$127, $F$4:$F$127 &gt; F54)))</f>
        <v>1</v>
      </c>
      <c r="B54" s="117" t="s">
        <v>108</v>
      </c>
      <c r="C54" s="2"/>
      <c r="D54" s="2"/>
      <c r="E54" s="2"/>
      <c r="F54" s="15" t="e">
        <f t="shared" si="4"/>
        <v>#DIV/0!</v>
      </c>
      <c r="G54" s="19">
        <v>0.8</v>
      </c>
      <c r="H54" s="17" t="e">
        <f t="shared" si="5"/>
        <v>#DIV/0!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ht="21" customHeight="1" x14ac:dyDescent="0.3">
      <c r="A55" s="21" cm="1">
        <f t="array" ref="A55">1+COUNT(_xlfn.UNIQUE(_xlfn._xlws.FILTER($F$4:$F$127, $F$4:$F$127 &gt; F55)))</f>
        <v>1</v>
      </c>
      <c r="B55" s="2" t="s">
        <v>104</v>
      </c>
      <c r="C55" s="2"/>
      <c r="D55" s="2"/>
      <c r="E55" s="2"/>
      <c r="F55" s="15" t="e">
        <f t="shared" si="4"/>
        <v>#DIV/0!</v>
      </c>
      <c r="G55" s="19">
        <v>0.8</v>
      </c>
      <c r="H55" s="17" t="e">
        <f t="shared" si="5"/>
        <v>#DIV/0!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ht="21" customHeight="1" x14ac:dyDescent="0.3">
      <c r="A56" s="21" cm="1">
        <f t="array" ref="A56">1+COUNT(_xlfn.UNIQUE(_xlfn._xlws.FILTER($F$4:$F$127, $F$4:$F$127 &gt; F56)))</f>
        <v>1</v>
      </c>
      <c r="B56" s="2" t="s">
        <v>106</v>
      </c>
      <c r="C56" s="2"/>
      <c r="D56" s="2"/>
      <c r="E56" s="2"/>
      <c r="F56" s="15" t="e">
        <f t="shared" si="4"/>
        <v>#DIV/0!</v>
      </c>
      <c r="G56" s="19">
        <v>0.8</v>
      </c>
      <c r="H56" s="17" t="e">
        <f t="shared" si="5"/>
        <v>#DIV/0!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ht="21" customHeight="1" x14ac:dyDescent="0.3">
      <c r="A57" s="21" cm="1">
        <f t="array" ref="A57">1+COUNT(_xlfn.UNIQUE(_xlfn._xlws.FILTER($F$4:$F$127, $F$4:$F$127 &gt; F57)))</f>
        <v>1</v>
      </c>
      <c r="B57" s="2" t="s">
        <v>7</v>
      </c>
      <c r="C57" s="2"/>
      <c r="D57" s="2"/>
      <c r="E57" s="2"/>
      <c r="F57" s="15" t="e">
        <f t="shared" si="4"/>
        <v>#DIV/0!</v>
      </c>
      <c r="G57" s="19">
        <v>0.82</v>
      </c>
      <c r="H57" s="17" t="e">
        <f t="shared" si="5"/>
        <v>#DIV/0!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 ht="21" customHeight="1" x14ac:dyDescent="0.3">
      <c r="A58" s="21" cm="1">
        <f t="array" ref="A58">1+COUNT(_xlfn.UNIQUE(_xlfn._xlws.FILTER($F$4:$F$127, $F$4:$F$127 &gt; F58)))</f>
        <v>1</v>
      </c>
      <c r="B58" s="2" t="s">
        <v>95</v>
      </c>
      <c r="C58" s="2"/>
      <c r="D58" s="2"/>
      <c r="E58" s="2"/>
      <c r="F58" s="15" t="e">
        <f t="shared" si="4"/>
        <v>#DIV/0!</v>
      </c>
      <c r="G58" s="19">
        <v>0.8</v>
      </c>
      <c r="H58" s="17" t="e">
        <f t="shared" si="5"/>
        <v>#DIV/0!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 ht="21" customHeight="1" x14ac:dyDescent="0.3">
      <c r="A59" s="21" cm="1">
        <f t="array" ref="A59">1+COUNT(_xlfn.UNIQUE(_xlfn._xlws.FILTER($F$4:$F$127, $F$4:$F$127 &gt; F59)))</f>
        <v>1</v>
      </c>
      <c r="B59" s="2" t="s">
        <v>30</v>
      </c>
      <c r="C59" s="2"/>
      <c r="D59" s="2"/>
      <c r="E59" s="2"/>
      <c r="F59" s="15" t="e">
        <f t="shared" si="4"/>
        <v>#DIV/0!</v>
      </c>
      <c r="G59" s="19">
        <v>0.8</v>
      </c>
      <c r="H59" s="17" t="e">
        <f t="shared" si="5"/>
        <v>#DIV/0!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 ht="21" customHeight="1" x14ac:dyDescent="0.3">
      <c r="A60" s="21" cm="1">
        <f t="array" ref="A60">1+COUNT(_xlfn.UNIQUE(_xlfn._xlws.FILTER($F$4:$F$127, $F$4:$F$127 &gt; F60)))</f>
        <v>1</v>
      </c>
      <c r="B60" s="2" t="s">
        <v>80</v>
      </c>
      <c r="C60" s="2"/>
      <c r="D60" s="2"/>
      <c r="E60" s="2"/>
      <c r="F60" s="15" t="e">
        <f t="shared" si="4"/>
        <v>#DIV/0!</v>
      </c>
      <c r="G60" s="19">
        <v>0.8</v>
      </c>
      <c r="H60" s="17" t="e">
        <f t="shared" si="5"/>
        <v>#DIV/0!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 ht="21" customHeight="1" x14ac:dyDescent="0.3">
      <c r="A61" s="21" cm="1">
        <f t="array" ref="A61">1+COUNT(_xlfn.UNIQUE(_xlfn._xlws.FILTER($F$4:$F$127, $F$4:$F$127 &gt; F61)))</f>
        <v>1</v>
      </c>
      <c r="B61" s="2" t="s">
        <v>82</v>
      </c>
      <c r="C61" s="2"/>
      <c r="D61" s="2"/>
      <c r="E61" s="2"/>
      <c r="F61" s="15" t="e">
        <f t="shared" si="4"/>
        <v>#DIV/0!</v>
      </c>
      <c r="G61" s="19">
        <v>0.8</v>
      </c>
      <c r="H61" s="17" t="e">
        <f t="shared" si="5"/>
        <v>#DIV/0!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ht="21" customHeight="1" x14ac:dyDescent="0.3">
      <c r="A62" s="21" cm="1">
        <f t="array" ref="A62">1+COUNT(_xlfn.UNIQUE(_xlfn._xlws.FILTER($F$4:$F$127, $F$4:$F$127 &gt; F62)))</f>
        <v>1</v>
      </c>
      <c r="B62" s="2" t="s">
        <v>47</v>
      </c>
      <c r="C62" s="2"/>
      <c r="D62" s="2"/>
      <c r="E62" s="2"/>
      <c r="F62" s="15" t="e">
        <f t="shared" si="4"/>
        <v>#DIV/0!</v>
      </c>
      <c r="G62" s="19">
        <v>0.8</v>
      </c>
      <c r="H62" s="17" t="e">
        <f t="shared" si="5"/>
        <v>#DIV/0!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 ht="21" customHeight="1" x14ac:dyDescent="0.3">
      <c r="A63" s="21" cm="1">
        <f t="array" ref="A63">1+COUNT(_xlfn.UNIQUE(_xlfn._xlws.FILTER($F$4:$F$127, $F$4:$F$127 &gt; F63)))</f>
        <v>1</v>
      </c>
      <c r="B63" s="2" t="s">
        <v>28</v>
      </c>
      <c r="C63" s="2"/>
      <c r="D63" s="2"/>
      <c r="E63" s="2"/>
      <c r="F63" s="15" t="e">
        <f t="shared" si="4"/>
        <v>#DIV/0!</v>
      </c>
      <c r="G63" s="19">
        <v>0.82</v>
      </c>
      <c r="H63" s="17" t="e">
        <f t="shared" si="5"/>
        <v>#DIV/0!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 ht="21" customHeight="1" x14ac:dyDescent="0.3">
      <c r="A64" s="21" cm="1">
        <f t="array" ref="A64">1+COUNT(_xlfn.UNIQUE(_xlfn._xlws.FILTER($F$4:$F$127, $F$4:$F$127 &gt; F64)))</f>
        <v>1</v>
      </c>
      <c r="B64" s="2" t="s">
        <v>107</v>
      </c>
      <c r="C64" s="2"/>
      <c r="D64" s="2"/>
      <c r="E64" s="2"/>
      <c r="F64" s="15" t="e">
        <f t="shared" si="4"/>
        <v>#DIV/0!</v>
      </c>
      <c r="G64" s="19">
        <v>0.8</v>
      </c>
      <c r="H64" s="17" t="e">
        <f t="shared" si="5"/>
        <v>#DIV/0!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 ht="21" customHeight="1" x14ac:dyDescent="0.3">
      <c r="A65" s="21" cm="1">
        <f t="array" ref="A65">1+COUNT(_xlfn.UNIQUE(_xlfn._xlws.FILTER($F$4:$F$127, $F$4:$F$127 &gt; F65)))</f>
        <v>1</v>
      </c>
      <c r="B65" s="2" t="s">
        <v>105</v>
      </c>
      <c r="C65" s="2"/>
      <c r="D65" s="2"/>
      <c r="E65" s="2"/>
      <c r="F65" s="15" t="e">
        <f t="shared" si="4"/>
        <v>#DIV/0!</v>
      </c>
      <c r="G65" s="19">
        <v>0.8</v>
      </c>
      <c r="H65" s="17" t="e">
        <f t="shared" si="5"/>
        <v>#DIV/0!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ht="21" customHeight="1" x14ac:dyDescent="0.3">
      <c r="A66" s="21" cm="1">
        <f t="array" ref="A66">1+COUNT(_xlfn.UNIQUE(_xlfn._xlws.FILTER($F$4:$F$127, $F$4:$F$127 &gt; F66)))</f>
        <v>1</v>
      </c>
      <c r="B66" s="2" t="s">
        <v>97</v>
      </c>
      <c r="C66" s="2"/>
      <c r="D66" s="2"/>
      <c r="E66" s="2"/>
      <c r="F66" s="15" t="e">
        <f t="shared" si="4"/>
        <v>#DIV/0!</v>
      </c>
      <c r="G66" s="19">
        <v>0.8</v>
      </c>
      <c r="H66" s="17" t="e">
        <f t="shared" si="5"/>
        <v>#DIV/0!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 ht="21" customHeight="1" x14ac:dyDescent="0.3">
      <c r="A67" s="21" cm="1">
        <f t="array" ref="A67">1+COUNT(_xlfn.UNIQUE(_xlfn._xlws.FILTER($F$4:$F$127, $F$4:$F$127 &gt; F67)))</f>
        <v>1</v>
      </c>
      <c r="B67" s="2" t="s">
        <v>76</v>
      </c>
      <c r="C67" s="2"/>
      <c r="D67" s="2"/>
      <c r="E67" s="2"/>
      <c r="F67" s="15" t="e">
        <f t="shared" si="4"/>
        <v>#DIV/0!</v>
      </c>
      <c r="G67" s="19">
        <v>0.8</v>
      </c>
      <c r="H67" s="17" t="e">
        <f t="shared" si="5"/>
        <v>#DIV/0!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ht="21" customHeight="1" x14ac:dyDescent="0.3">
      <c r="A68" s="21" cm="1">
        <f t="array" ref="A68">1+COUNT(_xlfn.UNIQUE(_xlfn._xlws.FILTER($F$4:$F$127, $F$4:$F$127 &gt; F68)))</f>
        <v>1</v>
      </c>
      <c r="B68" s="2" t="s">
        <v>118</v>
      </c>
      <c r="C68" s="2"/>
      <c r="D68" s="2"/>
      <c r="E68" s="2"/>
      <c r="F68" s="15" t="e">
        <f t="shared" ref="F68:F99" si="6">E68/D68</f>
        <v>#DIV/0!</v>
      </c>
      <c r="G68" s="19">
        <v>0.8</v>
      </c>
      <c r="H68" s="17" t="e">
        <f t="shared" ref="H68:H99" si="7">F68/G68</f>
        <v>#DIV/0!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 ht="21" customHeight="1" x14ac:dyDescent="0.3">
      <c r="A69" s="21" cm="1">
        <f t="array" ref="A69">1+COUNT(_xlfn.UNIQUE(_xlfn._xlws.FILTER($F$4:$F$127, $F$4:$F$127 &gt; F69)))</f>
        <v>1</v>
      </c>
      <c r="B69" s="2" t="s">
        <v>43</v>
      </c>
      <c r="C69" s="2"/>
      <c r="D69" s="2"/>
      <c r="E69" s="2"/>
      <c r="F69" s="15" t="e">
        <f t="shared" si="6"/>
        <v>#DIV/0!</v>
      </c>
      <c r="G69" s="19">
        <v>0.8</v>
      </c>
      <c r="H69" s="17" t="e">
        <f t="shared" si="7"/>
        <v>#DIV/0!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 ht="21" customHeight="1" x14ac:dyDescent="0.3">
      <c r="A70" s="21" cm="1">
        <f t="array" ref="A70">1+COUNT(_xlfn.UNIQUE(_xlfn._xlws.FILTER($F$4:$F$127, $F$4:$F$127 &gt; F70)))</f>
        <v>1</v>
      </c>
      <c r="B70" s="2" t="s">
        <v>73</v>
      </c>
      <c r="C70" s="2"/>
      <c r="D70" s="2"/>
      <c r="E70" s="2"/>
      <c r="F70" s="15" t="e">
        <f t="shared" si="6"/>
        <v>#DIV/0!</v>
      </c>
      <c r="G70" s="19">
        <v>0.8</v>
      </c>
      <c r="H70" s="17" t="e">
        <f t="shared" si="7"/>
        <v>#DIV/0!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 ht="21" customHeight="1" x14ac:dyDescent="0.3">
      <c r="A71" s="21" cm="1">
        <f t="array" ref="A71">1+COUNT(_xlfn.UNIQUE(_xlfn._xlws.FILTER($F$4:$F$127, $F$4:$F$127 &gt; F71)))</f>
        <v>1</v>
      </c>
      <c r="B71" s="2" t="s">
        <v>23</v>
      </c>
      <c r="C71" s="2"/>
      <c r="D71" s="2"/>
      <c r="E71" s="2"/>
      <c r="F71" s="15" t="e">
        <f t="shared" si="6"/>
        <v>#DIV/0!</v>
      </c>
      <c r="G71" s="19">
        <v>0.8</v>
      </c>
      <c r="H71" s="17" t="e">
        <f t="shared" si="7"/>
        <v>#DIV/0!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 ht="21" customHeight="1" x14ac:dyDescent="0.3">
      <c r="A72" s="21" cm="1">
        <f t="array" ref="A72">1+COUNT(_xlfn.UNIQUE(_xlfn._xlws.FILTER($F$4:$F$127, $F$4:$F$127 &gt; F72)))</f>
        <v>1</v>
      </c>
      <c r="B72" s="117" t="s">
        <v>114</v>
      </c>
      <c r="C72" s="2"/>
      <c r="D72" s="2"/>
      <c r="E72" s="2"/>
      <c r="F72" s="15" t="e">
        <f t="shared" si="6"/>
        <v>#DIV/0!</v>
      </c>
      <c r="G72" s="19">
        <v>0.8</v>
      </c>
      <c r="H72" s="17" t="e">
        <f t="shared" si="7"/>
        <v>#DIV/0!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 ht="21" customHeight="1" x14ac:dyDescent="0.3">
      <c r="A73" s="21" cm="1">
        <f t="array" ref="A73">1+COUNT(_xlfn.UNIQUE(_xlfn._xlws.FILTER($F$4:$F$127, $F$4:$F$127 &gt; F73)))</f>
        <v>1</v>
      </c>
      <c r="B73" s="2" t="s">
        <v>85</v>
      </c>
      <c r="C73" s="2"/>
      <c r="D73" s="2"/>
      <c r="E73" s="2"/>
      <c r="F73" s="15" t="e">
        <f t="shared" si="6"/>
        <v>#DIV/0!</v>
      </c>
      <c r="G73" s="19">
        <v>0.8</v>
      </c>
      <c r="H73" s="17" t="e">
        <f t="shared" si="7"/>
        <v>#DIV/0!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 ht="21" customHeight="1" x14ac:dyDescent="0.3">
      <c r="A74" s="21" cm="1">
        <f t="array" ref="A74">1+COUNT(_xlfn.UNIQUE(_xlfn._xlws.FILTER($F$4:$F$127, $F$4:$F$127 &gt; F74)))</f>
        <v>1</v>
      </c>
      <c r="B74" s="2" t="s">
        <v>60</v>
      </c>
      <c r="C74" s="2"/>
      <c r="D74" s="2"/>
      <c r="E74" s="2"/>
      <c r="F74" s="15" t="e">
        <f t="shared" si="6"/>
        <v>#DIV/0!</v>
      </c>
      <c r="G74" s="19">
        <v>0.8</v>
      </c>
      <c r="H74" s="17" t="e">
        <f t="shared" si="7"/>
        <v>#DIV/0!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 ht="21" customHeight="1" x14ac:dyDescent="0.3">
      <c r="A75" s="21" cm="1">
        <f t="array" ref="A75">1+COUNT(_xlfn.UNIQUE(_xlfn._xlws.FILTER($F$4:$F$127, $F$4:$F$127 &gt; F75)))</f>
        <v>1</v>
      </c>
      <c r="B75" s="2" t="s">
        <v>44</v>
      </c>
      <c r="C75" s="2"/>
      <c r="D75" s="2"/>
      <c r="E75" s="2"/>
      <c r="F75" s="15" t="e">
        <f t="shared" si="6"/>
        <v>#DIV/0!</v>
      </c>
      <c r="G75" s="19">
        <v>0.8</v>
      </c>
      <c r="H75" s="17" t="e">
        <f t="shared" si="7"/>
        <v>#DIV/0!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 ht="21" customHeight="1" x14ac:dyDescent="0.3">
      <c r="A76" s="21" cm="1">
        <f t="array" ref="A76">1+COUNT(_xlfn.UNIQUE(_xlfn._xlws.FILTER($F$4:$F$127, $F$4:$F$127 &gt; F76)))</f>
        <v>1</v>
      </c>
      <c r="B76" s="2" t="s">
        <v>91</v>
      </c>
      <c r="C76" s="2"/>
      <c r="D76" s="2"/>
      <c r="E76" s="2"/>
      <c r="F76" s="15" t="e">
        <f t="shared" si="6"/>
        <v>#DIV/0!</v>
      </c>
      <c r="G76" s="19">
        <v>0.8</v>
      </c>
      <c r="H76" s="17" t="e">
        <f t="shared" si="7"/>
        <v>#DIV/0!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 ht="21" customHeight="1" x14ac:dyDescent="0.3">
      <c r="A77" s="21" cm="1">
        <f t="array" ref="A77">1+COUNT(_xlfn.UNIQUE(_xlfn._xlws.FILTER($F$4:$F$127, $F$4:$F$127 &gt; F77)))</f>
        <v>1</v>
      </c>
      <c r="B77" s="2" t="s">
        <v>10</v>
      </c>
      <c r="C77" s="2"/>
      <c r="D77" s="2"/>
      <c r="E77" s="2"/>
      <c r="F77" s="15" t="e">
        <f t="shared" si="6"/>
        <v>#DIV/0!</v>
      </c>
      <c r="G77" s="19">
        <v>0.82</v>
      </c>
      <c r="H77" s="17" t="e">
        <f t="shared" si="7"/>
        <v>#DIV/0!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 ht="21" customHeight="1" x14ac:dyDescent="0.3">
      <c r="A78" s="21" cm="1">
        <f t="array" ref="A78">1+COUNT(_xlfn.UNIQUE(_xlfn._xlws.FILTER($F$4:$F$127, $F$4:$F$127 &gt; F78)))</f>
        <v>1</v>
      </c>
      <c r="B78" s="2" t="s">
        <v>6</v>
      </c>
      <c r="C78" s="2"/>
      <c r="D78" s="2"/>
      <c r="E78" s="2"/>
      <c r="F78" s="15" t="e">
        <f t="shared" si="6"/>
        <v>#DIV/0!</v>
      </c>
      <c r="G78" s="19">
        <v>0.82</v>
      </c>
      <c r="H78" s="17" t="e">
        <f t="shared" si="7"/>
        <v>#DIV/0!</v>
      </c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 ht="21" customHeight="1" x14ac:dyDescent="0.3">
      <c r="A79" s="21" cm="1">
        <f t="array" ref="A79">1+COUNT(_xlfn.UNIQUE(_xlfn._xlws.FILTER($F$4:$F$127, $F$4:$F$127 &gt; F79)))</f>
        <v>1</v>
      </c>
      <c r="B79" s="2" t="s">
        <v>67</v>
      </c>
      <c r="C79" s="2"/>
      <c r="D79" s="2"/>
      <c r="E79" s="2"/>
      <c r="F79" s="15" t="e">
        <f t="shared" si="6"/>
        <v>#DIV/0!</v>
      </c>
      <c r="G79" s="19">
        <v>0.8</v>
      </c>
      <c r="H79" s="17" t="e">
        <f t="shared" si="7"/>
        <v>#DIV/0!</v>
      </c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ht="21" customHeight="1" x14ac:dyDescent="0.3">
      <c r="A80" s="21" cm="1">
        <f t="array" ref="A80">1+COUNT(_xlfn.UNIQUE(_xlfn._xlws.FILTER($F$4:$F$127, $F$4:$F$127 &gt; F80)))</f>
        <v>1</v>
      </c>
      <c r="B80" s="123" t="s">
        <v>109</v>
      </c>
      <c r="C80" s="2"/>
      <c r="D80" s="2"/>
      <c r="E80" s="2"/>
      <c r="F80" s="15" t="e">
        <f t="shared" si="6"/>
        <v>#DIV/0!</v>
      </c>
      <c r="G80" s="19">
        <v>0.8</v>
      </c>
      <c r="H80" s="17" t="e">
        <f t="shared" si="7"/>
        <v>#DIV/0!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 ht="21" customHeight="1" x14ac:dyDescent="0.3">
      <c r="A81" s="21" cm="1">
        <f t="array" ref="A81">1+COUNT(_xlfn.UNIQUE(_xlfn._xlws.FILTER($F$4:$F$127, $F$4:$F$127 &gt; F81)))</f>
        <v>1</v>
      </c>
      <c r="B81" s="2" t="s">
        <v>32</v>
      </c>
      <c r="C81" s="2"/>
      <c r="D81" s="2"/>
      <c r="E81" s="2"/>
      <c r="F81" s="15" t="e">
        <f t="shared" si="6"/>
        <v>#DIV/0!</v>
      </c>
      <c r="G81" s="19">
        <v>0.82</v>
      </c>
      <c r="H81" s="17" t="e">
        <f t="shared" si="7"/>
        <v>#DIV/0!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 ht="21" customHeight="1" x14ac:dyDescent="0.3">
      <c r="A82" s="21" cm="1">
        <f t="array" ref="A82">1+COUNT(_xlfn.UNIQUE(_xlfn._xlws.FILTER($F$4:$F$127, $F$4:$F$127 &gt; F82)))</f>
        <v>1</v>
      </c>
      <c r="B82" s="2" t="s">
        <v>54</v>
      </c>
      <c r="C82" s="2"/>
      <c r="D82" s="2"/>
      <c r="E82" s="2"/>
      <c r="F82" s="15" t="e">
        <f t="shared" si="6"/>
        <v>#DIV/0!</v>
      </c>
      <c r="G82" s="19">
        <v>0.8</v>
      </c>
      <c r="H82" s="17" t="e">
        <f t="shared" si="7"/>
        <v>#DIV/0!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 ht="21" customHeight="1" x14ac:dyDescent="0.3">
      <c r="A83" s="21" cm="1">
        <f t="array" ref="A83">1+COUNT(_xlfn.UNIQUE(_xlfn._xlws.FILTER($F$4:$F$127, $F$4:$F$127 &gt; F83)))</f>
        <v>1</v>
      </c>
      <c r="B83" s="2" t="s">
        <v>62</v>
      </c>
      <c r="C83" s="2"/>
      <c r="D83" s="2"/>
      <c r="E83" s="2"/>
      <c r="F83" s="15" t="e">
        <f t="shared" si="6"/>
        <v>#DIV/0!</v>
      </c>
      <c r="G83" s="19">
        <v>0.8</v>
      </c>
      <c r="H83" s="17" t="e">
        <f t="shared" si="7"/>
        <v>#DIV/0!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 ht="21" customHeight="1" x14ac:dyDescent="0.3">
      <c r="A84" s="21" cm="1">
        <f t="array" ref="A84">1+COUNT(_xlfn.UNIQUE(_xlfn._xlws.FILTER($F$4:$F$127, $F$4:$F$127 &gt; F84)))</f>
        <v>1</v>
      </c>
      <c r="B84" s="2" t="s">
        <v>74</v>
      </c>
      <c r="C84" s="2"/>
      <c r="D84" s="2"/>
      <c r="E84" s="2"/>
      <c r="F84" s="15" t="e">
        <f t="shared" si="6"/>
        <v>#DIV/0!</v>
      </c>
      <c r="G84" s="19">
        <v>0.8</v>
      </c>
      <c r="H84" s="17" t="e">
        <f t="shared" si="7"/>
        <v>#DIV/0!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1:25" ht="21" customHeight="1" x14ac:dyDescent="0.3">
      <c r="A85" s="21" cm="1">
        <f t="array" ref="A85">1+COUNT(_xlfn.UNIQUE(_xlfn._xlws.FILTER($F$4:$F$127, $F$4:$F$127 &gt; F85)))</f>
        <v>1</v>
      </c>
      <c r="B85" s="2" t="s">
        <v>42</v>
      </c>
      <c r="C85" s="2"/>
      <c r="D85" s="2"/>
      <c r="E85" s="2"/>
      <c r="F85" s="15" t="e">
        <f t="shared" si="6"/>
        <v>#DIV/0!</v>
      </c>
      <c r="G85" s="19">
        <v>0.8</v>
      </c>
      <c r="H85" s="17" t="e">
        <f t="shared" si="7"/>
        <v>#DIV/0!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 ht="21" customHeight="1" x14ac:dyDescent="0.3">
      <c r="A86" s="21" cm="1">
        <f t="array" ref="A86">1+COUNT(_xlfn.UNIQUE(_xlfn._xlws.FILTER($F$4:$F$127, $F$4:$F$127 &gt; F86)))</f>
        <v>1</v>
      </c>
      <c r="B86" s="2" t="s">
        <v>31</v>
      </c>
      <c r="C86" s="2"/>
      <c r="D86" s="2"/>
      <c r="E86" s="2"/>
      <c r="F86" s="15" t="e">
        <f t="shared" si="6"/>
        <v>#DIV/0!</v>
      </c>
      <c r="G86" s="19">
        <v>0.8</v>
      </c>
      <c r="H86" s="17" t="e">
        <f t="shared" si="7"/>
        <v>#DIV/0!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 ht="21" customHeight="1" x14ac:dyDescent="0.3">
      <c r="A87" s="21" cm="1">
        <f t="array" ref="A87">1+COUNT(_xlfn.UNIQUE(_xlfn._xlws.FILTER($F$4:$F$127, $F$4:$F$127 &gt; F87)))</f>
        <v>1</v>
      </c>
      <c r="B87" s="2" t="s">
        <v>16</v>
      </c>
      <c r="C87" s="2"/>
      <c r="D87" s="2"/>
      <c r="E87" s="2"/>
      <c r="F87" s="15" t="e">
        <f t="shared" si="6"/>
        <v>#DIV/0!</v>
      </c>
      <c r="G87" s="19">
        <v>0.8</v>
      </c>
      <c r="H87" s="17" t="e">
        <f t="shared" si="7"/>
        <v>#DIV/0!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 ht="21" customHeight="1" x14ac:dyDescent="0.3">
      <c r="A88" s="21" cm="1">
        <f t="array" ref="A88">1+COUNT(_xlfn.UNIQUE(_xlfn._xlws.FILTER($F$4:$F$127, $F$4:$F$127 &gt; F88)))</f>
        <v>1</v>
      </c>
      <c r="B88" s="2" t="s">
        <v>72</v>
      </c>
      <c r="C88" s="2"/>
      <c r="D88" s="2"/>
      <c r="E88" s="2"/>
      <c r="F88" s="15" t="e">
        <f t="shared" si="6"/>
        <v>#DIV/0!</v>
      </c>
      <c r="G88" s="19">
        <v>0.8</v>
      </c>
      <c r="H88" s="17" t="e">
        <f t="shared" si="7"/>
        <v>#DIV/0!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ht="21" customHeight="1" x14ac:dyDescent="0.3">
      <c r="A89" s="21" cm="1">
        <f t="array" ref="A89">1+COUNT(_xlfn.UNIQUE(_xlfn._xlws.FILTER($F$4:$F$127, $F$4:$F$127 &gt; F89)))</f>
        <v>1</v>
      </c>
      <c r="B89" s="2" t="s">
        <v>63</v>
      </c>
      <c r="C89" s="2"/>
      <c r="D89" s="2"/>
      <c r="E89" s="2"/>
      <c r="F89" s="15" t="e">
        <f t="shared" si="6"/>
        <v>#DIV/0!</v>
      </c>
      <c r="G89" s="19">
        <v>0.8</v>
      </c>
      <c r="H89" s="17" t="e">
        <f t="shared" si="7"/>
        <v>#DIV/0!</v>
      </c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ht="21" customHeight="1" x14ac:dyDescent="0.3">
      <c r="A90" s="21" cm="1">
        <f t="array" ref="A90">1+COUNT(_xlfn.UNIQUE(_xlfn._xlws.FILTER($F$4:$F$127, $F$4:$F$127 &gt; F90)))</f>
        <v>1</v>
      </c>
      <c r="B90" s="2" t="s">
        <v>52</v>
      </c>
      <c r="C90" s="2"/>
      <c r="D90" s="2"/>
      <c r="E90" s="2"/>
      <c r="F90" s="15" t="e">
        <f t="shared" si="6"/>
        <v>#DIV/0!</v>
      </c>
      <c r="G90" s="19">
        <v>0.8</v>
      </c>
      <c r="H90" s="17" t="e">
        <f t="shared" si="7"/>
        <v>#DIV/0!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5" ht="21" customHeight="1" x14ac:dyDescent="0.3">
      <c r="A91" s="21" cm="1">
        <f t="array" ref="A91">1+COUNT(_xlfn.UNIQUE(_xlfn._xlws.FILTER($F$4:$F$127, $F$4:$F$127 &gt; F91)))</f>
        <v>1</v>
      </c>
      <c r="B91" s="2" t="s">
        <v>9</v>
      </c>
      <c r="C91" s="2"/>
      <c r="D91" s="2"/>
      <c r="E91" s="2"/>
      <c r="F91" s="15" t="e">
        <f t="shared" si="6"/>
        <v>#DIV/0!</v>
      </c>
      <c r="G91" s="19">
        <v>0.8</v>
      </c>
      <c r="H91" s="17" t="e">
        <f t="shared" si="7"/>
        <v>#DIV/0!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spans="1:25" ht="21" customHeight="1" x14ac:dyDescent="0.3">
      <c r="A92" s="21" cm="1">
        <f t="array" ref="A92">1+COUNT(_xlfn.UNIQUE(_xlfn._xlws.FILTER($F$4:$F$127, $F$4:$F$127 &gt; F92)))</f>
        <v>1</v>
      </c>
      <c r="B92" s="2" t="s">
        <v>83</v>
      </c>
      <c r="C92" s="2"/>
      <c r="D92" s="2"/>
      <c r="E92" s="2"/>
      <c r="F92" s="15" t="e">
        <f t="shared" si="6"/>
        <v>#DIV/0!</v>
      </c>
      <c r="G92" s="19">
        <v>0.8</v>
      </c>
      <c r="H92" s="17" t="e">
        <f t="shared" si="7"/>
        <v>#DIV/0!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 ht="21" customHeight="1" x14ac:dyDescent="0.3">
      <c r="A93" s="21" cm="1">
        <f t="array" ref="A93">1+COUNT(_xlfn.UNIQUE(_xlfn._xlws.FILTER($F$4:$F$127, $F$4:$F$127 &gt; F93)))</f>
        <v>1</v>
      </c>
      <c r="B93" s="2" t="s">
        <v>117</v>
      </c>
      <c r="C93" s="2"/>
      <c r="D93" s="2"/>
      <c r="E93" s="2"/>
      <c r="F93" s="15" t="e">
        <f t="shared" si="6"/>
        <v>#DIV/0!</v>
      </c>
      <c r="G93" s="19">
        <v>0.8</v>
      </c>
      <c r="H93" s="17" t="e">
        <f t="shared" si="7"/>
        <v>#DIV/0!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 ht="21" customHeight="1" x14ac:dyDescent="0.3">
      <c r="A94" s="21" cm="1">
        <f t="array" ref="A94">1+COUNT(_xlfn.UNIQUE(_xlfn._xlws.FILTER($F$4:$F$127, $F$4:$F$127 &gt; F94)))</f>
        <v>1</v>
      </c>
      <c r="B94" s="2" t="s">
        <v>45</v>
      </c>
      <c r="C94" s="2"/>
      <c r="D94" s="2"/>
      <c r="E94" s="2"/>
      <c r="F94" s="15" t="e">
        <f t="shared" si="6"/>
        <v>#DIV/0!</v>
      </c>
      <c r="G94" s="19">
        <v>0.8</v>
      </c>
      <c r="H94" s="17" t="e">
        <f t="shared" si="7"/>
        <v>#DIV/0!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1:25" ht="21" customHeight="1" x14ac:dyDescent="0.3">
      <c r="A95" s="21" cm="1">
        <f t="array" ref="A95">1+COUNT(_xlfn.UNIQUE(_xlfn._xlws.FILTER($F$4:$F$127, $F$4:$F$127 &gt; F95)))</f>
        <v>1</v>
      </c>
      <c r="B95" s="2" t="s">
        <v>51</v>
      </c>
      <c r="C95" s="2"/>
      <c r="D95" s="2"/>
      <c r="E95" s="2"/>
      <c r="F95" s="15" t="e">
        <f t="shared" si="6"/>
        <v>#DIV/0!</v>
      </c>
      <c r="G95" s="19">
        <v>0.8</v>
      </c>
      <c r="H95" s="17" t="e">
        <f t="shared" si="7"/>
        <v>#DIV/0!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 ht="21" customHeight="1" x14ac:dyDescent="0.3">
      <c r="A96" s="21" cm="1">
        <f t="array" ref="A96">1+COUNT(_xlfn.UNIQUE(_xlfn._xlws.FILTER($F$4:$F$127, $F$4:$F$127 &gt; F96)))</f>
        <v>1</v>
      </c>
      <c r="B96" s="2" t="s">
        <v>8</v>
      </c>
      <c r="C96" s="2"/>
      <c r="D96" s="2"/>
      <c r="E96" s="2"/>
      <c r="F96" s="15" t="e">
        <f t="shared" si="6"/>
        <v>#DIV/0!</v>
      </c>
      <c r="G96" s="19">
        <v>0.8</v>
      </c>
      <c r="H96" s="17" t="e">
        <f t="shared" si="7"/>
        <v>#DIV/0!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spans="1:25" ht="21" customHeight="1" x14ac:dyDescent="0.3">
      <c r="A97" s="21" cm="1">
        <f t="array" ref="A97">1+COUNT(_xlfn.UNIQUE(_xlfn._xlws.FILTER($F$4:$F$127, $F$4:$F$127 &gt; F97)))</f>
        <v>1</v>
      </c>
      <c r="B97" s="2" t="s">
        <v>86</v>
      </c>
      <c r="C97" s="2"/>
      <c r="D97" s="2"/>
      <c r="E97" s="2"/>
      <c r="F97" s="15" t="e">
        <f t="shared" si="6"/>
        <v>#DIV/0!</v>
      </c>
      <c r="G97" s="19">
        <v>0.8</v>
      </c>
      <c r="H97" s="17" t="e">
        <f t="shared" si="7"/>
        <v>#DIV/0!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1:25" ht="21" customHeight="1" x14ac:dyDescent="0.3">
      <c r="A98" s="21" cm="1">
        <f t="array" ref="A98">1+COUNT(_xlfn.UNIQUE(_xlfn._xlws.FILTER($F$4:$F$127, $F$4:$F$127 &gt; F98)))</f>
        <v>1</v>
      </c>
      <c r="B98" s="2" t="s">
        <v>100</v>
      </c>
      <c r="C98" s="2"/>
      <c r="D98" s="2"/>
      <c r="E98" s="2"/>
      <c r="F98" s="15" t="e">
        <f t="shared" si="6"/>
        <v>#DIV/0!</v>
      </c>
      <c r="G98" s="19">
        <v>0.8</v>
      </c>
      <c r="H98" s="17" t="e">
        <f t="shared" si="7"/>
        <v>#DIV/0!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 ht="21" customHeight="1" x14ac:dyDescent="0.3">
      <c r="A99" s="21" cm="1">
        <f t="array" ref="A99">1+COUNT(_xlfn.UNIQUE(_xlfn._xlws.FILTER($F$4:$F$127, $F$4:$F$127 &gt; F99)))</f>
        <v>1</v>
      </c>
      <c r="B99" s="2" t="s">
        <v>122</v>
      </c>
      <c r="C99" s="2"/>
      <c r="D99" s="2"/>
      <c r="E99" s="2"/>
      <c r="F99" s="15" t="e">
        <f t="shared" si="6"/>
        <v>#DIV/0!</v>
      </c>
      <c r="G99" s="19">
        <v>0.8</v>
      </c>
      <c r="H99" s="17" t="e">
        <f t="shared" si="7"/>
        <v>#DIV/0!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 ht="21" customHeight="1" x14ac:dyDescent="0.3">
      <c r="A100" s="21" cm="1">
        <f t="array" ref="A100">1+COUNT(_xlfn.UNIQUE(_xlfn._xlws.FILTER($F$4:$F$127, $F$4:$F$127 &gt; F100)))</f>
        <v>1</v>
      </c>
      <c r="B100" s="2" t="s">
        <v>103</v>
      </c>
      <c r="C100" s="2"/>
      <c r="D100" s="2"/>
      <c r="E100" s="2"/>
      <c r="F100" s="15" t="e">
        <f t="shared" ref="F100:F131" si="8">E100/D100</f>
        <v>#DIV/0!</v>
      </c>
      <c r="G100" s="19">
        <v>0.8</v>
      </c>
      <c r="H100" s="17" t="e">
        <f t="shared" ref="H100:H131" si="9">F100/G100</f>
        <v>#DIV/0!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 ht="21" customHeight="1" x14ac:dyDescent="0.3">
      <c r="A101" s="21" cm="1">
        <f t="array" ref="A101">1+COUNT(_xlfn.UNIQUE(_xlfn._xlws.FILTER($F$4:$F$127, $F$4:$F$127 &gt; F101)))</f>
        <v>1</v>
      </c>
      <c r="B101" s="2" t="s">
        <v>115</v>
      </c>
      <c r="C101" s="2"/>
      <c r="D101" s="2"/>
      <c r="E101" s="2"/>
      <c r="F101" s="15" t="e">
        <f t="shared" si="8"/>
        <v>#DIV/0!</v>
      </c>
      <c r="G101" s="19">
        <v>0.8</v>
      </c>
      <c r="H101" s="17" t="e">
        <f t="shared" si="9"/>
        <v>#DIV/0!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 ht="21" customHeight="1" x14ac:dyDescent="0.3">
      <c r="A102" s="21" cm="1">
        <f t="array" ref="A102">1+COUNT(_xlfn.UNIQUE(_xlfn._xlws.FILTER($F$4:$F$127, $F$4:$F$127 &gt; F102)))</f>
        <v>1</v>
      </c>
      <c r="B102" s="2" t="s">
        <v>14</v>
      </c>
      <c r="C102" s="2"/>
      <c r="D102" s="2"/>
      <c r="E102" s="2"/>
      <c r="F102" s="15" t="e">
        <f t="shared" si="8"/>
        <v>#DIV/0!</v>
      </c>
      <c r="G102" s="19">
        <v>0.8</v>
      </c>
      <c r="H102" s="17" t="e">
        <f t="shared" si="9"/>
        <v>#DIV/0!</v>
      </c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ht="21" customHeight="1" x14ac:dyDescent="0.3">
      <c r="A103" s="21" cm="1">
        <f t="array" ref="A103">1+COUNT(_xlfn.UNIQUE(_xlfn._xlws.FILTER($F$4:$F$127, $F$4:$F$127 &gt; F103)))</f>
        <v>1</v>
      </c>
      <c r="B103" s="2" t="s">
        <v>90</v>
      </c>
      <c r="C103" s="2"/>
      <c r="D103" s="2"/>
      <c r="E103" s="2"/>
      <c r="F103" s="15" t="e">
        <f t="shared" si="8"/>
        <v>#DIV/0!</v>
      </c>
      <c r="G103" s="19">
        <v>0.8</v>
      </c>
      <c r="H103" s="17" t="e">
        <f t="shared" si="9"/>
        <v>#DIV/0!</v>
      </c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 ht="21" customHeight="1" x14ac:dyDescent="0.3">
      <c r="A104" s="21" cm="1">
        <f t="array" ref="A104">1+COUNT(_xlfn.UNIQUE(_xlfn._xlws.FILTER($F$4:$F$127, $F$4:$F$127 &gt; F104)))</f>
        <v>1</v>
      </c>
      <c r="B104" s="2" t="s">
        <v>84</v>
      </c>
      <c r="C104" s="2"/>
      <c r="D104" s="2"/>
      <c r="E104" s="2"/>
      <c r="F104" s="15" t="e">
        <f t="shared" si="8"/>
        <v>#DIV/0!</v>
      </c>
      <c r="G104" s="19">
        <v>0.8</v>
      </c>
      <c r="H104" s="17" t="e">
        <f t="shared" si="9"/>
        <v>#DIV/0!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ht="21" customHeight="1" x14ac:dyDescent="0.3">
      <c r="A105" s="21" cm="1">
        <f t="array" ref="A105">1+COUNT(_xlfn.UNIQUE(_xlfn._xlws.FILTER($F$4:$F$127, $F$4:$F$127 &gt; F105)))</f>
        <v>1</v>
      </c>
      <c r="B105" s="2" t="s">
        <v>101</v>
      </c>
      <c r="C105" s="2"/>
      <c r="D105" s="2"/>
      <c r="E105" s="2"/>
      <c r="F105" s="15" t="e">
        <f t="shared" si="8"/>
        <v>#DIV/0!</v>
      </c>
      <c r="G105" s="19">
        <v>0.8</v>
      </c>
      <c r="H105" s="17" t="e">
        <f t="shared" si="9"/>
        <v>#DIV/0!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 ht="21" customHeight="1" x14ac:dyDescent="0.3">
      <c r="A106" s="21" cm="1">
        <f t="array" ref="A106">1+COUNT(_xlfn.UNIQUE(_xlfn._xlws.FILTER($F$4:$F$127, $F$4:$F$127 &gt; F106)))</f>
        <v>1</v>
      </c>
      <c r="B106" s="2" t="s">
        <v>55</v>
      </c>
      <c r="C106" s="2"/>
      <c r="D106" s="2"/>
      <c r="E106" s="2"/>
      <c r="F106" s="15" t="e">
        <f t="shared" si="8"/>
        <v>#DIV/0!</v>
      </c>
      <c r="G106" s="19">
        <v>0.8</v>
      </c>
      <c r="H106" s="17" t="e">
        <f t="shared" si="9"/>
        <v>#DIV/0!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 ht="21" customHeight="1" x14ac:dyDescent="0.3">
      <c r="A107" s="21" cm="1">
        <f t="array" ref="A107">1+COUNT(_xlfn.UNIQUE(_xlfn._xlws.FILTER($F$4:$F$127, $F$4:$F$127 &gt; F107)))</f>
        <v>1</v>
      </c>
      <c r="B107" s="2" t="s">
        <v>48</v>
      </c>
      <c r="C107" s="2"/>
      <c r="D107" s="2"/>
      <c r="E107" s="2"/>
      <c r="F107" s="15" t="e">
        <f t="shared" si="8"/>
        <v>#DIV/0!</v>
      </c>
      <c r="G107" s="19">
        <v>0.8</v>
      </c>
      <c r="H107" s="17" t="e">
        <f t="shared" si="9"/>
        <v>#DIV/0!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 ht="21" customHeight="1" x14ac:dyDescent="0.3">
      <c r="A108" s="21" cm="1">
        <f t="array" ref="A108">1+COUNT(_xlfn.UNIQUE(_xlfn._xlws.FILTER($F$4:$F$127, $F$4:$F$127 &gt; F108)))</f>
        <v>1</v>
      </c>
      <c r="B108" s="2" t="s">
        <v>12</v>
      </c>
      <c r="C108" s="2"/>
      <c r="D108" s="2"/>
      <c r="E108" s="2"/>
      <c r="F108" s="15" t="e">
        <f t="shared" si="8"/>
        <v>#DIV/0!</v>
      </c>
      <c r="G108" s="19">
        <v>0.8</v>
      </c>
      <c r="H108" s="17" t="e">
        <f t="shared" si="9"/>
        <v>#DIV/0!</v>
      </c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ht="21" customHeight="1" x14ac:dyDescent="0.3">
      <c r="A109" s="21" cm="1">
        <f t="array" ref="A109">1+COUNT(_xlfn.UNIQUE(_xlfn._xlws.FILTER($F$4:$F$127, $F$4:$F$127 &gt; F109)))</f>
        <v>1</v>
      </c>
      <c r="B109" s="2" t="s">
        <v>34</v>
      </c>
      <c r="C109" s="2"/>
      <c r="D109" s="2"/>
      <c r="E109" s="2"/>
      <c r="F109" s="15" t="e">
        <f t="shared" si="8"/>
        <v>#DIV/0!</v>
      </c>
      <c r="G109" s="19">
        <v>0.8</v>
      </c>
      <c r="H109" s="17" t="e">
        <f t="shared" si="9"/>
        <v>#DIV/0!</v>
      </c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ht="21" customHeight="1" x14ac:dyDescent="0.3">
      <c r="A110" s="21" cm="1">
        <f t="array" ref="A110">1+COUNT(_xlfn.UNIQUE(_xlfn._xlws.FILTER($F$4:$F$127, $F$4:$F$127 &gt; F110)))</f>
        <v>1</v>
      </c>
      <c r="B110" s="2" t="s">
        <v>120</v>
      </c>
      <c r="C110" s="2"/>
      <c r="D110" s="2"/>
      <c r="E110" s="2"/>
      <c r="F110" s="15" t="e">
        <f t="shared" si="8"/>
        <v>#DIV/0!</v>
      </c>
      <c r="G110" s="19">
        <v>0.8</v>
      </c>
      <c r="H110" s="17" t="e">
        <f t="shared" si="9"/>
        <v>#DIV/0!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 ht="21" customHeight="1" x14ac:dyDescent="0.3">
      <c r="A111" s="21" cm="1">
        <f t="array" ref="A111">1+COUNT(_xlfn.UNIQUE(_xlfn._xlws.FILTER($F$4:$F$127, $F$4:$F$127 &gt; F111)))</f>
        <v>1</v>
      </c>
      <c r="B111" s="2" t="s">
        <v>61</v>
      </c>
      <c r="C111" s="2"/>
      <c r="D111" s="2"/>
      <c r="E111" s="2"/>
      <c r="F111" s="15" t="e">
        <f t="shared" si="8"/>
        <v>#DIV/0!</v>
      </c>
      <c r="G111" s="19">
        <v>0.8</v>
      </c>
      <c r="H111" s="17" t="e">
        <f t="shared" si="9"/>
        <v>#DIV/0!</v>
      </c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ht="21" customHeight="1" x14ac:dyDescent="0.3">
      <c r="A112" s="21" cm="1">
        <f t="array" ref="A112">1+COUNT(_xlfn.UNIQUE(_xlfn._xlws.FILTER($F$4:$F$127, $F$4:$F$127 &gt; F112)))</f>
        <v>1</v>
      </c>
      <c r="B112" s="2" t="s">
        <v>20</v>
      </c>
      <c r="C112" s="2"/>
      <c r="D112" s="2"/>
      <c r="E112" s="2"/>
      <c r="F112" s="15" t="e">
        <f t="shared" si="8"/>
        <v>#DIV/0!</v>
      </c>
      <c r="G112" s="19">
        <v>0.8</v>
      </c>
      <c r="H112" s="17" t="e">
        <f t="shared" si="9"/>
        <v>#DIV/0!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 ht="21" customHeight="1" x14ac:dyDescent="0.3">
      <c r="A113" s="21" cm="1">
        <f t="array" ref="A113">1+COUNT(_xlfn.UNIQUE(_xlfn._xlws.FILTER($F$4:$F$127, $F$4:$F$127 &gt; F113)))</f>
        <v>1</v>
      </c>
      <c r="B113" s="2" t="s">
        <v>113</v>
      </c>
      <c r="C113" s="2"/>
      <c r="D113" s="2"/>
      <c r="E113" s="2"/>
      <c r="F113" s="15" t="e">
        <f t="shared" si="8"/>
        <v>#DIV/0!</v>
      </c>
      <c r="G113" s="19">
        <v>0.8</v>
      </c>
      <c r="H113" s="17" t="e">
        <f t="shared" si="9"/>
        <v>#DIV/0!</v>
      </c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ht="21" customHeight="1" x14ac:dyDescent="0.3">
      <c r="A114" s="21" cm="1">
        <f t="array" ref="A114">1+COUNT(_xlfn.UNIQUE(_xlfn._xlws.FILTER($F$4:$F$127, $F$4:$F$127 &gt; F114)))</f>
        <v>1</v>
      </c>
      <c r="B114" s="2" t="s">
        <v>13</v>
      </c>
      <c r="C114" s="2"/>
      <c r="D114" s="2"/>
      <c r="E114" s="2"/>
      <c r="F114" s="15" t="e">
        <f t="shared" si="8"/>
        <v>#DIV/0!</v>
      </c>
      <c r="G114" s="19">
        <v>0.82</v>
      </c>
      <c r="H114" s="17" t="e">
        <f t="shared" si="9"/>
        <v>#DIV/0!</v>
      </c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 ht="21" customHeight="1" x14ac:dyDescent="0.3">
      <c r="A115" s="21" cm="1">
        <f t="array" ref="A115">1+COUNT(_xlfn.UNIQUE(_xlfn._xlws.FILTER($F$4:$F$127, $F$4:$F$127 &gt; F115)))</f>
        <v>1</v>
      </c>
      <c r="B115" s="2" t="s">
        <v>18</v>
      </c>
      <c r="C115" s="2"/>
      <c r="D115" s="2"/>
      <c r="E115" s="2"/>
      <c r="F115" s="15" t="e">
        <f t="shared" si="8"/>
        <v>#DIV/0!</v>
      </c>
      <c r="G115" s="19">
        <v>0.8</v>
      </c>
      <c r="H115" s="17" t="e">
        <f t="shared" si="9"/>
        <v>#DIV/0!</v>
      </c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 ht="21" customHeight="1" x14ac:dyDescent="0.3">
      <c r="A116" s="21" cm="1">
        <f t="array" ref="A116">1+COUNT(_xlfn.UNIQUE(_xlfn._xlws.FILTER($F$4:$F$127, $F$4:$F$127 &gt; F116)))</f>
        <v>1</v>
      </c>
      <c r="B116" s="2" t="s">
        <v>66</v>
      </c>
      <c r="C116" s="2"/>
      <c r="D116" s="2"/>
      <c r="E116" s="2"/>
      <c r="F116" s="15" t="e">
        <f t="shared" si="8"/>
        <v>#DIV/0!</v>
      </c>
      <c r="G116" s="19">
        <v>0.8</v>
      </c>
      <c r="H116" s="17" t="e">
        <f t="shared" si="9"/>
        <v>#DIV/0!</v>
      </c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 ht="21" customHeight="1" x14ac:dyDescent="0.3">
      <c r="A117" s="21" cm="1">
        <f t="array" ref="A117">1+COUNT(_xlfn.UNIQUE(_xlfn._xlws.FILTER($F$4:$F$127, $F$4:$F$127 &gt; F117)))</f>
        <v>1</v>
      </c>
      <c r="B117" s="2" t="s">
        <v>98</v>
      </c>
      <c r="C117" s="2"/>
      <c r="D117" s="2"/>
      <c r="E117" s="2"/>
      <c r="F117" s="15" t="e">
        <f t="shared" si="8"/>
        <v>#DIV/0!</v>
      </c>
      <c r="G117" s="19">
        <v>0.82</v>
      </c>
      <c r="H117" s="17" t="e">
        <f t="shared" si="9"/>
        <v>#DIV/0!</v>
      </c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ht="21" customHeight="1" x14ac:dyDescent="0.3">
      <c r="A118" s="21" cm="1">
        <f t="array" ref="A118">1+COUNT(_xlfn.UNIQUE(_xlfn._xlws.FILTER($F$4:$F$127, $F$4:$F$127 &gt; F118)))</f>
        <v>1</v>
      </c>
      <c r="B118" s="2" t="s">
        <v>75</v>
      </c>
      <c r="C118" s="2"/>
      <c r="D118" s="2"/>
      <c r="E118" s="2"/>
      <c r="F118" s="15" t="e">
        <f t="shared" si="8"/>
        <v>#DIV/0!</v>
      </c>
      <c r="G118" s="19">
        <v>0.8</v>
      </c>
      <c r="H118" s="17" t="e">
        <f t="shared" si="9"/>
        <v>#DIV/0!</v>
      </c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ht="21" customHeight="1" x14ac:dyDescent="0.3">
      <c r="A119" s="21" cm="1">
        <f t="array" ref="A119">1+COUNT(_xlfn.UNIQUE(_xlfn._xlws.FILTER($F$4:$F$127, $F$4:$F$127 &gt; F119)))</f>
        <v>1</v>
      </c>
      <c r="B119" s="2" t="s">
        <v>19</v>
      </c>
      <c r="C119" s="2"/>
      <c r="D119" s="2"/>
      <c r="E119" s="2"/>
      <c r="F119" s="15" t="e">
        <f t="shared" si="8"/>
        <v>#DIV/0!</v>
      </c>
      <c r="G119" s="19">
        <v>0.8</v>
      </c>
      <c r="H119" s="17" t="e">
        <f t="shared" si="9"/>
        <v>#DIV/0!</v>
      </c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ht="21" customHeight="1" x14ac:dyDescent="0.3">
      <c r="A120" s="21" cm="1">
        <f t="array" ref="A120">1+COUNT(_xlfn.UNIQUE(_xlfn._xlws.FILTER($F$4:$F$127, $F$4:$F$127 &gt; F120)))</f>
        <v>1</v>
      </c>
      <c r="B120" s="2" t="s">
        <v>81</v>
      </c>
      <c r="C120" s="2"/>
      <c r="D120" s="2"/>
      <c r="E120" s="2"/>
      <c r="F120" s="15" t="e">
        <f t="shared" si="8"/>
        <v>#DIV/0!</v>
      </c>
      <c r="G120" s="19">
        <v>0.8</v>
      </c>
      <c r="H120" s="17" t="e">
        <f t="shared" si="9"/>
        <v>#DIV/0!</v>
      </c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 ht="21" customHeight="1" x14ac:dyDescent="0.3">
      <c r="A121" s="21" cm="1">
        <f t="array" ref="A121">1+COUNT(_xlfn.UNIQUE(_xlfn._xlws.FILTER($F$4:$F$127, $F$4:$F$127 &gt; F121)))</f>
        <v>1</v>
      </c>
      <c r="B121" s="2" t="s">
        <v>88</v>
      </c>
      <c r="C121" s="2"/>
      <c r="D121" s="2"/>
      <c r="E121" s="2"/>
      <c r="F121" s="15" t="e">
        <f t="shared" si="8"/>
        <v>#DIV/0!</v>
      </c>
      <c r="G121" s="19">
        <v>0.8</v>
      </c>
      <c r="H121" s="17" t="e">
        <f t="shared" si="9"/>
        <v>#DIV/0!</v>
      </c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 ht="21" customHeight="1" x14ac:dyDescent="0.3">
      <c r="A122" s="21" cm="1">
        <f t="array" ref="A122">1+COUNT(_xlfn.UNIQUE(_xlfn._xlws.FILTER($F$4:$F$127, $F$4:$F$127 &gt; F122)))</f>
        <v>1</v>
      </c>
      <c r="B122" s="2" t="s">
        <v>41</v>
      </c>
      <c r="C122" s="2"/>
      <c r="D122" s="2"/>
      <c r="E122" s="2"/>
      <c r="F122" s="15" t="e">
        <f t="shared" si="8"/>
        <v>#DIV/0!</v>
      </c>
      <c r="G122" s="19">
        <v>0.8</v>
      </c>
      <c r="H122" s="17" t="e">
        <f t="shared" si="9"/>
        <v>#DIV/0!</v>
      </c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 ht="21" customHeight="1" x14ac:dyDescent="0.3">
      <c r="A123" s="21" cm="1">
        <f t="array" ref="A123">1+COUNT(_xlfn.UNIQUE(_xlfn._xlws.FILTER($F$4:$F$127, $F$4:$F$127 &gt; F123)))</f>
        <v>1</v>
      </c>
      <c r="B123" s="2" t="s">
        <v>53</v>
      </c>
      <c r="C123" s="2"/>
      <c r="D123" s="2"/>
      <c r="E123" s="2"/>
      <c r="F123" s="15" t="e">
        <f t="shared" si="8"/>
        <v>#DIV/0!</v>
      </c>
      <c r="G123" s="19">
        <v>0.82</v>
      </c>
      <c r="H123" s="17" t="e">
        <f t="shared" si="9"/>
        <v>#DIV/0!</v>
      </c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ht="21" customHeight="1" x14ac:dyDescent="0.3">
      <c r="A124" s="21" cm="1">
        <f t="array" ref="A124">1+COUNT(_xlfn.UNIQUE(_xlfn._xlws.FILTER($F$4:$F$127, $F$4:$F$127 &gt; F124)))</f>
        <v>1</v>
      </c>
      <c r="B124" s="2" t="s">
        <v>1</v>
      </c>
      <c r="C124" s="2"/>
      <c r="D124" s="2"/>
      <c r="E124" s="2"/>
      <c r="F124" s="15" t="e">
        <f t="shared" si="8"/>
        <v>#DIV/0!</v>
      </c>
      <c r="G124" s="19">
        <v>0.8</v>
      </c>
      <c r="H124" s="17" t="e">
        <f t="shared" si="9"/>
        <v>#DIV/0!</v>
      </c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 ht="21" customHeight="1" x14ac:dyDescent="0.3">
      <c r="A125" s="21" cm="1">
        <f t="array" ref="A125">1+COUNT(_xlfn.UNIQUE(_xlfn._xlws.FILTER($F$4:$F$127, $F$4:$F$127 &gt; F125)))</f>
        <v>1</v>
      </c>
      <c r="B125" s="2" t="s">
        <v>99</v>
      </c>
      <c r="C125" s="2"/>
      <c r="D125" s="2"/>
      <c r="E125" s="2"/>
      <c r="F125" s="15" t="e">
        <f t="shared" si="8"/>
        <v>#DIV/0!</v>
      </c>
      <c r="G125" s="19">
        <v>0.8</v>
      </c>
      <c r="H125" s="17" t="e">
        <f t="shared" si="9"/>
        <v>#DIV/0!</v>
      </c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 ht="21" customHeight="1" x14ac:dyDescent="0.3">
      <c r="A126" s="21" cm="1">
        <f t="array" ref="A126">1+COUNT(_xlfn.UNIQUE(_xlfn._xlws.FILTER($F$4:$F$127, $F$4:$F$127 &gt; F126)))</f>
        <v>1</v>
      </c>
      <c r="B126" s="2" t="s">
        <v>25</v>
      </c>
      <c r="C126" s="2"/>
      <c r="D126" s="2"/>
      <c r="E126" s="2"/>
      <c r="F126" s="15" t="e">
        <f t="shared" si="8"/>
        <v>#DIV/0!</v>
      </c>
      <c r="G126" s="19">
        <v>0.82</v>
      </c>
      <c r="H126" s="17" t="e">
        <f t="shared" si="9"/>
        <v>#DIV/0!</v>
      </c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 ht="21" customHeight="1" x14ac:dyDescent="0.3">
      <c r="A127" s="21" cm="1">
        <f t="array" ref="A127">1+COUNT(_xlfn.UNIQUE(_xlfn._xlws.FILTER($F$4:$F$127, $F$4:$F$127 &gt; F127)))</f>
        <v>1</v>
      </c>
      <c r="B127" s="2" t="s">
        <v>121</v>
      </c>
      <c r="C127" s="2"/>
      <c r="D127" s="2"/>
      <c r="E127" s="2"/>
      <c r="F127" s="15" t="e">
        <f t="shared" si="8"/>
        <v>#DIV/0!</v>
      </c>
      <c r="G127" s="19">
        <v>0.8</v>
      </c>
      <c r="H127" s="17" t="e">
        <f t="shared" si="9"/>
        <v>#DIV/0!</v>
      </c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ht="21" customHeight="1" x14ac:dyDescent="0.3">
      <c r="A128" s="22"/>
      <c r="B128" s="18"/>
      <c r="C128" s="18"/>
      <c r="D128" s="18"/>
      <c r="E128" s="18"/>
      <c r="F128" s="18"/>
      <c r="G128" s="18"/>
      <c r="H128" s="20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ht="21" customHeight="1" x14ac:dyDescent="0.3">
      <c r="A129" s="22"/>
      <c r="B129" s="18"/>
      <c r="C129" s="18"/>
      <c r="D129" s="18"/>
      <c r="E129" s="18"/>
      <c r="F129" s="18"/>
      <c r="G129" s="18"/>
      <c r="H129" s="20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ht="21" customHeight="1" x14ac:dyDescent="0.3">
      <c r="A130" s="22"/>
      <c r="B130" s="18"/>
      <c r="C130" s="18"/>
      <c r="D130" s="18"/>
      <c r="E130" s="18"/>
      <c r="F130" s="18"/>
      <c r="G130" s="18"/>
      <c r="H130" s="20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ht="21" customHeight="1" x14ac:dyDescent="0.3">
      <c r="A131" s="22"/>
      <c r="B131" s="18"/>
      <c r="C131" s="18"/>
      <c r="D131" s="18"/>
      <c r="E131" s="18"/>
      <c r="F131" s="18"/>
      <c r="G131" s="18"/>
      <c r="H131" s="20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 ht="21" customHeight="1" x14ac:dyDescent="0.3">
      <c r="A132" s="22"/>
      <c r="B132" s="18"/>
      <c r="C132" s="18"/>
      <c r="D132" s="18"/>
      <c r="E132" s="18"/>
      <c r="F132" s="18"/>
      <c r="G132" s="18"/>
      <c r="H132" s="20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ht="21" customHeight="1" x14ac:dyDescent="0.3">
      <c r="A133" s="22"/>
      <c r="B133" s="18"/>
      <c r="C133" s="18"/>
      <c r="D133" s="18"/>
      <c r="E133" s="18"/>
      <c r="F133" s="18"/>
      <c r="G133" s="18"/>
      <c r="H133" s="20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 ht="21" customHeight="1" x14ac:dyDescent="0.3">
      <c r="A134" s="22"/>
      <c r="B134" s="18"/>
      <c r="C134" s="18"/>
      <c r="D134" s="18"/>
      <c r="E134" s="18"/>
      <c r="F134" s="18"/>
      <c r="G134" s="18"/>
      <c r="H134" s="20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 ht="21" customHeight="1" x14ac:dyDescent="0.3">
      <c r="A135" s="22"/>
      <c r="B135" s="18"/>
      <c r="C135" s="18"/>
      <c r="D135" s="18"/>
      <c r="E135" s="18"/>
      <c r="F135" s="18"/>
      <c r="G135" s="18"/>
      <c r="H135" s="20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 ht="21" customHeight="1" x14ac:dyDescent="0.3">
      <c r="A136" s="22"/>
      <c r="B136" s="18"/>
      <c r="C136" s="18"/>
      <c r="D136" s="18"/>
      <c r="E136" s="18"/>
      <c r="F136" s="18"/>
      <c r="G136" s="18"/>
      <c r="H136" s="20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 ht="21" customHeight="1" x14ac:dyDescent="0.3">
      <c r="A137" s="22"/>
      <c r="B137" s="18"/>
      <c r="C137" s="18"/>
      <c r="D137" s="18"/>
      <c r="E137" s="18"/>
      <c r="F137" s="18"/>
      <c r="G137" s="18"/>
      <c r="H137" s="20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ht="21" customHeight="1" x14ac:dyDescent="0.3">
      <c r="A138" s="22"/>
      <c r="B138" s="18"/>
      <c r="C138" s="18"/>
      <c r="D138" s="18"/>
      <c r="E138" s="18"/>
      <c r="F138" s="18"/>
      <c r="G138" s="18"/>
      <c r="H138" s="20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 ht="21" customHeight="1" x14ac:dyDescent="0.3">
      <c r="A139" s="22"/>
      <c r="B139" s="18"/>
      <c r="C139" s="18"/>
      <c r="D139" s="18"/>
      <c r="E139" s="18"/>
      <c r="F139" s="18"/>
      <c r="G139" s="18"/>
      <c r="H139" s="20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 ht="21" customHeight="1" x14ac:dyDescent="0.3">
      <c r="A140" s="22"/>
      <c r="B140" s="18"/>
      <c r="C140" s="18"/>
      <c r="D140" s="18"/>
      <c r="E140" s="18"/>
      <c r="F140" s="18"/>
      <c r="G140" s="18"/>
      <c r="H140" s="20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21" customHeight="1" x14ac:dyDescent="0.3">
      <c r="A141" s="22"/>
      <c r="B141" s="18"/>
      <c r="C141" s="18"/>
      <c r="D141" s="18"/>
      <c r="E141" s="18"/>
      <c r="F141" s="18"/>
      <c r="G141" s="18"/>
      <c r="H141" s="20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 ht="21" customHeight="1" x14ac:dyDescent="0.3">
      <c r="A142" s="22"/>
      <c r="B142" s="18"/>
      <c r="C142" s="18"/>
      <c r="D142" s="18"/>
      <c r="E142" s="18"/>
      <c r="F142" s="18"/>
      <c r="G142" s="18"/>
      <c r="H142" s="20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ht="21" customHeight="1" x14ac:dyDescent="0.3">
      <c r="A143" s="22"/>
      <c r="B143" s="18"/>
      <c r="C143" s="18"/>
      <c r="D143" s="18"/>
      <c r="E143" s="18"/>
      <c r="F143" s="18"/>
      <c r="G143" s="18"/>
      <c r="H143" s="20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 ht="21" customHeight="1" x14ac:dyDescent="0.3">
      <c r="A144" s="22"/>
      <c r="B144" s="18"/>
      <c r="C144" s="18"/>
      <c r="D144" s="18"/>
      <c r="E144" s="18"/>
      <c r="F144" s="18"/>
      <c r="G144" s="18"/>
      <c r="H144" s="20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ht="21" customHeight="1" x14ac:dyDescent="0.3">
      <c r="A145" s="22"/>
      <c r="B145" s="18"/>
      <c r="C145" s="18"/>
      <c r="D145" s="18"/>
      <c r="E145" s="18"/>
      <c r="F145" s="18"/>
      <c r="G145" s="18"/>
      <c r="H145" s="20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 ht="21" customHeight="1" x14ac:dyDescent="0.3">
      <c r="A146" s="22"/>
      <c r="B146" s="18"/>
      <c r="C146" s="18"/>
      <c r="D146" s="18"/>
      <c r="E146" s="18"/>
      <c r="F146" s="18"/>
      <c r="G146" s="18"/>
      <c r="H146" s="20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 ht="21" customHeight="1" x14ac:dyDescent="0.3">
      <c r="A147" s="22"/>
      <c r="B147" s="18"/>
      <c r="C147" s="18"/>
      <c r="D147" s="18"/>
      <c r="E147" s="18"/>
      <c r="F147" s="18"/>
      <c r="G147" s="18"/>
      <c r="H147" s="20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ht="21" customHeight="1" x14ac:dyDescent="0.3">
      <c r="A148" s="22"/>
      <c r="B148" s="18"/>
      <c r="C148" s="18"/>
      <c r="D148" s="18"/>
      <c r="E148" s="18"/>
      <c r="F148" s="18"/>
      <c r="G148" s="18"/>
      <c r="H148" s="20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ht="21" customHeight="1" x14ac:dyDescent="0.3">
      <c r="A149" s="22"/>
      <c r="B149" s="18"/>
      <c r="C149" s="18"/>
      <c r="D149" s="18"/>
      <c r="E149" s="18"/>
      <c r="F149" s="18"/>
      <c r="G149" s="18"/>
      <c r="H149" s="20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 ht="21" customHeight="1" x14ac:dyDescent="0.3">
      <c r="A150" s="22"/>
      <c r="B150" s="18"/>
      <c r="C150" s="18"/>
      <c r="D150" s="18"/>
      <c r="E150" s="18"/>
      <c r="F150" s="18"/>
      <c r="G150" s="18"/>
      <c r="H150" s="20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ht="21" customHeight="1" x14ac:dyDescent="0.3">
      <c r="A151" s="22"/>
      <c r="B151" s="18"/>
      <c r="C151" s="18"/>
      <c r="D151" s="18"/>
      <c r="E151" s="18"/>
      <c r="F151" s="18"/>
      <c r="G151" s="18"/>
      <c r="H151" s="20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 ht="21" customHeight="1" x14ac:dyDescent="0.3">
      <c r="A152" s="22"/>
      <c r="B152" s="18"/>
      <c r="C152" s="18"/>
      <c r="D152" s="18"/>
      <c r="E152" s="18"/>
      <c r="F152" s="18"/>
      <c r="G152" s="18"/>
      <c r="H152" s="20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 ht="21" customHeight="1" x14ac:dyDescent="0.3">
      <c r="A153" s="22"/>
      <c r="B153" s="18"/>
      <c r="C153" s="18"/>
      <c r="D153" s="18"/>
      <c r="E153" s="18"/>
      <c r="F153" s="18"/>
      <c r="G153" s="18"/>
      <c r="H153" s="20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 ht="21" customHeight="1" x14ac:dyDescent="0.3">
      <c r="A154" s="22"/>
      <c r="B154" s="18"/>
      <c r="C154" s="18"/>
      <c r="D154" s="18"/>
      <c r="E154" s="18"/>
      <c r="F154" s="18"/>
      <c r="G154" s="18"/>
      <c r="H154" s="20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 ht="21" customHeight="1" x14ac:dyDescent="0.3">
      <c r="A155" s="22"/>
      <c r="B155" s="18"/>
      <c r="C155" s="18"/>
      <c r="D155" s="18"/>
      <c r="E155" s="18"/>
      <c r="F155" s="18"/>
      <c r="G155" s="18"/>
      <c r="H155" s="20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 ht="21" customHeight="1" x14ac:dyDescent="0.3">
      <c r="A156" s="22"/>
      <c r="B156" s="18"/>
      <c r="C156" s="18"/>
      <c r="D156" s="18"/>
      <c r="E156" s="18"/>
      <c r="F156" s="18"/>
      <c r="G156" s="18"/>
      <c r="H156" s="20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 ht="21" customHeight="1" x14ac:dyDescent="0.3">
      <c r="A157" s="22"/>
      <c r="B157" s="18"/>
      <c r="C157" s="18"/>
      <c r="D157" s="18"/>
      <c r="E157" s="18"/>
      <c r="F157" s="18"/>
      <c r="G157" s="18"/>
      <c r="H157" s="20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 ht="21" customHeight="1" x14ac:dyDescent="0.3">
      <c r="A158" s="22"/>
      <c r="B158" s="18"/>
      <c r="C158" s="18"/>
      <c r="D158" s="18"/>
      <c r="E158" s="18"/>
      <c r="F158" s="18"/>
      <c r="G158" s="18"/>
      <c r="H158" s="20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 ht="21" customHeight="1" x14ac:dyDescent="0.3">
      <c r="A159" s="22"/>
      <c r="B159" s="18"/>
      <c r="C159" s="18"/>
      <c r="D159" s="18"/>
      <c r="E159" s="18"/>
      <c r="F159" s="18"/>
      <c r="G159" s="18"/>
      <c r="H159" s="20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ht="21" customHeight="1" x14ac:dyDescent="0.3">
      <c r="A160" s="22"/>
      <c r="B160" s="18"/>
      <c r="C160" s="18"/>
      <c r="D160" s="18"/>
      <c r="E160" s="18"/>
      <c r="F160" s="18"/>
      <c r="G160" s="18"/>
      <c r="H160" s="20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 ht="21" customHeight="1" x14ac:dyDescent="0.3">
      <c r="A161" s="22"/>
      <c r="B161" s="18"/>
      <c r="C161" s="18"/>
      <c r="D161" s="18"/>
      <c r="E161" s="18"/>
      <c r="F161" s="18"/>
      <c r="G161" s="18"/>
      <c r="H161" s="20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 ht="21" customHeight="1" x14ac:dyDescent="0.3">
      <c r="A162" s="22"/>
      <c r="B162" s="18"/>
      <c r="C162" s="18"/>
      <c r="D162" s="18"/>
      <c r="E162" s="18"/>
      <c r="F162" s="18"/>
      <c r="G162" s="18"/>
      <c r="H162" s="20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 ht="21" customHeight="1" x14ac:dyDescent="0.3">
      <c r="A163" s="22"/>
      <c r="B163" s="18"/>
      <c r="C163" s="18"/>
      <c r="D163" s="18"/>
      <c r="E163" s="18"/>
      <c r="F163" s="18"/>
      <c r="G163" s="18"/>
      <c r="H163" s="20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ht="21" customHeight="1" x14ac:dyDescent="0.3">
      <c r="A164" s="22"/>
      <c r="B164" s="18"/>
      <c r="C164" s="18"/>
      <c r="D164" s="18"/>
      <c r="E164" s="18"/>
      <c r="F164" s="18"/>
      <c r="G164" s="18"/>
      <c r="H164" s="20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21" customHeight="1" x14ac:dyDescent="0.3">
      <c r="A165" s="22"/>
      <c r="B165" s="18"/>
      <c r="C165" s="18"/>
      <c r="D165" s="18"/>
      <c r="E165" s="18"/>
      <c r="F165" s="18"/>
      <c r="G165" s="18"/>
      <c r="H165" s="20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 ht="21" customHeight="1" x14ac:dyDescent="0.3">
      <c r="A166" s="22"/>
      <c r="B166" s="18"/>
      <c r="C166" s="18"/>
      <c r="D166" s="18"/>
      <c r="E166" s="18"/>
      <c r="F166" s="18"/>
      <c r="G166" s="18"/>
      <c r="H166" s="20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 x14ac:dyDescent="0.3">
      <c r="A167" s="22"/>
      <c r="B167" s="18"/>
      <c r="C167" s="18"/>
      <c r="D167" s="18"/>
      <c r="E167" s="18"/>
      <c r="F167" s="18"/>
      <c r="G167" s="18"/>
      <c r="H167" s="20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 x14ac:dyDescent="0.3">
      <c r="A168" s="22"/>
      <c r="B168" s="18"/>
      <c r="C168" s="18"/>
      <c r="D168" s="18"/>
      <c r="E168" s="18"/>
      <c r="F168" s="18"/>
      <c r="G168" s="18"/>
      <c r="H168" s="20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 x14ac:dyDescent="0.3">
      <c r="A169" s="22"/>
      <c r="B169" s="18"/>
      <c r="C169" s="18"/>
      <c r="D169" s="18"/>
      <c r="E169" s="18"/>
      <c r="F169" s="18"/>
      <c r="G169" s="18"/>
      <c r="H169" s="20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x14ac:dyDescent="0.3">
      <c r="A170" s="22"/>
      <c r="B170" s="18"/>
      <c r="C170" s="18"/>
      <c r="D170" s="18"/>
      <c r="E170" s="18"/>
      <c r="F170" s="18"/>
      <c r="G170" s="18"/>
      <c r="H170" s="20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x14ac:dyDescent="0.3">
      <c r="A171" s="22"/>
      <c r="B171" s="18"/>
      <c r="C171" s="18"/>
      <c r="D171" s="18"/>
      <c r="E171" s="18"/>
      <c r="F171" s="18"/>
      <c r="G171" s="18"/>
      <c r="H171" s="20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x14ac:dyDescent="0.3">
      <c r="A172" s="22"/>
      <c r="B172" s="18"/>
      <c r="C172" s="18"/>
      <c r="D172" s="18"/>
      <c r="E172" s="18"/>
      <c r="F172" s="18"/>
      <c r="G172" s="18"/>
      <c r="H172" s="20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 x14ac:dyDescent="0.3">
      <c r="A173" s="22"/>
      <c r="B173" s="18"/>
      <c r="C173" s="18"/>
      <c r="D173" s="18"/>
      <c r="E173" s="18"/>
      <c r="F173" s="18"/>
      <c r="G173" s="18"/>
      <c r="H173" s="20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x14ac:dyDescent="0.3">
      <c r="A174" s="22"/>
      <c r="B174" s="18"/>
      <c r="C174" s="18"/>
      <c r="D174" s="18"/>
      <c r="E174" s="18"/>
      <c r="F174" s="18"/>
      <c r="G174" s="18"/>
      <c r="H174" s="20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x14ac:dyDescent="0.3">
      <c r="A175" s="22"/>
      <c r="B175" s="18"/>
      <c r="C175" s="18"/>
      <c r="D175" s="18"/>
      <c r="E175" s="18"/>
      <c r="F175" s="18"/>
      <c r="G175" s="18"/>
      <c r="H175" s="20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x14ac:dyDescent="0.3">
      <c r="A176" s="22"/>
      <c r="B176" s="18"/>
      <c r="C176" s="18"/>
      <c r="D176" s="18"/>
      <c r="E176" s="18"/>
      <c r="F176" s="18"/>
      <c r="G176" s="18"/>
      <c r="H176" s="20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x14ac:dyDescent="0.3">
      <c r="A177" s="22"/>
      <c r="B177" s="18"/>
      <c r="C177" s="18"/>
      <c r="D177" s="18"/>
      <c r="E177" s="18"/>
      <c r="F177" s="18"/>
      <c r="G177" s="18"/>
      <c r="H177" s="20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 x14ac:dyDescent="0.3">
      <c r="A178" s="22"/>
      <c r="B178" s="18"/>
      <c r="C178" s="18"/>
      <c r="D178" s="18"/>
      <c r="E178" s="18"/>
      <c r="F178" s="18"/>
      <c r="G178" s="18"/>
      <c r="H178" s="20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 x14ac:dyDescent="0.3">
      <c r="A179" s="22"/>
      <c r="B179" s="18"/>
      <c r="C179" s="18"/>
      <c r="D179" s="18"/>
      <c r="E179" s="18"/>
      <c r="F179" s="18"/>
      <c r="G179" s="18"/>
      <c r="H179" s="20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 x14ac:dyDescent="0.3">
      <c r="A180" s="22"/>
      <c r="B180" s="18"/>
      <c r="C180" s="18"/>
      <c r="D180" s="18"/>
      <c r="E180" s="18"/>
      <c r="F180" s="18"/>
      <c r="G180" s="18"/>
      <c r="H180" s="20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x14ac:dyDescent="0.3">
      <c r="A181" s="22"/>
      <c r="B181" s="18"/>
      <c r="C181" s="18"/>
      <c r="D181" s="18"/>
      <c r="E181" s="18"/>
      <c r="F181" s="18"/>
      <c r="G181" s="18"/>
      <c r="H181" s="20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 x14ac:dyDescent="0.3">
      <c r="A182" s="22"/>
      <c r="B182" s="18"/>
      <c r="C182" s="18"/>
      <c r="D182" s="18"/>
      <c r="E182" s="18"/>
      <c r="F182" s="18"/>
      <c r="G182" s="18"/>
      <c r="H182" s="20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 x14ac:dyDescent="0.3">
      <c r="A183" s="22"/>
      <c r="B183" s="18"/>
      <c r="C183" s="18"/>
      <c r="D183" s="18"/>
      <c r="E183" s="18"/>
      <c r="F183" s="18"/>
      <c r="G183" s="18"/>
      <c r="H183" s="20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 x14ac:dyDescent="0.3">
      <c r="A184" s="22"/>
      <c r="B184" s="18"/>
      <c r="C184" s="18"/>
      <c r="D184" s="18"/>
      <c r="E184" s="18"/>
      <c r="F184" s="18"/>
      <c r="G184" s="18"/>
      <c r="H184" s="20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 x14ac:dyDescent="0.3">
      <c r="A185" s="22"/>
      <c r="B185" s="18"/>
      <c r="C185" s="18"/>
      <c r="D185" s="18"/>
      <c r="E185" s="18"/>
      <c r="F185" s="18"/>
      <c r="G185" s="18"/>
      <c r="H185" s="20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 x14ac:dyDescent="0.3">
      <c r="A186" s="22"/>
      <c r="B186" s="18"/>
      <c r="C186" s="18"/>
      <c r="D186" s="18"/>
      <c r="E186" s="18"/>
      <c r="F186" s="18"/>
      <c r="G186" s="18"/>
      <c r="H186" s="20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 x14ac:dyDescent="0.3">
      <c r="A187" s="22"/>
      <c r="B187" s="18"/>
      <c r="C187" s="18"/>
      <c r="D187" s="18"/>
      <c r="E187" s="18"/>
      <c r="F187" s="18"/>
      <c r="G187" s="18"/>
      <c r="H187" s="20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1:25" x14ac:dyDescent="0.3">
      <c r="A188" s="22"/>
      <c r="B188" s="18"/>
      <c r="C188" s="18"/>
      <c r="D188" s="18"/>
      <c r="E188" s="18"/>
      <c r="F188" s="18"/>
      <c r="G188" s="18"/>
      <c r="H188" s="20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1:25" x14ac:dyDescent="0.3">
      <c r="A189" s="22"/>
      <c r="B189" s="18"/>
      <c r="C189" s="18"/>
      <c r="D189" s="18"/>
      <c r="E189" s="18"/>
      <c r="F189" s="18"/>
      <c r="G189" s="18"/>
      <c r="H189" s="20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1:25" x14ac:dyDescent="0.3">
      <c r="A190" s="22"/>
      <c r="B190" s="18"/>
      <c r="C190" s="18"/>
      <c r="D190" s="18"/>
      <c r="E190" s="18"/>
      <c r="F190" s="18"/>
      <c r="G190" s="18"/>
      <c r="H190" s="20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spans="1:25" x14ac:dyDescent="0.3">
      <c r="A191" s="22"/>
      <c r="B191" s="18"/>
      <c r="C191" s="18"/>
      <c r="D191" s="18"/>
      <c r="E191" s="18"/>
      <c r="F191" s="18"/>
      <c r="G191" s="18"/>
      <c r="H191" s="20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25" x14ac:dyDescent="0.3">
      <c r="A192" s="22"/>
      <c r="B192" s="18"/>
      <c r="C192" s="18"/>
      <c r="D192" s="18"/>
      <c r="E192" s="18"/>
      <c r="F192" s="18"/>
      <c r="G192" s="18"/>
      <c r="H192" s="20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 x14ac:dyDescent="0.3">
      <c r="A193" s="22"/>
      <c r="B193" s="18"/>
      <c r="C193" s="18"/>
      <c r="D193" s="18"/>
      <c r="E193" s="18"/>
      <c r="F193" s="18"/>
      <c r="G193" s="18"/>
      <c r="H193" s="20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 x14ac:dyDescent="0.3">
      <c r="A194" s="22"/>
      <c r="B194" s="18"/>
      <c r="C194" s="18"/>
      <c r="D194" s="18"/>
      <c r="E194" s="18"/>
      <c r="F194" s="18"/>
      <c r="G194" s="18"/>
      <c r="H194" s="20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 x14ac:dyDescent="0.3">
      <c r="A195" s="22"/>
      <c r="B195" s="18"/>
      <c r="C195" s="18"/>
      <c r="D195" s="18"/>
      <c r="E195" s="18"/>
      <c r="F195" s="18"/>
      <c r="G195" s="18"/>
      <c r="H195" s="20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 x14ac:dyDescent="0.3">
      <c r="A196" s="22"/>
      <c r="B196" s="18"/>
      <c r="C196" s="18"/>
      <c r="D196" s="18"/>
      <c r="E196" s="18"/>
      <c r="F196" s="18"/>
      <c r="G196" s="18"/>
      <c r="H196" s="20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 x14ac:dyDescent="0.3">
      <c r="A197" s="22"/>
      <c r="B197" s="18"/>
      <c r="C197" s="18"/>
      <c r="D197" s="18"/>
      <c r="E197" s="18"/>
      <c r="F197" s="18"/>
      <c r="G197" s="18"/>
      <c r="H197" s="20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 x14ac:dyDescent="0.3">
      <c r="A198" s="22"/>
      <c r="B198" s="18"/>
      <c r="C198" s="18"/>
      <c r="D198" s="18"/>
      <c r="E198" s="18"/>
      <c r="F198" s="18"/>
      <c r="G198" s="18"/>
      <c r="H198" s="20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 x14ac:dyDescent="0.3">
      <c r="A199" s="22"/>
      <c r="B199" s="18"/>
      <c r="C199" s="18"/>
      <c r="D199" s="18"/>
      <c r="E199" s="18"/>
      <c r="F199" s="18"/>
      <c r="G199" s="18"/>
      <c r="H199" s="20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 x14ac:dyDescent="0.3">
      <c r="A200" s="22"/>
      <c r="B200" s="18"/>
      <c r="C200" s="18"/>
      <c r="D200" s="18"/>
      <c r="E200" s="18"/>
      <c r="F200" s="18"/>
      <c r="G200" s="18"/>
      <c r="H200" s="20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x14ac:dyDescent="0.3">
      <c r="A201" s="22"/>
      <c r="B201" s="18"/>
      <c r="C201" s="18"/>
      <c r="D201" s="18"/>
      <c r="E201" s="18"/>
      <c r="F201" s="18"/>
      <c r="G201" s="18"/>
      <c r="H201" s="20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 x14ac:dyDescent="0.3">
      <c r="A202" s="22"/>
      <c r="B202" s="18"/>
      <c r="C202" s="18"/>
      <c r="D202" s="18"/>
      <c r="E202" s="18"/>
      <c r="F202" s="18"/>
      <c r="G202" s="18"/>
      <c r="H202" s="20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x14ac:dyDescent="0.3">
      <c r="A203" s="22"/>
      <c r="B203" s="18"/>
      <c r="C203" s="18"/>
      <c r="D203" s="18"/>
      <c r="E203" s="18"/>
      <c r="F203" s="18"/>
      <c r="G203" s="18"/>
      <c r="H203" s="20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 x14ac:dyDescent="0.3">
      <c r="A204" s="22"/>
      <c r="B204" s="18"/>
      <c r="C204" s="18"/>
      <c r="D204" s="18"/>
      <c r="E204" s="18"/>
      <c r="F204" s="18"/>
      <c r="G204" s="18"/>
      <c r="H204" s="20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 x14ac:dyDescent="0.3">
      <c r="A205" s="22"/>
      <c r="B205" s="18"/>
      <c r="C205" s="18"/>
      <c r="D205" s="18"/>
      <c r="E205" s="18"/>
      <c r="F205" s="18"/>
      <c r="G205" s="18"/>
      <c r="H205" s="20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 x14ac:dyDescent="0.3">
      <c r="A206" s="22"/>
      <c r="B206" s="18"/>
      <c r="C206" s="18"/>
      <c r="D206" s="18"/>
      <c r="E206" s="18"/>
      <c r="F206" s="18"/>
      <c r="G206" s="18"/>
      <c r="H206" s="20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 x14ac:dyDescent="0.3">
      <c r="A207" s="22"/>
      <c r="B207" s="18"/>
      <c r="C207" s="18"/>
      <c r="D207" s="18"/>
      <c r="E207" s="18"/>
      <c r="F207" s="18"/>
      <c r="G207" s="18"/>
      <c r="H207" s="20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 x14ac:dyDescent="0.3">
      <c r="A208" s="22"/>
      <c r="B208" s="18"/>
      <c r="C208" s="18"/>
      <c r="D208" s="18"/>
      <c r="E208" s="18"/>
      <c r="F208" s="18"/>
      <c r="G208" s="18"/>
      <c r="H208" s="20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 x14ac:dyDescent="0.3">
      <c r="A209" s="22"/>
      <c r="B209" s="18"/>
      <c r="C209" s="18"/>
      <c r="D209" s="18"/>
      <c r="E209" s="18"/>
      <c r="F209" s="18"/>
      <c r="G209" s="18"/>
      <c r="H209" s="20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 x14ac:dyDescent="0.3">
      <c r="A210" s="22"/>
      <c r="B210" s="18"/>
      <c r="C210" s="18"/>
      <c r="D210" s="18"/>
      <c r="E210" s="18"/>
      <c r="F210" s="18"/>
      <c r="G210" s="18"/>
      <c r="H210" s="20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 x14ac:dyDescent="0.3">
      <c r="A211" s="22"/>
      <c r="B211" s="18"/>
      <c r="C211" s="18"/>
      <c r="D211" s="18"/>
      <c r="E211" s="18"/>
      <c r="F211" s="18"/>
      <c r="G211" s="18"/>
      <c r="H211" s="20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 x14ac:dyDescent="0.3">
      <c r="A212" s="22"/>
      <c r="B212" s="18"/>
      <c r="C212" s="18"/>
      <c r="D212" s="18"/>
      <c r="E212" s="18"/>
      <c r="F212" s="18"/>
      <c r="G212" s="18"/>
      <c r="H212" s="20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x14ac:dyDescent="0.3">
      <c r="A213" s="22"/>
      <c r="B213" s="18"/>
      <c r="C213" s="18"/>
      <c r="D213" s="18"/>
      <c r="E213" s="18"/>
      <c r="F213" s="18"/>
      <c r="G213" s="18"/>
      <c r="H213" s="20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 x14ac:dyDescent="0.3">
      <c r="A214" s="22"/>
      <c r="B214" s="18"/>
      <c r="C214" s="18"/>
      <c r="D214" s="18"/>
      <c r="E214" s="18"/>
      <c r="F214" s="18"/>
      <c r="G214" s="18"/>
      <c r="H214" s="20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 x14ac:dyDescent="0.3">
      <c r="A215" s="22"/>
      <c r="B215" s="18"/>
      <c r="C215" s="18"/>
      <c r="D215" s="18"/>
      <c r="E215" s="18"/>
      <c r="F215" s="18"/>
      <c r="G215" s="18"/>
      <c r="H215" s="20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 x14ac:dyDescent="0.3">
      <c r="A216" s="22"/>
      <c r="B216" s="18"/>
      <c r="C216" s="18"/>
      <c r="D216" s="18"/>
      <c r="E216" s="18"/>
      <c r="F216" s="18"/>
      <c r="G216" s="18"/>
      <c r="H216" s="20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 x14ac:dyDescent="0.3">
      <c r="A217" s="22"/>
      <c r="B217" s="18"/>
      <c r="C217" s="18"/>
      <c r="D217" s="18"/>
      <c r="E217" s="18"/>
      <c r="F217" s="18"/>
      <c r="G217" s="18"/>
      <c r="H217" s="20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 x14ac:dyDescent="0.3">
      <c r="A218" s="22"/>
      <c r="B218" s="18"/>
      <c r="C218" s="18"/>
      <c r="D218" s="18"/>
      <c r="E218" s="18"/>
      <c r="F218" s="18"/>
      <c r="G218" s="18"/>
      <c r="H218" s="20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x14ac:dyDescent="0.3">
      <c r="A219" s="22"/>
      <c r="B219" s="18"/>
      <c r="C219" s="18"/>
      <c r="D219" s="18"/>
      <c r="E219" s="18"/>
      <c r="F219" s="18"/>
      <c r="G219" s="18"/>
      <c r="H219" s="20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 x14ac:dyDescent="0.3">
      <c r="A220" s="22"/>
      <c r="B220" s="18"/>
      <c r="C220" s="18"/>
      <c r="D220" s="18"/>
      <c r="E220" s="18"/>
      <c r="F220" s="18"/>
      <c r="G220" s="18"/>
      <c r="H220" s="20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 x14ac:dyDescent="0.3">
      <c r="A221" s="22"/>
      <c r="B221" s="18"/>
      <c r="C221" s="18"/>
      <c r="D221" s="18"/>
      <c r="E221" s="18"/>
      <c r="F221" s="18"/>
      <c r="G221" s="18"/>
      <c r="H221" s="20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x14ac:dyDescent="0.3">
      <c r="A222" s="22"/>
      <c r="B222" s="18"/>
      <c r="C222" s="18"/>
      <c r="D222" s="18"/>
      <c r="E222" s="18"/>
      <c r="F222" s="18"/>
      <c r="G222" s="18"/>
      <c r="H222" s="20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x14ac:dyDescent="0.3">
      <c r="A223" s="22"/>
      <c r="B223" s="18"/>
      <c r="C223" s="18"/>
      <c r="D223" s="18"/>
      <c r="E223" s="18"/>
      <c r="F223" s="18"/>
      <c r="G223" s="18"/>
      <c r="H223" s="20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x14ac:dyDescent="0.3">
      <c r="A224" s="22"/>
      <c r="B224" s="18"/>
      <c r="C224" s="18"/>
      <c r="D224" s="18"/>
      <c r="E224" s="18"/>
      <c r="F224" s="18"/>
      <c r="G224" s="18"/>
      <c r="H224" s="20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x14ac:dyDescent="0.3">
      <c r="A225" s="22"/>
      <c r="B225" s="18"/>
      <c r="C225" s="18"/>
      <c r="D225" s="18"/>
      <c r="E225" s="18"/>
      <c r="F225" s="18"/>
      <c r="G225" s="18"/>
      <c r="H225" s="20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x14ac:dyDescent="0.3">
      <c r="A226" s="22"/>
      <c r="B226" s="18"/>
      <c r="C226" s="18"/>
      <c r="D226" s="18"/>
      <c r="E226" s="18"/>
      <c r="F226" s="18"/>
      <c r="G226" s="18"/>
      <c r="H226" s="20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x14ac:dyDescent="0.3">
      <c r="A227" s="22"/>
      <c r="B227" s="18"/>
      <c r="C227" s="18"/>
      <c r="D227" s="18"/>
      <c r="E227" s="18"/>
      <c r="F227" s="18"/>
      <c r="G227" s="18"/>
      <c r="H227" s="20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x14ac:dyDescent="0.3">
      <c r="A228" s="22"/>
      <c r="B228" s="18"/>
      <c r="C228" s="18"/>
      <c r="D228" s="18"/>
      <c r="E228" s="18"/>
      <c r="F228" s="18"/>
      <c r="G228" s="18"/>
      <c r="H228" s="20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x14ac:dyDescent="0.3">
      <c r="A229" s="22"/>
      <c r="B229" s="18"/>
      <c r="C229" s="18"/>
      <c r="D229" s="18"/>
      <c r="E229" s="18"/>
      <c r="F229" s="18"/>
      <c r="G229" s="18"/>
      <c r="H229" s="20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x14ac:dyDescent="0.3">
      <c r="A230" s="22"/>
      <c r="B230" s="18"/>
      <c r="C230" s="18"/>
      <c r="D230" s="18"/>
      <c r="E230" s="18"/>
      <c r="F230" s="18"/>
      <c r="G230" s="18"/>
      <c r="H230" s="20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x14ac:dyDescent="0.3">
      <c r="A231" s="22"/>
      <c r="B231" s="18"/>
      <c r="C231" s="18"/>
      <c r="D231" s="18"/>
      <c r="E231" s="18"/>
      <c r="F231" s="18"/>
      <c r="G231" s="18"/>
      <c r="H231" s="20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x14ac:dyDescent="0.3">
      <c r="A232" s="22"/>
      <c r="B232" s="18"/>
      <c r="C232" s="18"/>
      <c r="D232" s="18"/>
      <c r="E232" s="18"/>
      <c r="F232" s="18"/>
      <c r="G232" s="18"/>
      <c r="H232" s="20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x14ac:dyDescent="0.3">
      <c r="A233" s="22"/>
      <c r="B233" s="18"/>
      <c r="C233" s="18"/>
      <c r="D233" s="18"/>
      <c r="E233" s="18"/>
      <c r="F233" s="18"/>
      <c r="G233" s="18"/>
      <c r="H233" s="20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x14ac:dyDescent="0.3">
      <c r="A234" s="22"/>
      <c r="B234" s="18"/>
      <c r="C234" s="18"/>
      <c r="D234" s="18"/>
      <c r="E234" s="18"/>
      <c r="F234" s="18"/>
      <c r="G234" s="18"/>
      <c r="H234" s="20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 x14ac:dyDescent="0.3">
      <c r="A235" s="22"/>
      <c r="B235" s="18"/>
      <c r="C235" s="18"/>
      <c r="D235" s="18"/>
      <c r="E235" s="18"/>
      <c r="F235" s="18"/>
      <c r="G235" s="18"/>
      <c r="H235" s="20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x14ac:dyDescent="0.3">
      <c r="A236" s="22"/>
      <c r="B236" s="18"/>
      <c r="C236" s="18"/>
      <c r="D236" s="18"/>
      <c r="E236" s="18"/>
      <c r="F236" s="18"/>
      <c r="G236" s="18"/>
      <c r="H236" s="20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x14ac:dyDescent="0.3">
      <c r="A237" s="22"/>
      <c r="B237" s="18"/>
      <c r="C237" s="18"/>
      <c r="D237" s="18"/>
      <c r="E237" s="18"/>
      <c r="F237" s="18"/>
      <c r="G237" s="18"/>
      <c r="H237" s="20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x14ac:dyDescent="0.3">
      <c r="A238" s="22"/>
      <c r="B238" s="18"/>
      <c r="C238" s="18"/>
      <c r="D238" s="18"/>
      <c r="E238" s="18"/>
      <c r="F238" s="18"/>
      <c r="G238" s="18"/>
      <c r="H238" s="20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x14ac:dyDescent="0.3">
      <c r="A239" s="22"/>
      <c r="B239" s="18"/>
      <c r="C239" s="18"/>
      <c r="D239" s="18"/>
      <c r="E239" s="18"/>
      <c r="F239" s="18"/>
      <c r="G239" s="18"/>
      <c r="H239" s="20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x14ac:dyDescent="0.3">
      <c r="A240" s="22"/>
      <c r="B240" s="18"/>
      <c r="C240" s="18"/>
      <c r="D240" s="18"/>
      <c r="E240" s="18"/>
      <c r="F240" s="18"/>
      <c r="G240" s="18"/>
      <c r="H240" s="20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x14ac:dyDescent="0.3">
      <c r="A241" s="22"/>
      <c r="B241" s="18"/>
      <c r="C241" s="18"/>
      <c r="D241" s="18"/>
      <c r="E241" s="18"/>
      <c r="F241" s="18"/>
      <c r="G241" s="18"/>
      <c r="H241" s="20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x14ac:dyDescent="0.3">
      <c r="A242" s="22"/>
      <c r="B242" s="18"/>
      <c r="C242" s="18"/>
      <c r="D242" s="18"/>
      <c r="E242" s="18"/>
      <c r="F242" s="18"/>
      <c r="G242" s="18"/>
      <c r="H242" s="20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x14ac:dyDescent="0.3">
      <c r="A243" s="22"/>
      <c r="B243" s="18"/>
      <c r="C243" s="18"/>
      <c r="D243" s="18"/>
      <c r="E243" s="18"/>
      <c r="F243" s="18"/>
      <c r="G243" s="18"/>
      <c r="H243" s="20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x14ac:dyDescent="0.3">
      <c r="A244" s="22"/>
      <c r="B244" s="18"/>
      <c r="C244" s="18"/>
      <c r="D244" s="18"/>
      <c r="E244" s="18"/>
      <c r="F244" s="18"/>
      <c r="G244" s="18"/>
      <c r="H244" s="20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x14ac:dyDescent="0.3">
      <c r="A245" s="22"/>
      <c r="B245" s="18"/>
      <c r="C245" s="18"/>
      <c r="D245" s="18"/>
      <c r="E245" s="18"/>
      <c r="F245" s="18"/>
      <c r="G245" s="18"/>
      <c r="H245" s="20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x14ac:dyDescent="0.3">
      <c r="A246" s="22"/>
      <c r="B246" s="18"/>
      <c r="C246" s="18"/>
      <c r="D246" s="18"/>
      <c r="E246" s="18"/>
      <c r="F246" s="18"/>
      <c r="G246" s="18"/>
      <c r="H246" s="20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x14ac:dyDescent="0.3">
      <c r="A247" s="22"/>
      <c r="B247" s="18"/>
      <c r="C247" s="18"/>
      <c r="D247" s="18"/>
      <c r="E247" s="18"/>
      <c r="F247" s="18"/>
      <c r="G247" s="18"/>
      <c r="H247" s="20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x14ac:dyDescent="0.3">
      <c r="A248" s="22"/>
      <c r="B248" s="18"/>
      <c r="C248" s="18"/>
      <c r="D248" s="18"/>
      <c r="E248" s="18"/>
      <c r="F248" s="18"/>
      <c r="G248" s="18"/>
      <c r="H248" s="20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x14ac:dyDescent="0.3">
      <c r="A249" s="22"/>
      <c r="B249" s="18"/>
      <c r="C249" s="18"/>
      <c r="D249" s="18"/>
      <c r="E249" s="18"/>
      <c r="F249" s="18"/>
      <c r="G249" s="18"/>
      <c r="H249" s="20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x14ac:dyDescent="0.3">
      <c r="A250" s="22"/>
      <c r="B250" s="18"/>
      <c r="C250" s="18"/>
      <c r="D250" s="18"/>
      <c r="E250" s="18"/>
      <c r="F250" s="18"/>
      <c r="G250" s="18"/>
      <c r="H250" s="20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x14ac:dyDescent="0.3">
      <c r="A251" s="22"/>
      <c r="B251" s="18"/>
      <c r="C251" s="18"/>
      <c r="D251" s="18"/>
      <c r="E251" s="18"/>
      <c r="F251" s="18"/>
      <c r="G251" s="18"/>
      <c r="H251" s="20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x14ac:dyDescent="0.3">
      <c r="A252" s="22"/>
      <c r="B252" s="18"/>
      <c r="C252" s="18"/>
      <c r="D252" s="18"/>
      <c r="E252" s="18"/>
      <c r="F252" s="18"/>
      <c r="G252" s="18"/>
      <c r="H252" s="20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x14ac:dyDescent="0.3">
      <c r="A253" s="22"/>
      <c r="B253" s="18"/>
      <c r="C253" s="18"/>
      <c r="D253" s="18"/>
      <c r="E253" s="18"/>
      <c r="F253" s="18"/>
      <c r="G253" s="18"/>
      <c r="H253" s="20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x14ac:dyDescent="0.3">
      <c r="A254" s="22"/>
      <c r="B254" s="18"/>
      <c r="C254" s="18"/>
      <c r="D254" s="18"/>
      <c r="E254" s="18"/>
      <c r="F254" s="18"/>
      <c r="G254" s="18"/>
      <c r="H254" s="20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x14ac:dyDescent="0.3">
      <c r="A255" s="22"/>
      <c r="B255" s="18"/>
      <c r="C255" s="18"/>
      <c r="D255" s="18"/>
      <c r="E255" s="18"/>
      <c r="F255" s="18"/>
      <c r="G255" s="18"/>
      <c r="H255" s="20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x14ac:dyDescent="0.3">
      <c r="A256" s="22"/>
      <c r="B256" s="18"/>
      <c r="C256" s="18"/>
      <c r="D256" s="18"/>
      <c r="E256" s="18"/>
      <c r="F256" s="18"/>
      <c r="G256" s="18"/>
      <c r="H256" s="20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x14ac:dyDescent="0.3">
      <c r="A257" s="22"/>
      <c r="B257" s="18"/>
      <c r="C257" s="18"/>
      <c r="D257" s="18"/>
      <c r="E257" s="18"/>
      <c r="F257" s="18"/>
      <c r="G257" s="18"/>
      <c r="H257" s="20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x14ac:dyDescent="0.3">
      <c r="A258" s="22"/>
      <c r="B258" s="18"/>
      <c r="C258" s="18"/>
      <c r="D258" s="18"/>
      <c r="E258" s="18"/>
      <c r="F258" s="18"/>
      <c r="G258" s="18"/>
      <c r="H258" s="20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x14ac:dyDescent="0.3">
      <c r="A259" s="22"/>
      <c r="B259" s="18"/>
      <c r="C259" s="18"/>
      <c r="D259" s="18"/>
      <c r="E259" s="18"/>
      <c r="F259" s="18"/>
      <c r="G259" s="18"/>
      <c r="H259" s="20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x14ac:dyDescent="0.3">
      <c r="A260" s="22"/>
      <c r="B260" s="18"/>
      <c r="C260" s="18"/>
      <c r="D260" s="18"/>
      <c r="E260" s="18"/>
      <c r="F260" s="18"/>
      <c r="G260" s="18"/>
      <c r="H260" s="20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x14ac:dyDescent="0.3">
      <c r="A261" s="22"/>
      <c r="B261" s="18"/>
      <c r="C261" s="18"/>
      <c r="D261" s="18"/>
      <c r="E261" s="18"/>
      <c r="F261" s="18"/>
      <c r="G261" s="18"/>
      <c r="H261" s="20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x14ac:dyDescent="0.3">
      <c r="A262" s="22"/>
      <c r="B262" s="18"/>
      <c r="C262" s="18"/>
      <c r="D262" s="18"/>
      <c r="E262" s="18"/>
      <c r="F262" s="18"/>
      <c r="G262" s="18"/>
      <c r="H262" s="20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x14ac:dyDescent="0.3">
      <c r="A263" s="22"/>
      <c r="B263" s="18"/>
      <c r="C263" s="18"/>
      <c r="D263" s="18"/>
      <c r="E263" s="18"/>
      <c r="F263" s="18"/>
      <c r="G263" s="18"/>
      <c r="H263" s="20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x14ac:dyDescent="0.3">
      <c r="A264" s="22"/>
      <c r="B264" s="18"/>
      <c r="C264" s="18"/>
      <c r="D264" s="18"/>
      <c r="E264" s="18"/>
      <c r="F264" s="18"/>
      <c r="G264" s="18"/>
      <c r="H264" s="20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x14ac:dyDescent="0.3">
      <c r="A265" s="22"/>
      <c r="B265" s="18"/>
      <c r="C265" s="18"/>
      <c r="D265" s="18"/>
      <c r="E265" s="18"/>
      <c r="F265" s="18"/>
      <c r="G265" s="18"/>
      <c r="H265" s="20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x14ac:dyDescent="0.3">
      <c r="A266" s="22"/>
      <c r="B266" s="18"/>
      <c r="C266" s="18"/>
      <c r="D266" s="18"/>
      <c r="E266" s="18"/>
      <c r="F266" s="18"/>
      <c r="G266" s="18"/>
      <c r="H266" s="20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x14ac:dyDescent="0.3">
      <c r="A267" s="22"/>
      <c r="B267" s="18"/>
      <c r="C267" s="18"/>
      <c r="D267" s="18"/>
      <c r="E267" s="18"/>
      <c r="F267" s="18"/>
      <c r="G267" s="18"/>
      <c r="H267" s="20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x14ac:dyDescent="0.3">
      <c r="A268" s="22"/>
      <c r="B268" s="18"/>
      <c r="C268" s="18"/>
      <c r="D268" s="18"/>
      <c r="E268" s="18"/>
      <c r="F268" s="18"/>
      <c r="G268" s="18"/>
      <c r="H268" s="20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x14ac:dyDescent="0.3">
      <c r="A269" s="22"/>
      <c r="B269" s="18"/>
      <c r="C269" s="18"/>
      <c r="D269" s="18"/>
      <c r="E269" s="18"/>
      <c r="F269" s="18"/>
      <c r="G269" s="18"/>
      <c r="H269" s="20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x14ac:dyDescent="0.3">
      <c r="A270" s="22"/>
      <c r="B270" s="18"/>
      <c r="C270" s="18"/>
      <c r="D270" s="18"/>
      <c r="E270" s="18"/>
      <c r="F270" s="18"/>
      <c r="G270" s="18"/>
      <c r="H270" s="20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x14ac:dyDescent="0.3">
      <c r="A271" s="22"/>
      <c r="B271" s="18"/>
      <c r="C271" s="18"/>
      <c r="D271" s="18"/>
      <c r="E271" s="18"/>
      <c r="F271" s="18"/>
      <c r="G271" s="18"/>
      <c r="H271" s="20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x14ac:dyDescent="0.3">
      <c r="A272" s="22"/>
      <c r="B272" s="18"/>
      <c r="C272" s="18"/>
      <c r="D272" s="18"/>
      <c r="E272" s="18"/>
      <c r="F272" s="18"/>
      <c r="G272" s="18"/>
      <c r="H272" s="20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x14ac:dyDescent="0.3">
      <c r="A273" s="22"/>
      <c r="B273" s="18"/>
      <c r="C273" s="18"/>
      <c r="D273" s="18"/>
      <c r="E273" s="18"/>
      <c r="F273" s="18"/>
      <c r="G273" s="18"/>
      <c r="H273" s="20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x14ac:dyDescent="0.3">
      <c r="A274" s="22"/>
      <c r="B274" s="18"/>
      <c r="C274" s="18"/>
      <c r="D274" s="18"/>
      <c r="E274" s="18"/>
      <c r="F274" s="18"/>
      <c r="G274" s="18"/>
      <c r="H274" s="20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x14ac:dyDescent="0.3">
      <c r="A275" s="22"/>
      <c r="B275" s="18"/>
      <c r="C275" s="18"/>
      <c r="D275" s="18"/>
      <c r="E275" s="18"/>
      <c r="F275" s="18"/>
      <c r="G275" s="18"/>
      <c r="H275" s="20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x14ac:dyDescent="0.3">
      <c r="A276" s="22"/>
      <c r="B276" s="18"/>
      <c r="C276" s="18"/>
      <c r="D276" s="18"/>
      <c r="E276" s="18"/>
      <c r="F276" s="18"/>
      <c r="G276" s="18"/>
      <c r="H276" s="20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x14ac:dyDescent="0.3">
      <c r="A277" s="22"/>
      <c r="B277" s="18"/>
      <c r="C277" s="18"/>
      <c r="D277" s="18"/>
      <c r="E277" s="18"/>
      <c r="F277" s="18"/>
      <c r="G277" s="18"/>
      <c r="H277" s="20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x14ac:dyDescent="0.3">
      <c r="A278" s="22"/>
      <c r="B278" s="18"/>
      <c r="C278" s="18"/>
      <c r="D278" s="18"/>
      <c r="E278" s="18"/>
      <c r="F278" s="18"/>
      <c r="G278" s="18"/>
      <c r="H278" s="20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x14ac:dyDescent="0.3">
      <c r="A279" s="22"/>
      <c r="B279" s="18"/>
      <c r="C279" s="18"/>
      <c r="D279" s="18"/>
      <c r="E279" s="18"/>
      <c r="F279" s="18"/>
      <c r="G279" s="18"/>
      <c r="H279" s="20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x14ac:dyDescent="0.3">
      <c r="A280" s="22"/>
      <c r="B280" s="18"/>
      <c r="C280" s="18"/>
      <c r="D280" s="18"/>
      <c r="E280" s="18"/>
      <c r="F280" s="18"/>
      <c r="G280" s="18"/>
      <c r="H280" s="20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x14ac:dyDescent="0.3">
      <c r="A281" s="22"/>
      <c r="B281" s="18"/>
      <c r="C281" s="18"/>
      <c r="D281" s="18"/>
      <c r="E281" s="18"/>
      <c r="F281" s="18"/>
      <c r="G281" s="18"/>
      <c r="H281" s="20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x14ac:dyDescent="0.3">
      <c r="A282" s="22"/>
      <c r="B282" s="18"/>
      <c r="C282" s="18"/>
      <c r="D282" s="18"/>
      <c r="E282" s="18"/>
      <c r="F282" s="18"/>
      <c r="G282" s="18"/>
      <c r="H282" s="20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x14ac:dyDescent="0.3">
      <c r="A283" s="22"/>
      <c r="B283" s="18"/>
      <c r="C283" s="18"/>
      <c r="D283" s="18"/>
      <c r="E283" s="18"/>
      <c r="F283" s="18"/>
      <c r="G283" s="18"/>
      <c r="H283" s="20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x14ac:dyDescent="0.3">
      <c r="A284" s="22"/>
      <c r="B284" s="18"/>
      <c r="C284" s="18"/>
      <c r="D284" s="18"/>
      <c r="E284" s="18"/>
      <c r="F284" s="18"/>
      <c r="G284" s="18"/>
      <c r="H284" s="20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x14ac:dyDescent="0.3">
      <c r="A285" s="22"/>
      <c r="B285" s="18"/>
      <c r="C285" s="18"/>
      <c r="D285" s="18"/>
      <c r="E285" s="18"/>
      <c r="F285" s="18"/>
      <c r="G285" s="18"/>
      <c r="H285" s="20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x14ac:dyDescent="0.3">
      <c r="A286" s="22"/>
      <c r="B286" s="18"/>
      <c r="C286" s="18"/>
      <c r="D286" s="18"/>
      <c r="E286" s="18"/>
      <c r="F286" s="18"/>
      <c r="G286" s="18"/>
      <c r="H286" s="20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x14ac:dyDescent="0.3">
      <c r="A287" s="22"/>
      <c r="B287" s="18"/>
      <c r="C287" s="18"/>
      <c r="D287" s="18"/>
      <c r="E287" s="18"/>
      <c r="F287" s="18"/>
      <c r="G287" s="18"/>
      <c r="H287" s="20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x14ac:dyDescent="0.3">
      <c r="A288" s="22"/>
      <c r="B288" s="18"/>
      <c r="C288" s="18"/>
      <c r="D288" s="18"/>
      <c r="E288" s="18"/>
      <c r="F288" s="18"/>
      <c r="G288" s="18"/>
      <c r="H288" s="20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x14ac:dyDescent="0.3">
      <c r="A289" s="22"/>
      <c r="B289" s="18"/>
      <c r="C289" s="18"/>
      <c r="D289" s="18"/>
      <c r="E289" s="18"/>
      <c r="F289" s="18"/>
      <c r="G289" s="18"/>
      <c r="H289" s="20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x14ac:dyDescent="0.3">
      <c r="A290" s="22"/>
      <c r="B290" s="18"/>
      <c r="C290" s="18"/>
      <c r="D290" s="18"/>
      <c r="E290" s="18"/>
      <c r="F290" s="18"/>
      <c r="G290" s="18"/>
      <c r="H290" s="20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x14ac:dyDescent="0.3">
      <c r="A291" s="22"/>
      <c r="B291" s="18"/>
      <c r="C291" s="18"/>
      <c r="D291" s="18"/>
      <c r="E291" s="18"/>
      <c r="F291" s="18"/>
      <c r="G291" s="18"/>
      <c r="H291" s="20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x14ac:dyDescent="0.3">
      <c r="A292" s="22"/>
      <c r="B292" s="18"/>
      <c r="C292" s="18"/>
      <c r="D292" s="18"/>
      <c r="E292" s="18"/>
      <c r="F292" s="18"/>
      <c r="G292" s="18"/>
      <c r="H292" s="20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x14ac:dyDescent="0.3">
      <c r="A293" s="22"/>
      <c r="B293" s="18"/>
      <c r="C293" s="18"/>
      <c r="D293" s="18"/>
      <c r="E293" s="18"/>
      <c r="F293" s="18"/>
      <c r="G293" s="18"/>
      <c r="H293" s="20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x14ac:dyDescent="0.3">
      <c r="A294" s="22"/>
      <c r="B294" s="18"/>
      <c r="C294" s="18"/>
      <c r="D294" s="18"/>
      <c r="E294" s="18"/>
      <c r="F294" s="18"/>
      <c r="G294" s="18"/>
      <c r="H294" s="20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x14ac:dyDescent="0.3">
      <c r="A295" s="22"/>
      <c r="B295" s="18"/>
      <c r="C295" s="18"/>
      <c r="D295" s="18"/>
      <c r="E295" s="18"/>
      <c r="F295" s="18"/>
      <c r="G295" s="18"/>
      <c r="H295" s="20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x14ac:dyDescent="0.3">
      <c r="A296" s="22"/>
      <c r="B296" s="18"/>
      <c r="C296" s="18"/>
      <c r="D296" s="18"/>
      <c r="E296" s="18"/>
      <c r="F296" s="18"/>
      <c r="G296" s="18"/>
      <c r="H296" s="20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x14ac:dyDescent="0.3">
      <c r="A297" s="22"/>
      <c r="B297" s="18"/>
      <c r="C297" s="18"/>
      <c r="D297" s="18"/>
      <c r="E297" s="18"/>
      <c r="F297" s="18"/>
      <c r="G297" s="18"/>
      <c r="H297" s="20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x14ac:dyDescent="0.3">
      <c r="A298" s="22"/>
      <c r="B298" s="18"/>
      <c r="C298" s="18"/>
      <c r="D298" s="18"/>
      <c r="E298" s="18"/>
      <c r="F298" s="18"/>
      <c r="G298" s="18"/>
      <c r="H298" s="20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x14ac:dyDescent="0.3">
      <c r="A299" s="22"/>
      <c r="B299" s="18"/>
      <c r="C299" s="18"/>
      <c r="D299" s="18"/>
      <c r="E299" s="18"/>
      <c r="F299" s="18"/>
      <c r="G299" s="18"/>
      <c r="H299" s="20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x14ac:dyDescent="0.3">
      <c r="A300" s="22"/>
      <c r="B300" s="18"/>
      <c r="C300" s="18"/>
      <c r="D300" s="18"/>
      <c r="E300" s="18"/>
      <c r="F300" s="18"/>
      <c r="G300" s="18"/>
      <c r="H300" s="20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x14ac:dyDescent="0.3">
      <c r="A301" s="22"/>
      <c r="B301" s="18"/>
      <c r="C301" s="18"/>
      <c r="D301" s="18"/>
      <c r="E301" s="18"/>
      <c r="F301" s="18"/>
      <c r="G301" s="18"/>
      <c r="H301" s="20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x14ac:dyDescent="0.3">
      <c r="A302" s="22"/>
      <c r="B302" s="18"/>
      <c r="C302" s="18"/>
      <c r="D302" s="18"/>
      <c r="E302" s="18"/>
      <c r="F302" s="18"/>
      <c r="G302" s="18"/>
      <c r="H302" s="20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x14ac:dyDescent="0.3">
      <c r="A303" s="22"/>
      <c r="B303" s="18"/>
      <c r="C303" s="18"/>
      <c r="D303" s="18"/>
      <c r="E303" s="18"/>
      <c r="F303" s="18"/>
      <c r="G303" s="18"/>
      <c r="H303" s="20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x14ac:dyDescent="0.3">
      <c r="A304" s="22"/>
      <c r="B304" s="18"/>
      <c r="C304" s="18"/>
      <c r="D304" s="18"/>
      <c r="E304" s="18"/>
      <c r="F304" s="18"/>
      <c r="G304" s="18"/>
      <c r="H304" s="20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x14ac:dyDescent="0.3">
      <c r="A305" s="22"/>
      <c r="B305" s="18"/>
      <c r="C305" s="18"/>
      <c r="D305" s="18"/>
      <c r="E305" s="18"/>
      <c r="F305" s="18"/>
      <c r="G305" s="18"/>
      <c r="H305" s="20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x14ac:dyDescent="0.3">
      <c r="A306" s="22"/>
      <c r="B306" s="18"/>
      <c r="C306" s="18"/>
      <c r="D306" s="18"/>
      <c r="E306" s="18"/>
      <c r="F306" s="18"/>
      <c r="G306" s="18"/>
      <c r="H306" s="20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x14ac:dyDescent="0.3">
      <c r="A307" s="22"/>
      <c r="B307" s="18"/>
      <c r="C307" s="18"/>
      <c r="D307" s="18"/>
      <c r="E307" s="18"/>
      <c r="F307" s="18"/>
      <c r="G307" s="18"/>
      <c r="H307" s="20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x14ac:dyDescent="0.3">
      <c r="A308" s="22"/>
      <c r="B308" s="18"/>
      <c r="C308" s="18"/>
      <c r="D308" s="18"/>
      <c r="E308" s="18"/>
      <c r="F308" s="18"/>
      <c r="G308" s="18"/>
      <c r="H308" s="20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x14ac:dyDescent="0.3">
      <c r="A309" s="22"/>
      <c r="B309" s="18"/>
      <c r="C309" s="18"/>
      <c r="D309" s="18"/>
      <c r="E309" s="18"/>
      <c r="F309" s="18"/>
      <c r="G309" s="18"/>
      <c r="H309" s="20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x14ac:dyDescent="0.3">
      <c r="A310" s="22"/>
      <c r="B310" s="18"/>
      <c r="C310" s="18"/>
      <c r="D310" s="18"/>
      <c r="E310" s="18"/>
      <c r="F310" s="18"/>
      <c r="G310" s="18"/>
      <c r="H310" s="20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x14ac:dyDescent="0.3">
      <c r="A311" s="22"/>
      <c r="B311" s="18"/>
      <c r="C311" s="18"/>
      <c r="D311" s="18"/>
      <c r="E311" s="18"/>
      <c r="F311" s="18"/>
      <c r="G311" s="18"/>
      <c r="H311" s="20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x14ac:dyDescent="0.3">
      <c r="A312" s="22"/>
      <c r="B312" s="18"/>
      <c r="C312" s="18"/>
      <c r="D312" s="18"/>
      <c r="E312" s="18"/>
      <c r="F312" s="18"/>
      <c r="G312" s="18"/>
      <c r="H312" s="20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x14ac:dyDescent="0.3">
      <c r="A313" s="22"/>
      <c r="B313" s="18"/>
      <c r="C313" s="18"/>
      <c r="D313" s="18"/>
      <c r="E313" s="18"/>
      <c r="F313" s="18"/>
      <c r="G313" s="18"/>
      <c r="H313" s="20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x14ac:dyDescent="0.3">
      <c r="A314" s="22"/>
      <c r="B314" s="18"/>
      <c r="C314" s="18"/>
      <c r="D314" s="18"/>
      <c r="E314" s="18"/>
      <c r="F314" s="18"/>
      <c r="G314" s="18"/>
      <c r="H314" s="20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x14ac:dyDescent="0.3">
      <c r="A315" s="22"/>
      <c r="B315" s="18"/>
      <c r="C315" s="18"/>
      <c r="D315" s="18"/>
      <c r="E315" s="18"/>
      <c r="F315" s="18"/>
      <c r="G315" s="18"/>
      <c r="H315" s="20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x14ac:dyDescent="0.3">
      <c r="A316" s="22"/>
      <c r="B316" s="18"/>
      <c r="C316" s="18"/>
      <c r="D316" s="18"/>
      <c r="E316" s="18"/>
      <c r="F316" s="18"/>
      <c r="G316" s="18"/>
      <c r="H316" s="20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x14ac:dyDescent="0.3">
      <c r="A317" s="22"/>
      <c r="B317" s="18"/>
      <c r="C317" s="18"/>
      <c r="D317" s="18"/>
      <c r="E317" s="18"/>
      <c r="F317" s="18"/>
      <c r="G317" s="18"/>
      <c r="H317" s="20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x14ac:dyDescent="0.3">
      <c r="A318" s="22"/>
      <c r="B318" s="18"/>
      <c r="C318" s="18"/>
      <c r="D318" s="18"/>
      <c r="E318" s="18"/>
      <c r="F318" s="18"/>
      <c r="G318" s="18"/>
      <c r="H318" s="20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x14ac:dyDescent="0.3">
      <c r="A319" s="22"/>
      <c r="B319" s="18"/>
      <c r="C319" s="18"/>
      <c r="D319" s="18"/>
      <c r="E319" s="18"/>
      <c r="F319" s="18"/>
      <c r="G319" s="18"/>
      <c r="H319" s="20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x14ac:dyDescent="0.3">
      <c r="A320" s="22"/>
      <c r="B320" s="18"/>
      <c r="C320" s="18"/>
      <c r="D320" s="18"/>
      <c r="E320" s="18"/>
      <c r="F320" s="18"/>
      <c r="G320" s="18"/>
      <c r="H320" s="20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x14ac:dyDescent="0.3">
      <c r="A321" s="22"/>
      <c r="B321" s="18"/>
      <c r="C321" s="18"/>
      <c r="D321" s="18"/>
      <c r="E321" s="18"/>
      <c r="F321" s="18"/>
      <c r="G321" s="18"/>
      <c r="H321" s="20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x14ac:dyDescent="0.3">
      <c r="A322" s="22"/>
      <c r="B322" s="18"/>
      <c r="C322" s="18"/>
      <c r="D322" s="18"/>
      <c r="E322" s="18"/>
      <c r="F322" s="18"/>
      <c r="G322" s="18"/>
      <c r="H322" s="20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x14ac:dyDescent="0.3">
      <c r="A323" s="22"/>
      <c r="B323" s="18"/>
      <c r="C323" s="18"/>
      <c r="D323" s="18"/>
      <c r="E323" s="18"/>
      <c r="F323" s="18"/>
      <c r="G323" s="18"/>
      <c r="H323" s="20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x14ac:dyDescent="0.3">
      <c r="A324" s="22"/>
      <c r="B324" s="18"/>
      <c r="C324" s="18"/>
      <c r="D324" s="18"/>
      <c r="E324" s="18"/>
      <c r="F324" s="18"/>
      <c r="G324" s="18"/>
      <c r="H324" s="20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x14ac:dyDescent="0.3">
      <c r="A325" s="22"/>
      <c r="B325" s="18"/>
      <c r="C325" s="18"/>
      <c r="D325" s="18"/>
      <c r="E325" s="18"/>
      <c r="F325" s="18"/>
      <c r="G325" s="18"/>
      <c r="H325" s="20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x14ac:dyDescent="0.3">
      <c r="A326" s="22"/>
      <c r="B326" s="18"/>
      <c r="C326" s="18"/>
      <c r="D326" s="18"/>
      <c r="E326" s="18"/>
      <c r="F326" s="18"/>
      <c r="G326" s="18"/>
      <c r="H326" s="20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x14ac:dyDescent="0.3">
      <c r="A327" s="22"/>
      <c r="B327" s="18"/>
      <c r="C327" s="18"/>
      <c r="D327" s="18"/>
      <c r="E327" s="18"/>
      <c r="F327" s="18"/>
      <c r="G327" s="18"/>
      <c r="H327" s="20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x14ac:dyDescent="0.3">
      <c r="A328" s="22"/>
      <c r="B328" s="18"/>
      <c r="C328" s="18"/>
      <c r="D328" s="18"/>
      <c r="E328" s="18"/>
      <c r="F328" s="18"/>
      <c r="G328" s="18"/>
      <c r="H328" s="20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x14ac:dyDescent="0.3">
      <c r="A329" s="22"/>
      <c r="B329" s="18"/>
      <c r="C329" s="18"/>
      <c r="D329" s="18"/>
      <c r="E329" s="18"/>
      <c r="F329" s="18"/>
      <c r="G329" s="18"/>
      <c r="H329" s="20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x14ac:dyDescent="0.3">
      <c r="A330" s="22"/>
      <c r="B330" s="18"/>
      <c r="C330" s="18"/>
      <c r="D330" s="18"/>
      <c r="E330" s="18"/>
      <c r="F330" s="18"/>
      <c r="G330" s="18"/>
      <c r="H330" s="20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x14ac:dyDescent="0.3">
      <c r="A331" s="22"/>
      <c r="B331" s="18"/>
      <c r="C331" s="18"/>
      <c r="D331" s="18"/>
      <c r="E331" s="18"/>
      <c r="F331" s="18"/>
      <c r="G331" s="18"/>
      <c r="H331" s="20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x14ac:dyDescent="0.3">
      <c r="A332" s="22"/>
      <c r="B332" s="18"/>
      <c r="C332" s="18"/>
      <c r="D332" s="18"/>
      <c r="E332" s="18"/>
      <c r="F332" s="18"/>
      <c r="G332" s="18"/>
      <c r="H332" s="20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x14ac:dyDescent="0.3">
      <c r="A333" s="22"/>
      <c r="B333" s="18"/>
      <c r="C333" s="18"/>
      <c r="D333" s="18"/>
      <c r="E333" s="18"/>
      <c r="F333" s="18"/>
      <c r="G333" s="18"/>
      <c r="H333" s="20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x14ac:dyDescent="0.3">
      <c r="A334" s="22"/>
      <c r="B334" s="18"/>
      <c r="C334" s="18"/>
      <c r="D334" s="18"/>
      <c r="E334" s="18"/>
      <c r="F334" s="18"/>
      <c r="G334" s="18"/>
      <c r="H334" s="20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x14ac:dyDescent="0.3">
      <c r="A335" s="22"/>
      <c r="B335" s="18"/>
      <c r="C335" s="18"/>
      <c r="D335" s="18"/>
      <c r="E335" s="18"/>
      <c r="F335" s="18"/>
      <c r="G335" s="18"/>
      <c r="H335" s="20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x14ac:dyDescent="0.3">
      <c r="A336" s="22"/>
      <c r="B336" s="18"/>
      <c r="C336" s="18"/>
      <c r="D336" s="18"/>
      <c r="E336" s="18"/>
      <c r="F336" s="18"/>
      <c r="G336" s="18"/>
      <c r="H336" s="20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x14ac:dyDescent="0.3">
      <c r="A337" s="22"/>
      <c r="B337" s="18"/>
      <c r="C337" s="18"/>
      <c r="D337" s="18"/>
      <c r="E337" s="18"/>
      <c r="F337" s="18"/>
      <c r="G337" s="18"/>
      <c r="H337" s="20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x14ac:dyDescent="0.3">
      <c r="A338" s="22"/>
      <c r="B338" s="18"/>
      <c r="C338" s="18"/>
      <c r="D338" s="18"/>
      <c r="E338" s="18"/>
      <c r="F338" s="18"/>
      <c r="G338" s="18"/>
      <c r="H338" s="20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x14ac:dyDescent="0.3">
      <c r="A339" s="22"/>
      <c r="B339" s="18"/>
      <c r="C339" s="18"/>
      <c r="D339" s="18"/>
      <c r="E339" s="18"/>
      <c r="F339" s="18"/>
      <c r="G339" s="18"/>
      <c r="H339" s="20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x14ac:dyDescent="0.3">
      <c r="A340" s="22"/>
      <c r="B340" s="18"/>
      <c r="C340" s="18"/>
      <c r="D340" s="18"/>
      <c r="E340" s="18"/>
      <c r="F340" s="18"/>
      <c r="G340" s="18"/>
      <c r="H340" s="20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x14ac:dyDescent="0.3">
      <c r="A341" s="22"/>
      <c r="B341" s="18"/>
      <c r="C341" s="18"/>
      <c r="D341" s="18"/>
      <c r="E341" s="18"/>
      <c r="F341" s="18"/>
      <c r="G341" s="18"/>
      <c r="H341" s="20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x14ac:dyDescent="0.3">
      <c r="A342" s="22"/>
      <c r="B342" s="18"/>
      <c r="C342" s="18"/>
      <c r="D342" s="18"/>
      <c r="E342" s="18"/>
      <c r="F342" s="18"/>
      <c r="G342" s="18"/>
      <c r="H342" s="20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x14ac:dyDescent="0.3">
      <c r="A343" s="22"/>
      <c r="B343" s="18"/>
      <c r="C343" s="18"/>
      <c r="D343" s="18"/>
      <c r="E343" s="18"/>
      <c r="F343" s="18"/>
      <c r="G343" s="18"/>
      <c r="H343" s="20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x14ac:dyDescent="0.3">
      <c r="A344" s="22"/>
      <c r="B344" s="18"/>
      <c r="C344" s="18"/>
      <c r="D344" s="18"/>
      <c r="E344" s="18"/>
      <c r="F344" s="18"/>
      <c r="G344" s="18"/>
      <c r="H344" s="20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x14ac:dyDescent="0.3">
      <c r="A345" s="22"/>
      <c r="B345" s="18"/>
      <c r="C345" s="18"/>
      <c r="D345" s="18"/>
      <c r="E345" s="18"/>
      <c r="F345" s="18"/>
      <c r="G345" s="18"/>
      <c r="H345" s="20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x14ac:dyDescent="0.3">
      <c r="A346" s="22"/>
      <c r="B346" s="18"/>
      <c r="C346" s="18"/>
      <c r="D346" s="18"/>
      <c r="E346" s="18"/>
      <c r="F346" s="18"/>
      <c r="G346" s="18"/>
      <c r="H346" s="20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x14ac:dyDescent="0.3">
      <c r="A347" s="22"/>
      <c r="B347" s="18"/>
      <c r="C347" s="18"/>
      <c r="D347" s="18"/>
      <c r="E347" s="18"/>
      <c r="F347" s="18"/>
      <c r="G347" s="18"/>
      <c r="H347" s="20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x14ac:dyDescent="0.3">
      <c r="A348" s="22"/>
      <c r="B348" s="18"/>
      <c r="C348" s="18"/>
      <c r="D348" s="18"/>
      <c r="E348" s="18"/>
      <c r="F348" s="18"/>
      <c r="G348" s="18"/>
      <c r="H348" s="20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x14ac:dyDescent="0.3">
      <c r="A349" s="22"/>
      <c r="B349" s="18"/>
      <c r="C349" s="18"/>
      <c r="D349" s="18"/>
      <c r="E349" s="18"/>
      <c r="F349" s="18"/>
      <c r="G349" s="18"/>
      <c r="H349" s="20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x14ac:dyDescent="0.3">
      <c r="A350" s="22"/>
      <c r="B350" s="18"/>
      <c r="C350" s="18"/>
      <c r="D350" s="18"/>
      <c r="E350" s="18"/>
      <c r="F350" s="18"/>
      <c r="G350" s="18"/>
      <c r="H350" s="20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x14ac:dyDescent="0.3">
      <c r="A351" s="22"/>
      <c r="B351" s="18"/>
      <c r="C351" s="18"/>
      <c r="D351" s="18"/>
      <c r="E351" s="18"/>
      <c r="F351" s="18"/>
      <c r="G351" s="18"/>
      <c r="H351" s="20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x14ac:dyDescent="0.3">
      <c r="A352" s="22"/>
      <c r="B352" s="18"/>
      <c r="C352" s="18"/>
      <c r="D352" s="18"/>
      <c r="E352" s="18"/>
      <c r="F352" s="18"/>
      <c r="G352" s="18"/>
      <c r="H352" s="20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x14ac:dyDescent="0.3">
      <c r="A353" s="22"/>
      <c r="B353" s="18"/>
      <c r="C353" s="18"/>
      <c r="D353" s="18"/>
      <c r="E353" s="18"/>
      <c r="F353" s="18"/>
      <c r="G353" s="18"/>
      <c r="H353" s="20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x14ac:dyDescent="0.3">
      <c r="A354" s="22"/>
      <c r="B354" s="18"/>
      <c r="C354" s="18"/>
      <c r="D354" s="18"/>
      <c r="E354" s="18"/>
      <c r="F354" s="18"/>
      <c r="G354" s="18"/>
      <c r="H354" s="20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x14ac:dyDescent="0.3">
      <c r="A355" s="22"/>
      <c r="B355" s="18"/>
      <c r="C355" s="18"/>
      <c r="D355" s="18"/>
      <c r="E355" s="18"/>
      <c r="F355" s="18"/>
      <c r="G355" s="18"/>
      <c r="H355" s="20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x14ac:dyDescent="0.3">
      <c r="A356" s="22"/>
      <c r="B356" s="18"/>
      <c r="C356" s="18"/>
      <c r="D356" s="18"/>
      <c r="E356" s="18"/>
      <c r="F356" s="18"/>
      <c r="G356" s="18"/>
      <c r="H356" s="20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x14ac:dyDescent="0.3">
      <c r="A357" s="22"/>
      <c r="B357" s="18"/>
      <c r="C357" s="18"/>
      <c r="D357" s="18"/>
      <c r="E357" s="18"/>
      <c r="F357" s="18"/>
      <c r="G357" s="18"/>
      <c r="H357" s="20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x14ac:dyDescent="0.3">
      <c r="A358" s="22"/>
      <c r="B358" s="18"/>
      <c r="C358" s="18"/>
      <c r="D358" s="18"/>
      <c r="E358" s="18"/>
      <c r="F358" s="18"/>
      <c r="G358" s="18"/>
      <c r="H358" s="20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x14ac:dyDescent="0.3">
      <c r="A359" s="22"/>
      <c r="B359" s="18"/>
      <c r="C359" s="18"/>
      <c r="D359" s="18"/>
      <c r="E359" s="18"/>
      <c r="F359" s="18"/>
      <c r="G359" s="18"/>
      <c r="H359" s="20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x14ac:dyDescent="0.3">
      <c r="A360" s="22"/>
      <c r="B360" s="18"/>
      <c r="C360" s="18"/>
      <c r="D360" s="18"/>
      <c r="E360" s="18"/>
      <c r="F360" s="18"/>
      <c r="G360" s="18"/>
      <c r="H360" s="20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x14ac:dyDescent="0.3">
      <c r="A361" s="22"/>
      <c r="B361" s="18"/>
      <c r="C361" s="18"/>
      <c r="D361" s="18"/>
      <c r="E361" s="18"/>
      <c r="F361" s="18"/>
      <c r="G361" s="18"/>
      <c r="H361" s="20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x14ac:dyDescent="0.3">
      <c r="A362" s="22"/>
      <c r="B362" s="18"/>
      <c r="C362" s="18"/>
      <c r="D362" s="18"/>
      <c r="E362" s="18"/>
      <c r="F362" s="18"/>
      <c r="G362" s="18"/>
      <c r="H362" s="20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x14ac:dyDescent="0.3">
      <c r="A363" s="22"/>
      <c r="B363" s="18"/>
      <c r="C363" s="18"/>
      <c r="D363" s="18"/>
      <c r="E363" s="18"/>
      <c r="F363" s="18"/>
      <c r="G363" s="18"/>
      <c r="H363" s="20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x14ac:dyDescent="0.3">
      <c r="A364" s="22"/>
      <c r="B364" s="18"/>
      <c r="C364" s="18"/>
      <c r="D364" s="18"/>
      <c r="E364" s="18"/>
      <c r="F364" s="18"/>
      <c r="G364" s="18"/>
      <c r="H364" s="20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x14ac:dyDescent="0.3">
      <c r="A365" s="22"/>
      <c r="B365" s="18"/>
      <c r="C365" s="18"/>
      <c r="D365" s="18"/>
      <c r="E365" s="18"/>
      <c r="F365" s="18"/>
      <c r="G365" s="18"/>
      <c r="H365" s="20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x14ac:dyDescent="0.3">
      <c r="A366" s="22"/>
      <c r="B366" s="18"/>
      <c r="C366" s="18"/>
      <c r="D366" s="18"/>
      <c r="E366" s="18"/>
      <c r="F366" s="18"/>
      <c r="G366" s="18"/>
      <c r="H366" s="20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x14ac:dyDescent="0.3">
      <c r="A367" s="22"/>
      <c r="B367" s="18"/>
      <c r="C367" s="18"/>
      <c r="D367" s="18"/>
      <c r="E367" s="18"/>
      <c r="F367" s="18"/>
      <c r="G367" s="18"/>
      <c r="H367" s="20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x14ac:dyDescent="0.3">
      <c r="A368" s="22"/>
      <c r="B368" s="18"/>
      <c r="C368" s="18"/>
      <c r="D368" s="18"/>
      <c r="E368" s="18"/>
      <c r="F368" s="18"/>
      <c r="G368" s="18"/>
      <c r="H368" s="20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x14ac:dyDescent="0.3">
      <c r="A369" s="22"/>
      <c r="B369" s="18"/>
      <c r="C369" s="18"/>
      <c r="D369" s="18"/>
      <c r="E369" s="18"/>
      <c r="F369" s="18"/>
      <c r="G369" s="18"/>
      <c r="H369" s="20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x14ac:dyDescent="0.3">
      <c r="A370" s="22"/>
      <c r="B370" s="18"/>
      <c r="C370" s="18"/>
      <c r="D370" s="18"/>
      <c r="E370" s="18"/>
      <c r="F370" s="18"/>
      <c r="G370" s="18"/>
      <c r="H370" s="20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x14ac:dyDescent="0.3">
      <c r="A371" s="22"/>
      <c r="B371" s="18"/>
      <c r="C371" s="18"/>
      <c r="D371" s="18"/>
      <c r="E371" s="18"/>
      <c r="F371" s="18"/>
      <c r="G371" s="18"/>
      <c r="H371" s="20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x14ac:dyDescent="0.3">
      <c r="A372" s="22"/>
      <c r="B372" s="18"/>
      <c r="C372" s="18"/>
      <c r="D372" s="18"/>
      <c r="E372" s="18"/>
      <c r="F372" s="18"/>
      <c r="G372" s="18"/>
      <c r="H372" s="20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x14ac:dyDescent="0.3">
      <c r="A373" s="22"/>
      <c r="B373" s="18"/>
      <c r="C373" s="18"/>
      <c r="D373" s="18"/>
      <c r="E373" s="18"/>
      <c r="F373" s="18"/>
      <c r="G373" s="18"/>
      <c r="H373" s="20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x14ac:dyDescent="0.3">
      <c r="A374" s="22"/>
      <c r="B374" s="18"/>
      <c r="C374" s="18"/>
      <c r="D374" s="18"/>
      <c r="E374" s="18"/>
      <c r="F374" s="18"/>
      <c r="G374" s="18"/>
      <c r="H374" s="20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x14ac:dyDescent="0.3">
      <c r="A375" s="22"/>
      <c r="B375" s="18"/>
      <c r="C375" s="18"/>
      <c r="D375" s="18"/>
      <c r="E375" s="18"/>
      <c r="F375" s="18"/>
      <c r="G375" s="18"/>
      <c r="H375" s="20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x14ac:dyDescent="0.3">
      <c r="A376" s="22"/>
      <c r="B376" s="18"/>
      <c r="C376" s="18"/>
      <c r="D376" s="18"/>
      <c r="E376" s="18"/>
      <c r="F376" s="18"/>
      <c r="G376" s="18"/>
      <c r="H376" s="20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x14ac:dyDescent="0.3">
      <c r="A377" s="22"/>
      <c r="B377" s="18"/>
      <c r="C377" s="18"/>
      <c r="D377" s="18"/>
      <c r="E377" s="18"/>
      <c r="F377" s="18"/>
      <c r="G377" s="18"/>
      <c r="H377" s="20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x14ac:dyDescent="0.3">
      <c r="A378" s="22"/>
      <c r="B378" s="18"/>
      <c r="C378" s="18"/>
      <c r="D378" s="18"/>
      <c r="E378" s="18"/>
      <c r="F378" s="18"/>
      <c r="G378" s="18"/>
      <c r="H378" s="20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x14ac:dyDescent="0.3">
      <c r="A379" s="22"/>
      <c r="B379" s="18"/>
      <c r="C379" s="18"/>
      <c r="D379" s="18"/>
      <c r="E379" s="18"/>
      <c r="F379" s="18"/>
      <c r="G379" s="18"/>
      <c r="H379" s="20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x14ac:dyDescent="0.3">
      <c r="A380" s="22"/>
      <c r="B380" s="18"/>
      <c r="C380" s="18"/>
      <c r="D380" s="18"/>
      <c r="E380" s="18"/>
      <c r="F380" s="18"/>
      <c r="G380" s="18"/>
      <c r="H380" s="20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x14ac:dyDescent="0.3">
      <c r="A381" s="22"/>
      <c r="B381" s="18"/>
      <c r="C381" s="18"/>
      <c r="D381" s="18"/>
      <c r="E381" s="18"/>
      <c r="F381" s="18"/>
      <c r="G381" s="18"/>
      <c r="H381" s="20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x14ac:dyDescent="0.3">
      <c r="A382" s="22"/>
      <c r="B382" s="18"/>
      <c r="C382" s="18"/>
      <c r="D382" s="18"/>
      <c r="E382" s="18"/>
      <c r="F382" s="18"/>
      <c r="G382" s="18"/>
      <c r="H382" s="20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x14ac:dyDescent="0.3">
      <c r="A383" s="22"/>
      <c r="B383" s="18"/>
      <c r="C383" s="18"/>
      <c r="D383" s="18"/>
      <c r="E383" s="18"/>
      <c r="F383" s="18"/>
      <c r="G383" s="18"/>
      <c r="H383" s="20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x14ac:dyDescent="0.3">
      <c r="A384" s="22"/>
      <c r="B384" s="18"/>
      <c r="C384" s="18"/>
      <c r="D384" s="18"/>
      <c r="E384" s="18"/>
      <c r="F384" s="18"/>
      <c r="G384" s="18"/>
      <c r="H384" s="20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x14ac:dyDescent="0.3">
      <c r="A385" s="22"/>
      <c r="B385" s="18"/>
      <c r="C385" s="18"/>
      <c r="D385" s="18"/>
      <c r="E385" s="18"/>
      <c r="F385" s="18"/>
      <c r="G385" s="18"/>
      <c r="H385" s="20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x14ac:dyDescent="0.3">
      <c r="A386" s="22"/>
      <c r="B386" s="18"/>
      <c r="C386" s="18"/>
      <c r="D386" s="18"/>
      <c r="E386" s="18"/>
      <c r="F386" s="18"/>
      <c r="G386" s="18"/>
      <c r="H386" s="20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x14ac:dyDescent="0.3">
      <c r="A387" s="22"/>
      <c r="B387" s="18"/>
      <c r="C387" s="18"/>
      <c r="D387" s="18"/>
      <c r="E387" s="18"/>
      <c r="F387" s="18"/>
      <c r="G387" s="18"/>
      <c r="H387" s="20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x14ac:dyDescent="0.3">
      <c r="A388" s="22"/>
      <c r="B388" s="18"/>
      <c r="C388" s="18"/>
      <c r="D388" s="18"/>
      <c r="E388" s="18"/>
      <c r="F388" s="18"/>
      <c r="G388" s="18"/>
      <c r="H388" s="20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x14ac:dyDescent="0.3">
      <c r="A389" s="22"/>
      <c r="B389" s="18"/>
      <c r="C389" s="18"/>
      <c r="D389" s="18"/>
      <c r="E389" s="18"/>
      <c r="F389" s="18"/>
      <c r="G389" s="18"/>
      <c r="H389" s="20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x14ac:dyDescent="0.3">
      <c r="A390" s="22"/>
      <c r="B390" s="18"/>
      <c r="C390" s="18"/>
      <c r="D390" s="18"/>
      <c r="E390" s="18"/>
      <c r="F390" s="18"/>
      <c r="G390" s="18"/>
      <c r="H390" s="20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x14ac:dyDescent="0.3">
      <c r="A391" s="22"/>
      <c r="B391" s="18"/>
      <c r="C391" s="18"/>
      <c r="D391" s="18"/>
      <c r="E391" s="18"/>
      <c r="F391" s="18"/>
      <c r="G391" s="18"/>
      <c r="H391" s="20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x14ac:dyDescent="0.3">
      <c r="A392" s="22"/>
      <c r="B392" s="18"/>
      <c r="C392" s="18"/>
      <c r="D392" s="18"/>
      <c r="E392" s="18"/>
      <c r="F392" s="18"/>
      <c r="G392" s="18"/>
      <c r="H392" s="20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x14ac:dyDescent="0.3">
      <c r="A393" s="22"/>
      <c r="B393" s="18"/>
      <c r="C393" s="18"/>
      <c r="D393" s="18"/>
      <c r="E393" s="18"/>
      <c r="F393" s="18"/>
      <c r="G393" s="18"/>
      <c r="H393" s="20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x14ac:dyDescent="0.3">
      <c r="A394" s="22"/>
      <c r="B394" s="18"/>
      <c r="C394" s="18"/>
      <c r="D394" s="18"/>
      <c r="E394" s="18"/>
      <c r="F394" s="18"/>
      <c r="G394" s="18"/>
      <c r="H394" s="20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x14ac:dyDescent="0.3">
      <c r="A395" s="22"/>
      <c r="B395" s="18"/>
      <c r="C395" s="18"/>
      <c r="D395" s="18"/>
      <c r="E395" s="18"/>
      <c r="F395" s="18"/>
      <c r="G395" s="18"/>
      <c r="H395" s="20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x14ac:dyDescent="0.3">
      <c r="A396" s="22"/>
      <c r="B396" s="18"/>
      <c r="C396" s="18"/>
      <c r="D396" s="18"/>
      <c r="E396" s="18"/>
      <c r="F396" s="18"/>
      <c r="G396" s="18"/>
      <c r="H396" s="20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x14ac:dyDescent="0.3">
      <c r="A397" s="22"/>
      <c r="B397" s="18"/>
      <c r="C397" s="18"/>
      <c r="D397" s="18"/>
      <c r="E397" s="18"/>
      <c r="F397" s="18"/>
      <c r="G397" s="18"/>
      <c r="H397" s="20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x14ac:dyDescent="0.3">
      <c r="A398" s="22"/>
      <c r="B398" s="18"/>
      <c r="C398" s="18"/>
      <c r="D398" s="18"/>
      <c r="E398" s="18"/>
      <c r="F398" s="18"/>
      <c r="G398" s="18"/>
      <c r="H398" s="20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x14ac:dyDescent="0.3">
      <c r="A399" s="22"/>
      <c r="B399" s="18"/>
      <c r="C399" s="18"/>
      <c r="D399" s="18"/>
      <c r="E399" s="18"/>
      <c r="F399" s="18"/>
      <c r="G399" s="18"/>
      <c r="H399" s="20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x14ac:dyDescent="0.3">
      <c r="A400" s="22"/>
      <c r="B400" s="18"/>
      <c r="C400" s="18"/>
      <c r="D400" s="18"/>
      <c r="E400" s="18"/>
      <c r="F400" s="18"/>
      <c r="G400" s="18"/>
      <c r="H400" s="20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x14ac:dyDescent="0.3">
      <c r="A401" s="22"/>
      <c r="B401" s="18"/>
      <c r="C401" s="18"/>
      <c r="D401" s="18"/>
      <c r="E401" s="18"/>
      <c r="F401" s="18"/>
      <c r="G401" s="18"/>
      <c r="H401" s="20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x14ac:dyDescent="0.3">
      <c r="A402" s="22"/>
      <c r="B402" s="18"/>
      <c r="C402" s="18"/>
      <c r="D402" s="18"/>
      <c r="E402" s="18"/>
      <c r="F402" s="18"/>
      <c r="G402" s="18"/>
      <c r="H402" s="20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x14ac:dyDescent="0.3">
      <c r="A403" s="22"/>
      <c r="B403" s="18"/>
      <c r="C403" s="18"/>
      <c r="D403" s="18"/>
      <c r="E403" s="18"/>
      <c r="F403" s="18"/>
      <c r="G403" s="18"/>
      <c r="H403" s="20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x14ac:dyDescent="0.3">
      <c r="A404" s="22"/>
      <c r="B404" s="18"/>
      <c r="C404" s="18"/>
      <c r="D404" s="18"/>
      <c r="E404" s="18"/>
      <c r="F404" s="18"/>
      <c r="G404" s="18"/>
      <c r="H404" s="20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x14ac:dyDescent="0.3">
      <c r="A405" s="22"/>
      <c r="B405" s="18"/>
      <c r="C405" s="18"/>
      <c r="D405" s="18"/>
      <c r="E405" s="18"/>
      <c r="F405" s="18"/>
      <c r="G405" s="18"/>
      <c r="H405" s="20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x14ac:dyDescent="0.3">
      <c r="A406" s="22"/>
      <c r="B406" s="18"/>
      <c r="C406" s="18"/>
      <c r="D406" s="18"/>
      <c r="E406" s="18"/>
      <c r="F406" s="18"/>
      <c r="G406" s="18"/>
      <c r="H406" s="20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x14ac:dyDescent="0.3">
      <c r="A407" s="22"/>
      <c r="B407" s="18"/>
      <c r="C407" s="18"/>
      <c r="D407" s="18"/>
      <c r="E407" s="18"/>
      <c r="F407" s="18"/>
      <c r="G407" s="18"/>
      <c r="H407" s="20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x14ac:dyDescent="0.3">
      <c r="A408" s="22"/>
      <c r="B408" s="18"/>
      <c r="C408" s="18"/>
      <c r="D408" s="18"/>
      <c r="E408" s="18"/>
      <c r="F408" s="18"/>
      <c r="G408" s="18"/>
      <c r="H408" s="20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x14ac:dyDescent="0.3">
      <c r="A409" s="22"/>
      <c r="B409" s="18"/>
      <c r="C409" s="18"/>
      <c r="D409" s="18"/>
      <c r="E409" s="18"/>
      <c r="F409" s="18"/>
      <c r="G409" s="18"/>
      <c r="H409" s="20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spans="1:25" x14ac:dyDescent="0.3">
      <c r="A410" s="22"/>
      <c r="B410" s="18"/>
      <c r="C410" s="18"/>
      <c r="D410" s="18"/>
      <c r="E410" s="18"/>
      <c r="F410" s="18"/>
      <c r="G410" s="18"/>
      <c r="H410" s="20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spans="1:25" x14ac:dyDescent="0.3">
      <c r="A411" s="22"/>
      <c r="B411" s="18"/>
      <c r="C411" s="18"/>
      <c r="D411" s="18"/>
      <c r="E411" s="18"/>
      <c r="F411" s="18"/>
      <c r="G411" s="18"/>
      <c r="H411" s="20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spans="1:25" x14ac:dyDescent="0.3">
      <c r="A412" s="22"/>
      <c r="B412" s="18"/>
      <c r="C412" s="18"/>
      <c r="D412" s="18"/>
      <c r="E412" s="18"/>
      <c r="F412" s="18"/>
      <c r="G412" s="18"/>
      <c r="H412" s="20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spans="1:25" x14ac:dyDescent="0.3">
      <c r="A413" s="22"/>
      <c r="B413" s="18"/>
      <c r="C413" s="18"/>
      <c r="D413" s="18"/>
      <c r="E413" s="18"/>
      <c r="F413" s="18"/>
      <c r="G413" s="18"/>
      <c r="H413" s="20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spans="1:25" x14ac:dyDescent="0.3">
      <c r="A414" s="22"/>
      <c r="B414" s="18"/>
      <c r="C414" s="18"/>
      <c r="D414" s="18"/>
      <c r="E414" s="18"/>
      <c r="F414" s="18"/>
      <c r="G414" s="18"/>
      <c r="H414" s="20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spans="1:25" x14ac:dyDescent="0.3">
      <c r="A415" s="22"/>
      <c r="B415" s="18"/>
      <c r="C415" s="18"/>
      <c r="D415" s="18"/>
      <c r="E415" s="18"/>
      <c r="F415" s="18"/>
      <c r="G415" s="18"/>
      <c r="H415" s="20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spans="1:25" x14ac:dyDescent="0.3">
      <c r="A416" s="22"/>
      <c r="B416" s="18"/>
      <c r="C416" s="18"/>
      <c r="D416" s="18"/>
      <c r="E416" s="18"/>
      <c r="F416" s="18"/>
      <c r="G416" s="18"/>
      <c r="H416" s="20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spans="1:25" x14ac:dyDescent="0.3">
      <c r="A417" s="22"/>
      <c r="B417" s="18"/>
      <c r="C417" s="18"/>
      <c r="D417" s="18"/>
      <c r="E417" s="18"/>
      <c r="F417" s="18"/>
      <c r="G417" s="18"/>
      <c r="H417" s="20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spans="1:25" x14ac:dyDescent="0.3">
      <c r="A418" s="22"/>
      <c r="B418" s="18"/>
      <c r="C418" s="18"/>
      <c r="D418" s="18"/>
      <c r="E418" s="18"/>
      <c r="F418" s="18"/>
      <c r="G418" s="18"/>
      <c r="H418" s="20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spans="1:25" x14ac:dyDescent="0.3">
      <c r="A419" s="22"/>
      <c r="B419" s="18"/>
      <c r="C419" s="18"/>
      <c r="D419" s="18"/>
      <c r="E419" s="18"/>
      <c r="F419" s="18"/>
      <c r="G419" s="18"/>
      <c r="H419" s="20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spans="1:25" x14ac:dyDescent="0.3">
      <c r="A420" s="22"/>
      <c r="B420" s="18"/>
      <c r="C420" s="18"/>
      <c r="D420" s="18"/>
      <c r="E420" s="18"/>
      <c r="F420" s="18"/>
      <c r="G420" s="18"/>
      <c r="H420" s="20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spans="1:25" x14ac:dyDescent="0.3">
      <c r="A421" s="22"/>
      <c r="B421" s="18"/>
      <c r="C421" s="18"/>
      <c r="D421" s="18"/>
      <c r="E421" s="18"/>
      <c r="F421" s="18"/>
      <c r="G421" s="18"/>
      <c r="H421" s="20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spans="1:25" x14ac:dyDescent="0.3">
      <c r="A422" s="22"/>
      <c r="B422" s="18"/>
      <c r="C422" s="18"/>
      <c r="D422" s="18"/>
      <c r="E422" s="18"/>
      <c r="F422" s="18"/>
      <c r="G422" s="18"/>
      <c r="H422" s="20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spans="1:25" x14ac:dyDescent="0.3">
      <c r="A423" s="22"/>
      <c r="B423" s="18"/>
      <c r="C423" s="18"/>
      <c r="D423" s="18"/>
      <c r="E423" s="18"/>
      <c r="F423" s="18"/>
      <c r="G423" s="18"/>
      <c r="H423" s="20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spans="1:25" x14ac:dyDescent="0.3">
      <c r="A424" s="22"/>
      <c r="B424" s="18"/>
      <c r="C424" s="18"/>
      <c r="D424" s="18"/>
      <c r="E424" s="18"/>
      <c r="F424" s="18"/>
      <c r="G424" s="18"/>
      <c r="H424" s="20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spans="1:25" x14ac:dyDescent="0.3">
      <c r="A425" s="22"/>
      <c r="B425" s="18"/>
      <c r="C425" s="18"/>
      <c r="D425" s="18"/>
      <c r="E425" s="18"/>
      <c r="F425" s="18"/>
      <c r="G425" s="18"/>
      <c r="H425" s="20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spans="1:25" x14ac:dyDescent="0.3">
      <c r="A426" s="22"/>
      <c r="B426" s="18"/>
      <c r="C426" s="18"/>
      <c r="D426" s="18"/>
      <c r="E426" s="18"/>
      <c r="F426" s="18"/>
      <c r="G426" s="18"/>
      <c r="H426" s="20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spans="1:25" x14ac:dyDescent="0.3">
      <c r="A427" s="22"/>
      <c r="B427" s="18"/>
      <c r="C427" s="18"/>
      <c r="D427" s="18"/>
      <c r="E427" s="18"/>
      <c r="F427" s="18"/>
      <c r="G427" s="18"/>
      <c r="H427" s="20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spans="1:25" x14ac:dyDescent="0.3">
      <c r="A428" s="22"/>
      <c r="B428" s="18"/>
      <c r="C428" s="18"/>
      <c r="D428" s="18"/>
      <c r="E428" s="18"/>
      <c r="F428" s="18"/>
      <c r="G428" s="18"/>
      <c r="H428" s="20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spans="1:25" x14ac:dyDescent="0.3">
      <c r="A429" s="22"/>
      <c r="B429" s="18"/>
      <c r="C429" s="18"/>
      <c r="D429" s="18"/>
      <c r="E429" s="18"/>
      <c r="F429" s="18"/>
      <c r="G429" s="18"/>
      <c r="H429" s="20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spans="1:25" x14ac:dyDescent="0.3">
      <c r="A430" s="22"/>
      <c r="B430" s="18"/>
      <c r="C430" s="18"/>
      <c r="D430" s="18"/>
      <c r="E430" s="18"/>
      <c r="F430" s="18"/>
      <c r="G430" s="18"/>
      <c r="H430" s="20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spans="1:25" x14ac:dyDescent="0.3">
      <c r="A431" s="22"/>
      <c r="B431" s="18"/>
      <c r="C431" s="18"/>
      <c r="D431" s="18"/>
      <c r="E431" s="18"/>
      <c r="F431" s="18"/>
      <c r="G431" s="18"/>
      <c r="H431" s="20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spans="1:25" x14ac:dyDescent="0.3">
      <c r="A432" s="22"/>
      <c r="B432" s="18"/>
      <c r="C432" s="18"/>
      <c r="D432" s="18"/>
      <c r="E432" s="18"/>
      <c r="F432" s="18"/>
      <c r="G432" s="18"/>
      <c r="H432" s="20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spans="1:25" x14ac:dyDescent="0.3">
      <c r="A433" s="22"/>
      <c r="B433" s="18"/>
      <c r="C433" s="18"/>
      <c r="D433" s="18"/>
      <c r="E433" s="18"/>
      <c r="F433" s="18"/>
      <c r="G433" s="18"/>
      <c r="H433" s="20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spans="1:25" x14ac:dyDescent="0.3">
      <c r="A434" s="22"/>
      <c r="B434" s="18"/>
      <c r="C434" s="18"/>
      <c r="D434" s="18"/>
      <c r="E434" s="18"/>
      <c r="F434" s="18"/>
      <c r="G434" s="18"/>
      <c r="H434" s="20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spans="1:25" x14ac:dyDescent="0.3">
      <c r="A435" s="22"/>
      <c r="B435" s="18"/>
      <c r="C435" s="18"/>
      <c r="D435" s="18"/>
      <c r="E435" s="18"/>
      <c r="F435" s="18"/>
      <c r="G435" s="18"/>
      <c r="H435" s="20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spans="1:25" x14ac:dyDescent="0.3">
      <c r="A436" s="22"/>
      <c r="B436" s="18"/>
      <c r="C436" s="18"/>
      <c r="D436" s="18"/>
      <c r="E436" s="18"/>
      <c r="F436" s="18"/>
      <c r="G436" s="18"/>
      <c r="H436" s="20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spans="1:25" x14ac:dyDescent="0.3">
      <c r="A437" s="22"/>
      <c r="B437" s="18"/>
      <c r="C437" s="18"/>
      <c r="D437" s="18"/>
      <c r="E437" s="18"/>
      <c r="F437" s="18"/>
      <c r="G437" s="18"/>
      <c r="H437" s="20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spans="1:25" x14ac:dyDescent="0.3">
      <c r="A438" s="22"/>
      <c r="B438" s="18"/>
      <c r="C438" s="18"/>
      <c r="D438" s="18"/>
      <c r="E438" s="18"/>
      <c r="F438" s="18"/>
      <c r="G438" s="18"/>
      <c r="H438" s="20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spans="1:25" x14ac:dyDescent="0.3">
      <c r="A439" s="22"/>
      <c r="B439" s="18"/>
      <c r="C439" s="18"/>
      <c r="D439" s="18"/>
      <c r="E439" s="18"/>
      <c r="F439" s="18"/>
      <c r="G439" s="18"/>
      <c r="H439" s="20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spans="1:25" x14ac:dyDescent="0.3">
      <c r="A440" s="22"/>
      <c r="B440" s="18"/>
      <c r="C440" s="18"/>
      <c r="D440" s="18"/>
      <c r="E440" s="18"/>
      <c r="F440" s="18"/>
      <c r="G440" s="18"/>
      <c r="H440" s="20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spans="1:25" x14ac:dyDescent="0.3">
      <c r="A441" s="22"/>
      <c r="B441" s="18"/>
      <c r="C441" s="18"/>
      <c r="D441" s="18"/>
      <c r="E441" s="18"/>
      <c r="F441" s="18"/>
      <c r="G441" s="18"/>
      <c r="H441" s="20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spans="1:25" x14ac:dyDescent="0.3">
      <c r="A442" s="22"/>
      <c r="B442" s="18"/>
      <c r="C442" s="18"/>
      <c r="D442" s="18"/>
      <c r="E442" s="18"/>
      <c r="F442" s="18"/>
      <c r="G442" s="18"/>
      <c r="H442" s="20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spans="1:25" x14ac:dyDescent="0.3">
      <c r="A443" s="22"/>
      <c r="B443" s="18"/>
      <c r="C443" s="18"/>
      <c r="D443" s="18"/>
      <c r="E443" s="18"/>
      <c r="F443" s="18"/>
      <c r="G443" s="18"/>
      <c r="H443" s="20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spans="1:25" x14ac:dyDescent="0.3">
      <c r="A444" s="22"/>
      <c r="B444" s="18"/>
      <c r="C444" s="18"/>
      <c r="D444" s="18"/>
      <c r="E444" s="18"/>
      <c r="F444" s="18"/>
      <c r="G444" s="18"/>
      <c r="H444" s="20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spans="1:25" x14ac:dyDescent="0.3">
      <c r="A445" s="22"/>
      <c r="B445" s="18"/>
      <c r="C445" s="18"/>
      <c r="D445" s="18"/>
      <c r="E445" s="18"/>
      <c r="F445" s="18"/>
      <c r="G445" s="18"/>
      <c r="H445" s="20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spans="1:25" x14ac:dyDescent="0.3">
      <c r="A446" s="22"/>
      <c r="B446" s="18"/>
      <c r="C446" s="18"/>
      <c r="D446" s="18"/>
      <c r="E446" s="18"/>
      <c r="F446" s="18"/>
      <c r="G446" s="18"/>
      <c r="H446" s="20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spans="1:25" x14ac:dyDescent="0.3">
      <c r="A447" s="22"/>
      <c r="B447" s="18"/>
      <c r="C447" s="18"/>
      <c r="D447" s="18"/>
      <c r="E447" s="18"/>
      <c r="F447" s="18"/>
      <c r="G447" s="18"/>
      <c r="H447" s="20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spans="1:25" x14ac:dyDescent="0.3">
      <c r="A448" s="22"/>
      <c r="B448" s="18"/>
      <c r="C448" s="18"/>
      <c r="D448" s="18"/>
      <c r="E448" s="18"/>
      <c r="F448" s="18"/>
      <c r="G448" s="18"/>
      <c r="H448" s="20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spans="1:25" x14ac:dyDescent="0.3">
      <c r="A449" s="22"/>
      <c r="B449" s="18"/>
      <c r="C449" s="18"/>
      <c r="D449" s="18"/>
      <c r="E449" s="18"/>
      <c r="F449" s="18"/>
      <c r="G449" s="18"/>
      <c r="H449" s="20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spans="1:25" x14ac:dyDescent="0.3">
      <c r="A450" s="22"/>
      <c r="B450" s="18"/>
      <c r="C450" s="18"/>
      <c r="D450" s="18"/>
      <c r="E450" s="18"/>
      <c r="F450" s="18"/>
      <c r="G450" s="18"/>
      <c r="H450" s="20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spans="1:25" x14ac:dyDescent="0.3">
      <c r="A451" s="22"/>
      <c r="B451" s="18"/>
      <c r="C451" s="18"/>
      <c r="D451" s="18"/>
      <c r="E451" s="18"/>
      <c r="F451" s="18"/>
      <c r="G451" s="18"/>
      <c r="H451" s="20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spans="1:25" x14ac:dyDescent="0.3">
      <c r="A452" s="22"/>
      <c r="B452" s="18"/>
      <c r="C452" s="18"/>
      <c r="D452" s="18"/>
      <c r="E452" s="18"/>
      <c r="F452" s="18"/>
      <c r="G452" s="18"/>
      <c r="H452" s="20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spans="1:25" x14ac:dyDescent="0.3">
      <c r="A453" s="22"/>
      <c r="B453" s="18"/>
      <c r="C453" s="18"/>
      <c r="D453" s="18"/>
      <c r="E453" s="18"/>
      <c r="F453" s="18"/>
      <c r="G453" s="18"/>
      <c r="H453" s="20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spans="1:25" x14ac:dyDescent="0.3">
      <c r="A454" s="22"/>
      <c r="B454" s="18"/>
      <c r="C454" s="18"/>
      <c r="D454" s="18"/>
      <c r="E454" s="18"/>
      <c r="F454" s="18"/>
      <c r="G454" s="18"/>
      <c r="H454" s="20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spans="1:25" x14ac:dyDescent="0.3">
      <c r="A455" s="22"/>
      <c r="B455" s="18"/>
      <c r="C455" s="18"/>
      <c r="D455" s="18"/>
      <c r="E455" s="18"/>
      <c r="F455" s="18"/>
      <c r="G455" s="18"/>
      <c r="H455" s="20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spans="1:25" x14ac:dyDescent="0.3">
      <c r="A456" s="22"/>
      <c r="B456" s="18"/>
      <c r="C456" s="18"/>
      <c r="D456" s="18"/>
      <c r="E456" s="18"/>
      <c r="F456" s="18"/>
      <c r="G456" s="18"/>
      <c r="H456" s="20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spans="1:25" x14ac:dyDescent="0.3">
      <c r="A457" s="22"/>
      <c r="B457" s="18"/>
      <c r="C457" s="18"/>
      <c r="D457" s="18"/>
      <c r="E457" s="18"/>
      <c r="F457" s="18"/>
      <c r="G457" s="18"/>
      <c r="H457" s="20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spans="1:25" x14ac:dyDescent="0.3">
      <c r="A458" s="22"/>
      <c r="B458" s="18"/>
      <c r="C458" s="18"/>
      <c r="D458" s="18"/>
      <c r="E458" s="18"/>
      <c r="F458" s="18"/>
      <c r="G458" s="18"/>
      <c r="H458" s="20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spans="1:25" x14ac:dyDescent="0.3">
      <c r="A459" s="22"/>
      <c r="B459" s="18"/>
      <c r="C459" s="18"/>
      <c r="D459" s="18"/>
      <c r="E459" s="18"/>
      <c r="F459" s="18"/>
      <c r="G459" s="18"/>
      <c r="H459" s="20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spans="1:25" x14ac:dyDescent="0.3">
      <c r="A460" s="22"/>
      <c r="B460" s="18"/>
      <c r="C460" s="18"/>
      <c r="D460" s="18"/>
      <c r="E460" s="18"/>
      <c r="F460" s="18"/>
      <c r="G460" s="18"/>
      <c r="H460" s="20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spans="1:25" x14ac:dyDescent="0.3">
      <c r="A461" s="22"/>
      <c r="B461" s="18"/>
      <c r="C461" s="18"/>
      <c r="D461" s="18"/>
      <c r="E461" s="18"/>
      <c r="F461" s="18"/>
      <c r="G461" s="18"/>
      <c r="H461" s="20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spans="1:25" x14ac:dyDescent="0.3">
      <c r="A462" s="22"/>
      <c r="B462" s="18"/>
      <c r="C462" s="18"/>
      <c r="D462" s="18"/>
      <c r="E462" s="18"/>
      <c r="F462" s="18"/>
      <c r="G462" s="18"/>
      <c r="H462" s="20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spans="1:25" x14ac:dyDescent="0.3">
      <c r="A463" s="22"/>
      <c r="B463" s="18"/>
      <c r="C463" s="18"/>
      <c r="D463" s="18"/>
      <c r="E463" s="18"/>
      <c r="F463" s="18"/>
      <c r="G463" s="18"/>
      <c r="H463" s="20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spans="1:25" x14ac:dyDescent="0.3">
      <c r="A464" s="22"/>
      <c r="B464" s="18"/>
      <c r="C464" s="18"/>
      <c r="D464" s="18"/>
      <c r="E464" s="18"/>
      <c r="F464" s="18"/>
      <c r="G464" s="18"/>
      <c r="H464" s="20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spans="1:25" x14ac:dyDescent="0.3">
      <c r="A465" s="22"/>
      <c r="B465" s="18"/>
      <c r="C465" s="18"/>
      <c r="D465" s="18"/>
      <c r="E465" s="18"/>
      <c r="F465" s="18"/>
      <c r="G465" s="18"/>
      <c r="H465" s="20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spans="1:25" x14ac:dyDescent="0.3">
      <c r="A466" s="22"/>
      <c r="B466" s="18"/>
      <c r="C466" s="18"/>
      <c r="D466" s="18"/>
      <c r="E466" s="18"/>
      <c r="F466" s="18"/>
      <c r="G466" s="18"/>
      <c r="H466" s="20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spans="1:25" x14ac:dyDescent="0.3">
      <c r="A467" s="22"/>
      <c r="B467" s="18"/>
      <c r="C467" s="18"/>
      <c r="D467" s="18"/>
      <c r="E467" s="18"/>
      <c r="F467" s="18"/>
      <c r="G467" s="18"/>
      <c r="H467" s="20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spans="1:25" x14ac:dyDescent="0.3">
      <c r="A468" s="22"/>
      <c r="B468" s="18"/>
      <c r="C468" s="18"/>
      <c r="D468" s="18"/>
      <c r="E468" s="18"/>
      <c r="F468" s="18"/>
      <c r="G468" s="18"/>
      <c r="H468" s="20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spans="1:25" x14ac:dyDescent="0.3">
      <c r="A469" s="22"/>
      <c r="B469" s="18"/>
      <c r="C469" s="18"/>
      <c r="D469" s="18"/>
      <c r="E469" s="18"/>
      <c r="F469" s="18"/>
      <c r="G469" s="18"/>
      <c r="H469" s="20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spans="1:25" x14ac:dyDescent="0.3">
      <c r="A470" s="22"/>
      <c r="B470" s="18"/>
      <c r="C470" s="18"/>
      <c r="D470" s="18"/>
      <c r="E470" s="18"/>
      <c r="F470" s="18"/>
      <c r="G470" s="18"/>
      <c r="H470" s="20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spans="1:25" x14ac:dyDescent="0.3">
      <c r="A471" s="22"/>
      <c r="B471" s="18"/>
      <c r="C471" s="18"/>
      <c r="D471" s="18"/>
      <c r="E471" s="18"/>
      <c r="F471" s="18"/>
      <c r="G471" s="18"/>
      <c r="H471" s="20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spans="1:25" x14ac:dyDescent="0.3">
      <c r="A472" s="22"/>
      <c r="B472" s="18"/>
      <c r="C472" s="18"/>
      <c r="D472" s="18"/>
      <c r="E472" s="18"/>
      <c r="F472" s="18"/>
      <c r="G472" s="18"/>
      <c r="H472" s="20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spans="1:25" x14ac:dyDescent="0.3">
      <c r="A473" s="22"/>
      <c r="B473" s="18"/>
      <c r="C473" s="18"/>
      <c r="D473" s="18"/>
      <c r="E473" s="18"/>
      <c r="F473" s="18"/>
      <c r="G473" s="18"/>
      <c r="H473" s="20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spans="1:25" x14ac:dyDescent="0.3">
      <c r="A474" s="22"/>
      <c r="B474" s="18"/>
      <c r="C474" s="18"/>
      <c r="D474" s="18"/>
      <c r="E474" s="18"/>
      <c r="F474" s="18"/>
      <c r="G474" s="18"/>
      <c r="H474" s="20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spans="1:25" x14ac:dyDescent="0.3">
      <c r="A475" s="22"/>
      <c r="B475" s="18"/>
      <c r="C475" s="18"/>
      <c r="D475" s="18"/>
      <c r="E475" s="18"/>
      <c r="F475" s="18"/>
      <c r="G475" s="18"/>
      <c r="H475" s="20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spans="1:25" x14ac:dyDescent="0.3">
      <c r="A476" s="22"/>
      <c r="B476" s="18"/>
      <c r="C476" s="18"/>
      <c r="D476" s="18"/>
      <c r="E476" s="18"/>
      <c r="F476" s="18"/>
      <c r="G476" s="18"/>
      <c r="H476" s="20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spans="1:25" x14ac:dyDescent="0.3">
      <c r="A477" s="22"/>
      <c r="B477" s="18"/>
      <c r="C477" s="18"/>
      <c r="D477" s="18"/>
      <c r="E477" s="18"/>
      <c r="F477" s="18"/>
      <c r="G477" s="18"/>
      <c r="H477" s="20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spans="1:25" x14ac:dyDescent="0.3">
      <c r="A478" s="22"/>
      <c r="B478" s="18"/>
      <c r="C478" s="18"/>
      <c r="D478" s="18"/>
      <c r="E478" s="18"/>
      <c r="F478" s="18"/>
      <c r="G478" s="18"/>
      <c r="H478" s="20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spans="1:25" x14ac:dyDescent="0.3">
      <c r="A479" s="22"/>
      <c r="B479" s="18"/>
      <c r="C479" s="18"/>
      <c r="D479" s="18"/>
      <c r="E479" s="18"/>
      <c r="F479" s="18"/>
      <c r="G479" s="18"/>
      <c r="H479" s="20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spans="1:25" x14ac:dyDescent="0.3">
      <c r="A480" s="22"/>
      <c r="B480" s="18"/>
      <c r="C480" s="18"/>
      <c r="D480" s="18"/>
      <c r="E480" s="18"/>
      <c r="F480" s="18"/>
      <c r="G480" s="18"/>
      <c r="H480" s="20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spans="1:25" x14ac:dyDescent="0.3">
      <c r="A481" s="22"/>
      <c r="B481" s="18"/>
      <c r="C481" s="18"/>
      <c r="D481" s="18"/>
      <c r="E481" s="18"/>
      <c r="F481" s="18"/>
      <c r="G481" s="18"/>
      <c r="H481" s="20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spans="1:25" x14ac:dyDescent="0.3">
      <c r="A482" s="22"/>
      <c r="B482" s="18"/>
      <c r="C482" s="18"/>
      <c r="D482" s="18"/>
      <c r="E482" s="18"/>
      <c r="F482" s="18"/>
      <c r="G482" s="18"/>
      <c r="H482" s="20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spans="1:25" x14ac:dyDescent="0.3">
      <c r="A483" s="22"/>
      <c r="B483" s="18"/>
      <c r="C483" s="18"/>
      <c r="D483" s="18"/>
      <c r="E483" s="18"/>
      <c r="F483" s="18"/>
      <c r="G483" s="18"/>
      <c r="H483" s="20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spans="1:25" x14ac:dyDescent="0.3">
      <c r="A484" s="22"/>
      <c r="B484" s="18"/>
      <c r="C484" s="18"/>
      <c r="D484" s="18"/>
      <c r="E484" s="18"/>
      <c r="F484" s="18"/>
      <c r="G484" s="18"/>
      <c r="H484" s="20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spans="1:25" x14ac:dyDescent="0.3">
      <c r="A485" s="22"/>
      <c r="B485" s="18"/>
      <c r="C485" s="18"/>
      <c r="D485" s="18"/>
      <c r="E485" s="18"/>
      <c r="F485" s="18"/>
      <c r="G485" s="18"/>
      <c r="H485" s="20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spans="1:25" x14ac:dyDescent="0.3">
      <c r="A486" s="22"/>
      <c r="B486" s="18"/>
      <c r="C486" s="18"/>
      <c r="D486" s="18"/>
      <c r="E486" s="18"/>
      <c r="F486" s="18"/>
      <c r="G486" s="18"/>
      <c r="H486" s="20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spans="1:25" x14ac:dyDescent="0.3">
      <c r="A487" s="22"/>
      <c r="B487" s="18"/>
      <c r="C487" s="18"/>
      <c r="D487" s="18"/>
      <c r="E487" s="18"/>
      <c r="F487" s="18"/>
      <c r="G487" s="18"/>
      <c r="H487" s="20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spans="1:25" x14ac:dyDescent="0.3">
      <c r="A488" s="22"/>
      <c r="B488" s="18"/>
      <c r="C488" s="18"/>
      <c r="D488" s="18"/>
      <c r="E488" s="18"/>
      <c r="F488" s="18"/>
      <c r="G488" s="18"/>
      <c r="H488" s="20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spans="1:25" x14ac:dyDescent="0.3">
      <c r="A489" s="22"/>
      <c r="B489" s="18"/>
      <c r="C489" s="18"/>
      <c r="D489" s="18"/>
      <c r="E489" s="18"/>
      <c r="F489" s="18"/>
      <c r="G489" s="18"/>
      <c r="H489" s="20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spans="1:25" x14ac:dyDescent="0.3">
      <c r="A490" s="22"/>
      <c r="B490" s="18"/>
      <c r="C490" s="18"/>
      <c r="D490" s="18"/>
      <c r="E490" s="18"/>
      <c r="F490" s="18"/>
      <c r="G490" s="18"/>
      <c r="H490" s="20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spans="1:25" x14ac:dyDescent="0.3">
      <c r="A491" s="22"/>
      <c r="B491" s="18"/>
      <c r="C491" s="18"/>
      <c r="D491" s="18"/>
      <c r="E491" s="18"/>
      <c r="F491" s="18"/>
      <c r="G491" s="18"/>
      <c r="H491" s="20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spans="1:25" x14ac:dyDescent="0.3">
      <c r="A492" s="22"/>
      <c r="B492" s="18"/>
      <c r="C492" s="18"/>
      <c r="D492" s="18"/>
      <c r="E492" s="18"/>
      <c r="F492" s="18"/>
      <c r="G492" s="18"/>
      <c r="H492" s="20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spans="1:25" x14ac:dyDescent="0.3">
      <c r="A493" s="22"/>
      <c r="B493" s="18"/>
      <c r="C493" s="18"/>
      <c r="D493" s="18"/>
      <c r="E493" s="18"/>
      <c r="F493" s="18"/>
      <c r="G493" s="18"/>
      <c r="H493" s="20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spans="1:25" x14ac:dyDescent="0.3">
      <c r="A494" s="22"/>
      <c r="B494" s="18"/>
      <c r="C494" s="18"/>
      <c r="D494" s="18"/>
      <c r="E494" s="18"/>
      <c r="F494" s="18"/>
      <c r="G494" s="18"/>
      <c r="H494" s="20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spans="1:25" x14ac:dyDescent="0.3">
      <c r="A495" s="22"/>
      <c r="B495" s="18"/>
      <c r="C495" s="18"/>
      <c r="D495" s="18"/>
      <c r="E495" s="18"/>
      <c r="F495" s="18"/>
      <c r="G495" s="18"/>
      <c r="H495" s="20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spans="1:25" x14ac:dyDescent="0.3">
      <c r="A496" s="22"/>
      <c r="B496" s="18"/>
      <c r="C496" s="18"/>
      <c r="D496" s="18"/>
      <c r="E496" s="18"/>
      <c r="F496" s="18"/>
      <c r="G496" s="18"/>
      <c r="H496" s="20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spans="1:25" x14ac:dyDescent="0.3">
      <c r="A497" s="22"/>
      <c r="B497" s="18"/>
      <c r="C497" s="18"/>
      <c r="D497" s="18"/>
      <c r="E497" s="18"/>
      <c r="F497" s="18"/>
      <c r="G497" s="18"/>
      <c r="H497" s="20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spans="1:25" x14ac:dyDescent="0.3">
      <c r="A498" s="22"/>
      <c r="B498" s="18"/>
      <c r="C498" s="18"/>
      <c r="D498" s="18"/>
      <c r="E498" s="18"/>
      <c r="F498" s="18"/>
      <c r="G498" s="18"/>
      <c r="H498" s="20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spans="1:25" x14ac:dyDescent="0.3">
      <c r="A499" s="22"/>
      <c r="B499" s="18"/>
      <c r="C499" s="18"/>
      <c r="D499" s="18"/>
      <c r="E499" s="18"/>
      <c r="F499" s="18"/>
      <c r="G499" s="18"/>
      <c r="H499" s="20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spans="1:25" x14ac:dyDescent="0.3">
      <c r="A500" s="22"/>
      <c r="B500" s="18"/>
      <c r="C500" s="18"/>
      <c r="D500" s="18"/>
      <c r="E500" s="18"/>
      <c r="F500" s="18"/>
      <c r="G500" s="18"/>
      <c r="H500" s="20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spans="1:25" x14ac:dyDescent="0.3">
      <c r="A501" s="22"/>
      <c r="B501" s="18"/>
      <c r="C501" s="18"/>
      <c r="D501" s="18"/>
      <c r="E501" s="18"/>
      <c r="F501" s="18"/>
      <c r="G501" s="18"/>
      <c r="H501" s="20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spans="1:25" x14ac:dyDescent="0.3">
      <c r="A502" s="22"/>
      <c r="B502" s="18"/>
      <c r="C502" s="18"/>
      <c r="D502" s="18"/>
      <c r="E502" s="18"/>
      <c r="F502" s="18"/>
      <c r="G502" s="18"/>
      <c r="H502" s="20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spans="1:25" x14ac:dyDescent="0.3">
      <c r="A503" s="22"/>
      <c r="B503" s="18"/>
      <c r="C503" s="18"/>
      <c r="D503" s="18"/>
      <c r="E503" s="18"/>
      <c r="F503" s="18"/>
      <c r="G503" s="18"/>
      <c r="H503" s="20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spans="1:25" x14ac:dyDescent="0.3">
      <c r="A504" s="22"/>
      <c r="B504" s="18"/>
      <c r="C504" s="18"/>
      <c r="D504" s="18"/>
      <c r="E504" s="18"/>
      <c r="F504" s="18"/>
      <c r="G504" s="18"/>
      <c r="H504" s="20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spans="1:25" x14ac:dyDescent="0.3">
      <c r="A505" s="22"/>
      <c r="B505" s="18"/>
      <c r="C505" s="18"/>
      <c r="D505" s="18"/>
      <c r="E505" s="18"/>
      <c r="F505" s="18"/>
      <c r="G505" s="18"/>
      <c r="H505" s="20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spans="1:25" x14ac:dyDescent="0.3">
      <c r="A506" s="22"/>
      <c r="B506" s="18"/>
      <c r="C506" s="18"/>
      <c r="D506" s="18"/>
      <c r="E506" s="18"/>
      <c r="F506" s="18"/>
      <c r="G506" s="18"/>
      <c r="H506" s="20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spans="1:25" x14ac:dyDescent="0.3">
      <c r="A507" s="22"/>
      <c r="B507" s="18"/>
      <c r="C507" s="18"/>
      <c r="D507" s="18"/>
      <c r="E507" s="18"/>
      <c r="F507" s="18"/>
      <c r="G507" s="18"/>
      <c r="H507" s="20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spans="1:25" x14ac:dyDescent="0.3">
      <c r="A508" s="22"/>
      <c r="B508" s="18"/>
      <c r="C508" s="18"/>
      <c r="D508" s="18"/>
      <c r="E508" s="18"/>
      <c r="F508" s="18"/>
      <c r="G508" s="18"/>
      <c r="H508" s="20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spans="1:25" x14ac:dyDescent="0.3">
      <c r="A509" s="22"/>
      <c r="B509" s="18"/>
      <c r="C509" s="18"/>
      <c r="D509" s="18"/>
      <c r="E509" s="18"/>
      <c r="F509" s="18"/>
      <c r="G509" s="18"/>
      <c r="H509" s="20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spans="1:25" x14ac:dyDescent="0.3">
      <c r="A510" s="22"/>
      <c r="B510" s="18"/>
      <c r="C510" s="18"/>
      <c r="D510" s="18"/>
      <c r="E510" s="18"/>
      <c r="F510" s="18"/>
      <c r="G510" s="18"/>
      <c r="H510" s="20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spans="1:25" x14ac:dyDescent="0.3">
      <c r="A511" s="22"/>
      <c r="B511" s="18"/>
      <c r="C511" s="18"/>
      <c r="D511" s="18"/>
      <c r="E511" s="18"/>
      <c r="F511" s="18"/>
      <c r="G511" s="18"/>
      <c r="H511" s="20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spans="1:25" x14ac:dyDescent="0.3">
      <c r="A512" s="22"/>
      <c r="B512" s="18"/>
      <c r="C512" s="18"/>
      <c r="D512" s="18"/>
      <c r="E512" s="18"/>
      <c r="F512" s="18"/>
      <c r="G512" s="18"/>
      <c r="H512" s="20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spans="1:25" x14ac:dyDescent="0.3">
      <c r="A513" s="22"/>
      <c r="B513" s="18"/>
      <c r="C513" s="18"/>
      <c r="D513" s="18"/>
      <c r="E513" s="18"/>
      <c r="F513" s="18"/>
      <c r="G513" s="18"/>
      <c r="H513" s="20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spans="1:25" x14ac:dyDescent="0.3">
      <c r="A514" s="22"/>
      <c r="B514" s="18"/>
      <c r="C514" s="18"/>
      <c r="D514" s="18"/>
      <c r="E514" s="18"/>
      <c r="F514" s="18"/>
      <c r="G514" s="18"/>
      <c r="H514" s="20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spans="1:25" x14ac:dyDescent="0.3">
      <c r="A515" s="22"/>
      <c r="B515" s="18"/>
      <c r="C515" s="18"/>
      <c r="D515" s="18"/>
      <c r="E515" s="18"/>
      <c r="F515" s="18"/>
      <c r="G515" s="18"/>
      <c r="H515" s="20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spans="1:25" x14ac:dyDescent="0.3">
      <c r="A516" s="22"/>
      <c r="B516" s="18"/>
      <c r="C516" s="18"/>
      <c r="D516" s="18"/>
      <c r="E516" s="18"/>
      <c r="F516" s="18"/>
      <c r="G516" s="18"/>
      <c r="H516" s="20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spans="1:25" x14ac:dyDescent="0.3">
      <c r="A517" s="22"/>
      <c r="B517" s="18"/>
      <c r="C517" s="18"/>
      <c r="D517" s="18"/>
      <c r="E517" s="18"/>
      <c r="F517" s="18"/>
      <c r="G517" s="18"/>
      <c r="H517" s="20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spans="1:25" x14ac:dyDescent="0.3">
      <c r="A518" s="22"/>
      <c r="B518" s="18"/>
      <c r="C518" s="18"/>
      <c r="D518" s="18"/>
      <c r="E518" s="18"/>
      <c r="F518" s="18"/>
      <c r="G518" s="18"/>
      <c r="H518" s="20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spans="1:25" x14ac:dyDescent="0.3">
      <c r="A519" s="22"/>
      <c r="B519" s="18"/>
      <c r="C519" s="18"/>
      <c r="D519" s="18"/>
      <c r="E519" s="18"/>
      <c r="F519" s="18"/>
      <c r="G519" s="18"/>
      <c r="H519" s="20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spans="1:25" x14ac:dyDescent="0.3">
      <c r="A520" s="22"/>
      <c r="B520" s="18"/>
      <c r="C520" s="18"/>
      <c r="D520" s="18"/>
      <c r="E520" s="18"/>
      <c r="F520" s="18"/>
      <c r="G520" s="18"/>
      <c r="H520" s="20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spans="1:25" x14ac:dyDescent="0.3">
      <c r="A521" s="22"/>
      <c r="B521" s="18"/>
      <c r="C521" s="18"/>
      <c r="D521" s="18"/>
      <c r="E521" s="18"/>
      <c r="F521" s="18"/>
      <c r="G521" s="18"/>
      <c r="H521" s="20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spans="1:25" x14ac:dyDescent="0.3">
      <c r="A522" s="22"/>
      <c r="B522" s="18"/>
      <c r="C522" s="18"/>
      <c r="D522" s="18"/>
      <c r="E522" s="18"/>
      <c r="F522" s="18"/>
      <c r="G522" s="18"/>
      <c r="H522" s="20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spans="1:25" x14ac:dyDescent="0.3">
      <c r="A523" s="22"/>
      <c r="B523" s="18"/>
      <c r="C523" s="18"/>
      <c r="D523" s="18"/>
      <c r="E523" s="18"/>
      <c r="F523" s="18"/>
      <c r="G523" s="18"/>
      <c r="H523" s="20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spans="1:25" x14ac:dyDescent="0.3">
      <c r="A524" s="22"/>
      <c r="B524" s="18"/>
      <c r="C524" s="18"/>
      <c r="D524" s="18"/>
      <c r="E524" s="18"/>
      <c r="F524" s="18"/>
      <c r="G524" s="18"/>
      <c r="H524" s="20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spans="1:25" x14ac:dyDescent="0.3">
      <c r="A525" s="22"/>
      <c r="B525" s="18"/>
      <c r="C525" s="18"/>
      <c r="D525" s="18"/>
      <c r="E525" s="18"/>
      <c r="F525" s="18"/>
      <c r="G525" s="18"/>
      <c r="H525" s="20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spans="1:25" x14ac:dyDescent="0.3">
      <c r="A526" s="22"/>
      <c r="B526" s="18"/>
      <c r="C526" s="18"/>
      <c r="D526" s="18"/>
      <c r="E526" s="18"/>
      <c r="F526" s="18"/>
      <c r="G526" s="18"/>
      <c r="H526" s="20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spans="1:25" x14ac:dyDescent="0.3">
      <c r="A527" s="22"/>
      <c r="B527" s="18"/>
      <c r="C527" s="18"/>
      <c r="D527" s="18"/>
      <c r="E527" s="18"/>
      <c r="F527" s="18"/>
      <c r="G527" s="18"/>
      <c r="H527" s="20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spans="1:25" x14ac:dyDescent="0.3">
      <c r="A528" s="22"/>
      <c r="B528" s="18"/>
      <c r="C528" s="18"/>
      <c r="D528" s="18"/>
      <c r="E528" s="18"/>
      <c r="F528" s="18"/>
      <c r="G528" s="18"/>
      <c r="H528" s="20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spans="1:25" x14ac:dyDescent="0.3">
      <c r="A529" s="22"/>
      <c r="B529" s="18"/>
      <c r="C529" s="18"/>
      <c r="D529" s="18"/>
      <c r="E529" s="18"/>
      <c r="F529" s="18"/>
      <c r="G529" s="18"/>
      <c r="H529" s="20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spans="1:25" x14ac:dyDescent="0.3">
      <c r="A530" s="22"/>
      <c r="B530" s="18"/>
      <c r="C530" s="18"/>
      <c r="D530" s="18"/>
      <c r="E530" s="18"/>
      <c r="F530" s="18"/>
      <c r="G530" s="18"/>
      <c r="H530" s="20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spans="1:25" x14ac:dyDescent="0.3">
      <c r="A531" s="22"/>
      <c r="B531" s="18"/>
      <c r="C531" s="18"/>
      <c r="D531" s="18"/>
      <c r="E531" s="18"/>
      <c r="F531" s="18"/>
      <c r="G531" s="18"/>
      <c r="H531" s="20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spans="1:25" x14ac:dyDescent="0.3">
      <c r="A532" s="22"/>
      <c r="B532" s="18"/>
      <c r="C532" s="18"/>
      <c r="D532" s="18"/>
      <c r="E532" s="18"/>
      <c r="F532" s="18"/>
      <c r="G532" s="18"/>
      <c r="H532" s="20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spans="1:25" x14ac:dyDescent="0.3">
      <c r="A533" s="22"/>
      <c r="B533" s="18"/>
      <c r="C533" s="18"/>
      <c r="D533" s="18"/>
      <c r="E533" s="18"/>
      <c r="F533" s="18"/>
      <c r="G533" s="18"/>
      <c r="H533" s="20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spans="1:25" x14ac:dyDescent="0.3">
      <c r="A534" s="22"/>
      <c r="B534" s="18"/>
      <c r="C534" s="18"/>
      <c r="D534" s="18"/>
      <c r="E534" s="18"/>
      <c r="F534" s="18"/>
      <c r="G534" s="18"/>
      <c r="H534" s="20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spans="1:25" x14ac:dyDescent="0.3">
      <c r="A535" s="22"/>
      <c r="B535" s="18"/>
      <c r="C535" s="18"/>
      <c r="D535" s="18"/>
      <c r="E535" s="18"/>
      <c r="F535" s="18"/>
      <c r="G535" s="18"/>
      <c r="H535" s="20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spans="1:25" x14ac:dyDescent="0.3">
      <c r="A536" s="22"/>
      <c r="B536" s="18"/>
      <c r="C536" s="18"/>
      <c r="D536" s="18"/>
      <c r="E536" s="18"/>
      <c r="F536" s="18"/>
      <c r="G536" s="18"/>
      <c r="H536" s="20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spans="1:25" x14ac:dyDescent="0.3">
      <c r="A537" s="22"/>
      <c r="B537" s="18"/>
      <c r="C537" s="18"/>
      <c r="D537" s="18"/>
      <c r="E537" s="18"/>
      <c r="F537" s="18"/>
      <c r="G537" s="18"/>
      <c r="H537" s="20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spans="1:25" x14ac:dyDescent="0.3">
      <c r="A538" s="22"/>
      <c r="B538" s="18"/>
      <c r="C538" s="18"/>
      <c r="D538" s="18"/>
      <c r="E538" s="18"/>
      <c r="F538" s="18"/>
      <c r="G538" s="18"/>
      <c r="H538" s="20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spans="1:25" x14ac:dyDescent="0.3">
      <c r="A539" s="22"/>
      <c r="B539" s="18"/>
      <c r="C539" s="18"/>
      <c r="D539" s="18"/>
      <c r="E539" s="18"/>
      <c r="F539" s="18"/>
      <c r="G539" s="18"/>
      <c r="H539" s="20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spans="1:25" x14ac:dyDescent="0.3">
      <c r="A540" s="22"/>
      <c r="B540" s="18"/>
      <c r="C540" s="18"/>
      <c r="D540" s="18"/>
      <c r="E540" s="18"/>
      <c r="F540" s="18"/>
      <c r="G540" s="18"/>
      <c r="H540" s="20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spans="1:25" x14ac:dyDescent="0.3">
      <c r="A541" s="22"/>
      <c r="B541" s="18"/>
      <c r="C541" s="18"/>
      <c r="D541" s="18"/>
      <c r="E541" s="18"/>
      <c r="F541" s="18"/>
      <c r="G541" s="18"/>
      <c r="H541" s="20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spans="1:25" x14ac:dyDescent="0.3">
      <c r="A542" s="22"/>
      <c r="B542" s="18"/>
      <c r="C542" s="18"/>
      <c r="D542" s="18"/>
      <c r="E542" s="18"/>
      <c r="F542" s="18"/>
      <c r="G542" s="18"/>
      <c r="H542" s="20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spans="1:25" x14ac:dyDescent="0.3">
      <c r="A543" s="22"/>
      <c r="B543" s="18"/>
      <c r="C543" s="18"/>
      <c r="D543" s="18"/>
      <c r="E543" s="18"/>
      <c r="F543" s="18"/>
      <c r="G543" s="18"/>
      <c r="H543" s="20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spans="1:25" x14ac:dyDescent="0.3">
      <c r="A544" s="22"/>
      <c r="B544" s="18"/>
      <c r="C544" s="18"/>
      <c r="D544" s="18"/>
      <c r="E544" s="18"/>
      <c r="F544" s="18"/>
      <c r="G544" s="18"/>
      <c r="H544" s="20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spans="1:25" x14ac:dyDescent="0.3">
      <c r="A545" s="22"/>
      <c r="B545" s="18"/>
      <c r="C545" s="18"/>
      <c r="D545" s="18"/>
      <c r="E545" s="18"/>
      <c r="F545" s="18"/>
      <c r="G545" s="18"/>
      <c r="H545" s="20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spans="1:25" x14ac:dyDescent="0.3">
      <c r="A546" s="22"/>
      <c r="B546" s="18"/>
      <c r="C546" s="18"/>
      <c r="D546" s="18"/>
      <c r="E546" s="18"/>
      <c r="F546" s="18"/>
      <c r="G546" s="18"/>
      <c r="H546" s="20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spans="1:25" x14ac:dyDescent="0.3">
      <c r="A547" s="22"/>
      <c r="B547" s="18"/>
      <c r="C547" s="18"/>
      <c r="D547" s="18"/>
      <c r="E547" s="18"/>
      <c r="F547" s="18"/>
      <c r="G547" s="18"/>
      <c r="H547" s="20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spans="1:25" x14ac:dyDescent="0.3">
      <c r="A548" s="22"/>
      <c r="B548" s="18"/>
      <c r="C548" s="18"/>
      <c r="D548" s="18"/>
      <c r="E548" s="18"/>
      <c r="F548" s="18"/>
      <c r="G548" s="18"/>
      <c r="H548" s="20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spans="1:25" x14ac:dyDescent="0.3">
      <c r="A549" s="22"/>
      <c r="B549" s="18"/>
      <c r="C549" s="18"/>
      <c r="D549" s="18"/>
      <c r="E549" s="18"/>
      <c r="F549" s="18"/>
      <c r="G549" s="18"/>
      <c r="H549" s="20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spans="1:25" x14ac:dyDescent="0.3">
      <c r="A550" s="22"/>
      <c r="B550" s="18"/>
      <c r="C550" s="18"/>
      <c r="D550" s="18"/>
      <c r="E550" s="18"/>
      <c r="F550" s="18"/>
      <c r="G550" s="18"/>
      <c r="H550" s="20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spans="1:25" x14ac:dyDescent="0.3">
      <c r="A551" s="22"/>
      <c r="B551" s="18"/>
      <c r="C551" s="18"/>
      <c r="D551" s="18"/>
      <c r="E551" s="18"/>
      <c r="F551" s="18"/>
      <c r="G551" s="18"/>
      <c r="H551" s="20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spans="1:25" x14ac:dyDescent="0.3">
      <c r="A552" s="22"/>
      <c r="B552" s="18"/>
      <c r="C552" s="18"/>
      <c r="D552" s="18"/>
      <c r="E552" s="18"/>
      <c r="F552" s="18"/>
      <c r="G552" s="18"/>
      <c r="H552" s="20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spans="1:25" x14ac:dyDescent="0.3">
      <c r="A553" s="22"/>
      <c r="B553" s="18"/>
      <c r="C553" s="18"/>
      <c r="D553" s="18"/>
      <c r="E553" s="18"/>
      <c r="F553" s="18"/>
      <c r="G553" s="18"/>
      <c r="H553" s="20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spans="1:25" x14ac:dyDescent="0.3">
      <c r="A554" s="22"/>
      <c r="B554" s="18"/>
      <c r="C554" s="18"/>
      <c r="D554" s="18"/>
      <c r="E554" s="18"/>
      <c r="F554" s="18"/>
      <c r="G554" s="18"/>
      <c r="H554" s="20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spans="1:25" x14ac:dyDescent="0.3">
      <c r="A555" s="22"/>
      <c r="B555" s="18"/>
      <c r="C555" s="18"/>
      <c r="D555" s="18"/>
      <c r="E555" s="18"/>
      <c r="F555" s="18"/>
      <c r="G555" s="18"/>
      <c r="H555" s="20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25" x14ac:dyDescent="0.3">
      <c r="A556" s="22"/>
      <c r="B556" s="18"/>
      <c r="C556" s="18"/>
      <c r="D556" s="18"/>
      <c r="E556" s="18"/>
      <c r="F556" s="18"/>
      <c r="G556" s="18"/>
      <c r="H556" s="20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25" x14ac:dyDescent="0.3">
      <c r="A557" s="22"/>
      <c r="B557" s="18"/>
      <c r="C557" s="18"/>
      <c r="D557" s="18"/>
      <c r="E557" s="18"/>
      <c r="F557" s="18"/>
      <c r="G557" s="18"/>
      <c r="H557" s="20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25" x14ac:dyDescent="0.3">
      <c r="A558" s="22"/>
      <c r="B558" s="18"/>
      <c r="C558" s="18"/>
      <c r="D558" s="18"/>
      <c r="E558" s="18"/>
      <c r="F558" s="18"/>
      <c r="G558" s="18"/>
      <c r="H558" s="20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spans="1:25" x14ac:dyDescent="0.3">
      <c r="A559" s="22"/>
      <c r="B559" s="18"/>
      <c r="C559" s="18"/>
      <c r="D559" s="18"/>
      <c r="E559" s="18"/>
      <c r="F559" s="18"/>
      <c r="G559" s="18"/>
      <c r="H559" s="20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spans="1:25" x14ac:dyDescent="0.3">
      <c r="A560" s="22"/>
      <c r="B560" s="18"/>
      <c r="C560" s="18"/>
      <c r="D560" s="18"/>
      <c r="E560" s="18"/>
      <c r="F560" s="18"/>
      <c r="G560" s="18"/>
      <c r="H560" s="20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spans="1:25" x14ac:dyDescent="0.3">
      <c r="A561" s="22"/>
      <c r="B561" s="18"/>
      <c r="C561" s="18"/>
      <c r="D561" s="18"/>
      <c r="E561" s="18"/>
      <c r="F561" s="18"/>
      <c r="G561" s="18"/>
      <c r="H561" s="20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spans="1:25" x14ac:dyDescent="0.3">
      <c r="A562" s="22"/>
      <c r="B562" s="18"/>
      <c r="C562" s="18"/>
      <c r="D562" s="18"/>
      <c r="E562" s="18"/>
      <c r="F562" s="18"/>
      <c r="G562" s="18"/>
      <c r="H562" s="20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spans="1:25" x14ac:dyDescent="0.3">
      <c r="A563" s="22"/>
      <c r="B563" s="18"/>
      <c r="C563" s="18"/>
      <c r="D563" s="18"/>
      <c r="E563" s="18"/>
      <c r="F563" s="18"/>
      <c r="G563" s="18"/>
      <c r="H563" s="20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spans="1:25" x14ac:dyDescent="0.3">
      <c r="A564" s="22"/>
      <c r="B564" s="18"/>
      <c r="C564" s="18"/>
      <c r="D564" s="18"/>
      <c r="E564" s="18"/>
      <c r="F564" s="18"/>
      <c r="G564" s="18"/>
      <c r="H564" s="20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spans="1:25" x14ac:dyDescent="0.3">
      <c r="A565" s="22"/>
      <c r="B565" s="18"/>
      <c r="C565" s="18"/>
      <c r="D565" s="18"/>
      <c r="E565" s="18"/>
      <c r="F565" s="18"/>
      <c r="G565" s="18"/>
      <c r="H565" s="20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spans="1:25" x14ac:dyDescent="0.3">
      <c r="A566" s="22"/>
      <c r="B566" s="18"/>
      <c r="C566" s="18"/>
      <c r="D566" s="18"/>
      <c r="E566" s="18"/>
      <c r="F566" s="18"/>
      <c r="G566" s="18"/>
      <c r="H566" s="20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spans="1:25" x14ac:dyDescent="0.3">
      <c r="A567" s="22"/>
      <c r="B567" s="18"/>
      <c r="C567" s="18"/>
      <c r="D567" s="18"/>
      <c r="E567" s="18"/>
      <c r="F567" s="18"/>
      <c r="G567" s="18"/>
      <c r="H567" s="20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spans="1:25" x14ac:dyDescent="0.3">
      <c r="A568" s="22"/>
      <c r="B568" s="18"/>
      <c r="C568" s="18"/>
      <c r="D568" s="18"/>
      <c r="E568" s="18"/>
      <c r="F568" s="18"/>
      <c r="G568" s="18"/>
      <c r="H568" s="20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spans="1:25" x14ac:dyDescent="0.3">
      <c r="A569" s="22"/>
      <c r="B569" s="18"/>
      <c r="C569" s="18"/>
      <c r="D569" s="18"/>
      <c r="E569" s="18"/>
      <c r="F569" s="18"/>
      <c r="G569" s="18"/>
      <c r="H569" s="20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spans="1:25" x14ac:dyDescent="0.3">
      <c r="A570" s="22"/>
      <c r="B570" s="18"/>
      <c r="C570" s="18"/>
      <c r="D570" s="18"/>
      <c r="E570" s="18"/>
      <c r="F570" s="18"/>
      <c r="G570" s="18"/>
      <c r="H570" s="20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spans="1:25" x14ac:dyDescent="0.3">
      <c r="A571" s="22"/>
      <c r="B571" s="18"/>
      <c r="C571" s="18"/>
      <c r="D571" s="18"/>
      <c r="E571" s="18"/>
      <c r="F571" s="18"/>
      <c r="G571" s="18"/>
      <c r="H571" s="20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spans="1:25" x14ac:dyDescent="0.3">
      <c r="A572" s="22"/>
      <c r="B572" s="18"/>
      <c r="C572" s="18"/>
      <c r="D572" s="18"/>
      <c r="E572" s="18"/>
      <c r="F572" s="18"/>
      <c r="G572" s="18"/>
      <c r="H572" s="20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spans="1:25" x14ac:dyDescent="0.3">
      <c r="A573" s="22"/>
      <c r="B573" s="18"/>
      <c r="C573" s="18"/>
      <c r="D573" s="18"/>
      <c r="E573" s="18"/>
      <c r="F573" s="18"/>
      <c r="G573" s="18"/>
      <c r="H573" s="20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spans="1:25" x14ac:dyDescent="0.3">
      <c r="A574" s="22"/>
      <c r="B574" s="18"/>
      <c r="C574" s="18"/>
      <c r="D574" s="18"/>
      <c r="E574" s="18"/>
      <c r="F574" s="18"/>
      <c r="G574" s="18"/>
      <c r="H574" s="20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spans="1:25" x14ac:dyDescent="0.3">
      <c r="A575" s="22"/>
      <c r="B575" s="18"/>
      <c r="C575" s="18"/>
      <c r="D575" s="18"/>
      <c r="E575" s="18"/>
      <c r="F575" s="18"/>
      <c r="G575" s="18"/>
      <c r="H575" s="20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spans="1:25" x14ac:dyDescent="0.3">
      <c r="A576" s="22"/>
      <c r="B576" s="18"/>
      <c r="C576" s="18"/>
      <c r="D576" s="18"/>
      <c r="E576" s="18"/>
      <c r="F576" s="18"/>
      <c r="G576" s="18"/>
      <c r="H576" s="20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spans="1:25" x14ac:dyDescent="0.3">
      <c r="A577" s="22"/>
      <c r="B577" s="18"/>
      <c r="C577" s="18"/>
      <c r="D577" s="18"/>
      <c r="E577" s="18"/>
      <c r="F577" s="18"/>
      <c r="G577" s="18"/>
      <c r="H577" s="20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spans="1:25" x14ac:dyDescent="0.3">
      <c r="A578" s="22"/>
      <c r="B578" s="18"/>
      <c r="C578" s="18"/>
      <c r="D578" s="18"/>
      <c r="E578" s="18"/>
      <c r="F578" s="18"/>
      <c r="G578" s="18"/>
      <c r="H578" s="20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spans="1:25" x14ac:dyDescent="0.3">
      <c r="A579" s="22"/>
      <c r="B579" s="18"/>
      <c r="C579" s="18"/>
      <c r="D579" s="18"/>
      <c r="E579" s="18"/>
      <c r="F579" s="18"/>
      <c r="G579" s="18"/>
      <c r="H579" s="20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spans="1:25" x14ac:dyDescent="0.3">
      <c r="A580" s="22"/>
      <c r="B580" s="18"/>
      <c r="C580" s="18"/>
      <c r="D580" s="18"/>
      <c r="E580" s="18"/>
      <c r="F580" s="18"/>
      <c r="G580" s="18"/>
      <c r="H580" s="20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spans="1:25" x14ac:dyDescent="0.3">
      <c r="A581" s="22"/>
      <c r="B581" s="18"/>
      <c r="C581" s="18"/>
      <c r="D581" s="18"/>
      <c r="E581" s="18"/>
      <c r="F581" s="18"/>
      <c r="G581" s="18"/>
      <c r="H581" s="20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spans="1:25" x14ac:dyDescent="0.3">
      <c r="A582" s="22"/>
      <c r="B582" s="18"/>
      <c r="C582" s="18"/>
      <c r="D582" s="18"/>
      <c r="E582" s="18"/>
      <c r="F582" s="18"/>
      <c r="G582" s="18"/>
      <c r="H582" s="20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spans="1:25" x14ac:dyDescent="0.3">
      <c r="A583" s="22"/>
      <c r="B583" s="18"/>
      <c r="C583" s="18"/>
      <c r="D583" s="18"/>
      <c r="E583" s="18"/>
      <c r="F583" s="18"/>
      <c r="G583" s="18"/>
      <c r="H583" s="20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spans="1:25" x14ac:dyDescent="0.3">
      <c r="A584" s="22"/>
      <c r="B584" s="18"/>
      <c r="C584" s="18"/>
      <c r="D584" s="18"/>
      <c r="E584" s="18"/>
      <c r="F584" s="18"/>
      <c r="G584" s="18"/>
      <c r="H584" s="20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spans="1:25" x14ac:dyDescent="0.3">
      <c r="A585" s="22"/>
      <c r="B585" s="18"/>
      <c r="C585" s="18"/>
      <c r="D585" s="18"/>
      <c r="E585" s="18"/>
      <c r="F585" s="18"/>
      <c r="G585" s="18"/>
      <c r="H585" s="20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spans="1:25" x14ac:dyDescent="0.3">
      <c r="A586" s="22"/>
      <c r="B586" s="18"/>
      <c r="C586" s="18"/>
      <c r="D586" s="18"/>
      <c r="E586" s="18"/>
      <c r="F586" s="18"/>
      <c r="G586" s="18"/>
      <c r="H586" s="20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spans="1:25" x14ac:dyDescent="0.3">
      <c r="A587" s="22"/>
      <c r="B587" s="18"/>
      <c r="C587" s="18"/>
      <c r="D587" s="18"/>
      <c r="E587" s="18"/>
      <c r="F587" s="18"/>
      <c r="G587" s="18"/>
      <c r="H587" s="20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spans="1:25" x14ac:dyDescent="0.3">
      <c r="A588" s="22"/>
      <c r="B588" s="18"/>
      <c r="C588" s="18"/>
      <c r="D588" s="18"/>
      <c r="E588" s="18"/>
      <c r="F588" s="18"/>
      <c r="G588" s="18"/>
      <c r="H588" s="20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spans="1:25" x14ac:dyDescent="0.3">
      <c r="A589" s="22"/>
      <c r="B589" s="18"/>
      <c r="C589" s="18"/>
      <c r="D589" s="18"/>
      <c r="E589" s="18"/>
      <c r="F589" s="18"/>
      <c r="G589" s="18"/>
      <c r="H589" s="20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spans="1:25" x14ac:dyDescent="0.3">
      <c r="A590" s="22"/>
      <c r="B590" s="18"/>
      <c r="C590" s="18"/>
      <c r="D590" s="18"/>
      <c r="E590" s="18"/>
      <c r="F590" s="18"/>
      <c r="G590" s="18"/>
      <c r="H590" s="20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spans="1:25" x14ac:dyDescent="0.3">
      <c r="A591" s="22"/>
      <c r="B591" s="18"/>
      <c r="C591" s="18"/>
      <c r="D591" s="18"/>
      <c r="E591" s="18"/>
      <c r="F591" s="18"/>
      <c r="G591" s="18"/>
      <c r="H591" s="20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spans="1:25" x14ac:dyDescent="0.3">
      <c r="A592" s="22"/>
      <c r="B592" s="18"/>
      <c r="C592" s="18"/>
      <c r="D592" s="18"/>
      <c r="E592" s="18"/>
      <c r="F592" s="18"/>
      <c r="G592" s="18"/>
      <c r="H592" s="20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spans="1:25" x14ac:dyDescent="0.3">
      <c r="A593" s="22"/>
      <c r="B593" s="18"/>
      <c r="C593" s="18"/>
      <c r="D593" s="18"/>
      <c r="E593" s="18"/>
      <c r="F593" s="18"/>
      <c r="G593" s="18"/>
      <c r="H593" s="20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spans="1:25" x14ac:dyDescent="0.3">
      <c r="A594" s="22"/>
      <c r="B594" s="18"/>
      <c r="C594" s="18"/>
      <c r="D594" s="18"/>
      <c r="E594" s="18"/>
      <c r="F594" s="18"/>
      <c r="G594" s="18"/>
      <c r="H594" s="20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spans="1:25" x14ac:dyDescent="0.3">
      <c r="A595" s="22"/>
      <c r="B595" s="18"/>
      <c r="C595" s="18"/>
      <c r="D595" s="18"/>
      <c r="E595" s="18"/>
      <c r="F595" s="18"/>
      <c r="G595" s="18"/>
      <c r="H595" s="20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spans="1:25" x14ac:dyDescent="0.3">
      <c r="A596" s="22"/>
      <c r="B596" s="18"/>
      <c r="C596" s="18"/>
      <c r="D596" s="18"/>
      <c r="E596" s="18"/>
      <c r="F596" s="18"/>
      <c r="G596" s="18"/>
      <c r="H596" s="20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spans="1:25" x14ac:dyDescent="0.3">
      <c r="A597" s="22"/>
      <c r="B597" s="18"/>
      <c r="C597" s="18"/>
      <c r="D597" s="18"/>
      <c r="E597" s="18"/>
      <c r="F597" s="18"/>
      <c r="G597" s="18"/>
      <c r="H597" s="20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spans="1:25" x14ac:dyDescent="0.3">
      <c r="A598" s="22"/>
      <c r="B598" s="18"/>
      <c r="C598" s="18"/>
      <c r="D598" s="18"/>
      <c r="E598" s="18"/>
      <c r="F598" s="18"/>
      <c r="G598" s="18"/>
      <c r="H598" s="20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spans="1:25" x14ac:dyDescent="0.3">
      <c r="A599" s="22"/>
      <c r="B599" s="18"/>
      <c r="C599" s="18"/>
      <c r="D599" s="18"/>
      <c r="E599" s="18"/>
      <c r="F599" s="18"/>
      <c r="G599" s="18"/>
      <c r="H599" s="20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spans="1:25" x14ac:dyDescent="0.3">
      <c r="A600" s="22"/>
      <c r="B600" s="18"/>
      <c r="C600" s="18"/>
      <c r="D600" s="18"/>
      <c r="E600" s="18"/>
      <c r="F600" s="18"/>
      <c r="G600" s="18"/>
      <c r="H600" s="20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spans="1:25" x14ac:dyDescent="0.3">
      <c r="A601" s="22"/>
      <c r="B601" s="18"/>
      <c r="C601" s="18"/>
      <c r="D601" s="18"/>
      <c r="E601" s="18"/>
      <c r="F601" s="18"/>
      <c r="G601" s="18"/>
      <c r="H601" s="20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spans="1:25" x14ac:dyDescent="0.3">
      <c r="A602" s="22"/>
      <c r="B602" s="18"/>
      <c r="C602" s="18"/>
      <c r="D602" s="18"/>
      <c r="E602" s="18"/>
      <c r="F602" s="18"/>
      <c r="G602" s="18"/>
      <c r="H602" s="20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spans="1:25" x14ac:dyDescent="0.3">
      <c r="A603" s="22"/>
      <c r="B603" s="18"/>
      <c r="C603" s="18"/>
      <c r="D603" s="18"/>
      <c r="E603" s="18"/>
      <c r="F603" s="18"/>
      <c r="G603" s="18"/>
      <c r="H603" s="20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spans="1:25" x14ac:dyDescent="0.3">
      <c r="A604" s="22"/>
      <c r="B604" s="18"/>
      <c r="C604" s="18"/>
      <c r="D604" s="18"/>
      <c r="E604" s="18"/>
      <c r="F604" s="18"/>
      <c r="G604" s="18"/>
      <c r="H604" s="20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spans="1:25" x14ac:dyDescent="0.3">
      <c r="A605" s="22"/>
      <c r="B605" s="18"/>
      <c r="C605" s="18"/>
      <c r="D605" s="18"/>
      <c r="E605" s="18"/>
      <c r="F605" s="18"/>
      <c r="G605" s="18"/>
      <c r="H605" s="20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spans="1:25" x14ac:dyDescent="0.3">
      <c r="A606" s="22"/>
      <c r="B606" s="18"/>
      <c r="C606" s="18"/>
      <c r="D606" s="18"/>
      <c r="E606" s="18"/>
      <c r="F606" s="18"/>
      <c r="G606" s="18"/>
      <c r="H606" s="20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spans="1:25" x14ac:dyDescent="0.3">
      <c r="A607" s="22"/>
      <c r="B607" s="18"/>
      <c r="C607" s="18"/>
      <c r="D607" s="18"/>
      <c r="E607" s="18"/>
      <c r="F607" s="18"/>
      <c r="G607" s="18"/>
      <c r="H607" s="20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spans="1:25" x14ac:dyDescent="0.3">
      <c r="A608" s="22"/>
      <c r="B608" s="18"/>
      <c r="C608" s="18"/>
      <c r="D608" s="18"/>
      <c r="E608" s="18"/>
      <c r="F608" s="18"/>
      <c r="G608" s="18"/>
      <c r="H608" s="20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spans="1:25" x14ac:dyDescent="0.3">
      <c r="A609" s="22"/>
      <c r="B609" s="18"/>
      <c r="C609" s="18"/>
      <c r="D609" s="18"/>
      <c r="E609" s="18"/>
      <c r="F609" s="18"/>
      <c r="G609" s="18"/>
      <c r="H609" s="20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spans="1:25" x14ac:dyDescent="0.3">
      <c r="A610" s="22"/>
      <c r="B610" s="18"/>
      <c r="C610" s="18"/>
      <c r="D610" s="18"/>
      <c r="E610" s="18"/>
      <c r="F610" s="18"/>
      <c r="G610" s="18"/>
      <c r="H610" s="20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spans="1:25" x14ac:dyDescent="0.3">
      <c r="A611" s="22"/>
      <c r="B611" s="18"/>
      <c r="C611" s="18"/>
      <c r="D611" s="18"/>
      <c r="E611" s="18"/>
      <c r="F611" s="18"/>
      <c r="G611" s="18"/>
      <c r="H611" s="20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spans="1:25" x14ac:dyDescent="0.3">
      <c r="A612" s="22"/>
      <c r="B612" s="18"/>
      <c r="C612" s="18"/>
      <c r="D612" s="18"/>
      <c r="E612" s="18"/>
      <c r="F612" s="18"/>
      <c r="G612" s="18"/>
      <c r="H612" s="20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spans="1:25" x14ac:dyDescent="0.3">
      <c r="A613" s="22"/>
      <c r="B613" s="18"/>
      <c r="C613" s="18"/>
      <c r="D613" s="18"/>
      <c r="E613" s="18"/>
      <c r="F613" s="18"/>
      <c r="G613" s="18"/>
      <c r="H613" s="20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spans="1:25" x14ac:dyDescent="0.3">
      <c r="A614" s="22"/>
      <c r="B614" s="18"/>
      <c r="C614" s="18"/>
      <c r="D614" s="18"/>
      <c r="E614" s="18"/>
      <c r="F614" s="18"/>
      <c r="G614" s="18"/>
      <c r="H614" s="20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spans="1:25" x14ac:dyDescent="0.3">
      <c r="A615" s="22"/>
      <c r="B615" s="18"/>
      <c r="C615" s="18"/>
      <c r="D615" s="18"/>
      <c r="E615" s="18"/>
      <c r="F615" s="18"/>
      <c r="G615" s="18"/>
      <c r="H615" s="20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spans="1:25" x14ac:dyDescent="0.3">
      <c r="A616" s="22"/>
      <c r="B616" s="18"/>
      <c r="C616" s="18"/>
      <c r="D616" s="18"/>
      <c r="E616" s="18"/>
      <c r="F616" s="18"/>
      <c r="G616" s="18"/>
      <c r="H616" s="20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spans="1:25" x14ac:dyDescent="0.3">
      <c r="A617" s="22"/>
      <c r="B617" s="18"/>
      <c r="C617" s="18"/>
      <c r="D617" s="18"/>
      <c r="E617" s="18"/>
      <c r="F617" s="18"/>
      <c r="G617" s="18"/>
      <c r="H617" s="20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spans="1:25" x14ac:dyDescent="0.3">
      <c r="A618" s="22"/>
      <c r="B618" s="18"/>
      <c r="C618" s="18"/>
      <c r="D618" s="18"/>
      <c r="E618" s="18"/>
      <c r="F618" s="18"/>
      <c r="G618" s="18"/>
      <c r="H618" s="20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spans="1:25" x14ac:dyDescent="0.3">
      <c r="A619" s="22"/>
      <c r="B619" s="18"/>
      <c r="C619" s="18"/>
      <c r="D619" s="18"/>
      <c r="E619" s="18"/>
      <c r="F619" s="18"/>
      <c r="G619" s="18"/>
      <c r="H619" s="20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spans="1:25" x14ac:dyDescent="0.3">
      <c r="A620" s="22"/>
      <c r="B620" s="18"/>
      <c r="C620" s="18"/>
      <c r="D620" s="18"/>
      <c r="E620" s="18"/>
      <c r="F620" s="18"/>
      <c r="G620" s="18"/>
      <c r="H620" s="20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spans="1:25" x14ac:dyDescent="0.3">
      <c r="A621" s="22"/>
      <c r="B621" s="18"/>
      <c r="C621" s="18"/>
      <c r="D621" s="18"/>
      <c r="E621" s="18"/>
      <c r="F621" s="18"/>
      <c r="G621" s="18"/>
      <c r="H621" s="20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spans="1:25" x14ac:dyDescent="0.3">
      <c r="A622" s="22"/>
      <c r="B622" s="18"/>
      <c r="C622" s="18"/>
      <c r="D622" s="18"/>
      <c r="E622" s="18"/>
      <c r="F622" s="18"/>
      <c r="G622" s="18"/>
      <c r="H622" s="20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spans="1:25" x14ac:dyDescent="0.3">
      <c r="A623" s="22"/>
      <c r="B623" s="18"/>
      <c r="C623" s="18"/>
      <c r="D623" s="18"/>
      <c r="E623" s="18"/>
      <c r="F623" s="18"/>
      <c r="G623" s="18"/>
      <c r="H623" s="20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spans="1:25" x14ac:dyDescent="0.3">
      <c r="A624" s="22"/>
      <c r="B624" s="18"/>
      <c r="C624" s="18"/>
      <c r="D624" s="18"/>
      <c r="E624" s="18"/>
      <c r="F624" s="18"/>
      <c r="G624" s="18"/>
      <c r="H624" s="20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spans="1:25" x14ac:dyDescent="0.3">
      <c r="A625" s="22"/>
      <c r="B625" s="18"/>
      <c r="C625" s="18"/>
      <c r="D625" s="18"/>
      <c r="E625" s="18"/>
      <c r="F625" s="18"/>
      <c r="G625" s="18"/>
      <c r="H625" s="20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spans="1:25" x14ac:dyDescent="0.3">
      <c r="A626" s="22"/>
      <c r="B626" s="18"/>
      <c r="C626" s="18"/>
      <c r="D626" s="18"/>
      <c r="E626" s="18"/>
      <c r="F626" s="18"/>
      <c r="G626" s="18"/>
      <c r="H626" s="20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spans="1:25" x14ac:dyDescent="0.3">
      <c r="A627" s="22"/>
      <c r="B627" s="18"/>
      <c r="C627" s="18"/>
      <c r="D627" s="18"/>
      <c r="E627" s="18"/>
      <c r="F627" s="18"/>
      <c r="G627" s="18"/>
      <c r="H627" s="20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spans="1:25" x14ac:dyDescent="0.3">
      <c r="A628" s="22"/>
      <c r="B628" s="18"/>
      <c r="C628" s="18"/>
      <c r="D628" s="18"/>
      <c r="E628" s="18"/>
      <c r="F628" s="18"/>
      <c r="G628" s="18"/>
      <c r="H628" s="20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spans="1:25" x14ac:dyDescent="0.3">
      <c r="A629" s="22"/>
      <c r="B629" s="18"/>
      <c r="C629" s="18"/>
      <c r="D629" s="18"/>
      <c r="E629" s="18"/>
      <c r="F629" s="18"/>
      <c r="G629" s="18"/>
      <c r="H629" s="20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spans="1:25" x14ac:dyDescent="0.3">
      <c r="A630" s="22"/>
      <c r="B630" s="18"/>
      <c r="C630" s="18"/>
      <c r="D630" s="18"/>
      <c r="E630" s="18"/>
      <c r="F630" s="18"/>
      <c r="G630" s="18"/>
      <c r="H630" s="20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spans="1:25" x14ac:dyDescent="0.3">
      <c r="A631" s="22"/>
      <c r="B631" s="18"/>
      <c r="C631" s="18"/>
      <c r="D631" s="18"/>
      <c r="E631" s="18"/>
      <c r="F631" s="18"/>
      <c r="G631" s="18"/>
      <c r="H631" s="20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spans="1:25" x14ac:dyDescent="0.3">
      <c r="A632" s="22"/>
      <c r="B632" s="18"/>
      <c r="C632" s="18"/>
      <c r="D632" s="18"/>
      <c r="E632" s="18"/>
      <c r="F632" s="18"/>
      <c r="G632" s="18"/>
      <c r="H632" s="20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spans="1:25" x14ac:dyDescent="0.3">
      <c r="A633" s="22"/>
      <c r="B633" s="18"/>
      <c r="C633" s="18"/>
      <c r="D633" s="18"/>
      <c r="E633" s="18"/>
      <c r="F633" s="18"/>
      <c r="G633" s="18"/>
      <c r="H633" s="20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spans="1:25" x14ac:dyDescent="0.3">
      <c r="A634" s="22"/>
      <c r="B634" s="18"/>
      <c r="C634" s="18"/>
      <c r="D634" s="18"/>
      <c r="E634" s="18"/>
      <c r="F634" s="18"/>
      <c r="G634" s="18"/>
      <c r="H634" s="20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spans="1:25" x14ac:dyDescent="0.3">
      <c r="A635" s="22"/>
      <c r="B635" s="18"/>
      <c r="C635" s="18"/>
      <c r="D635" s="18"/>
      <c r="E635" s="18"/>
      <c r="F635" s="18"/>
      <c r="G635" s="18"/>
      <c r="H635" s="20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spans="1:25" x14ac:dyDescent="0.3">
      <c r="A636" s="22"/>
      <c r="B636" s="18"/>
      <c r="C636" s="18"/>
      <c r="D636" s="18"/>
      <c r="E636" s="18"/>
      <c r="F636" s="18"/>
      <c r="G636" s="18"/>
      <c r="H636" s="20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spans="1:25" x14ac:dyDescent="0.3">
      <c r="A637" s="22"/>
      <c r="B637" s="18"/>
      <c r="C637" s="18"/>
      <c r="D637" s="18"/>
      <c r="E637" s="18"/>
      <c r="F637" s="18"/>
      <c r="G637" s="18"/>
      <c r="H637" s="20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spans="1:25" x14ac:dyDescent="0.3">
      <c r="A638" s="22"/>
      <c r="B638" s="18"/>
      <c r="C638" s="18"/>
      <c r="D638" s="18"/>
      <c r="E638" s="18"/>
      <c r="F638" s="18"/>
      <c r="G638" s="18"/>
      <c r="H638" s="20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spans="1:25" x14ac:dyDescent="0.3">
      <c r="A639" s="22"/>
      <c r="B639" s="18"/>
      <c r="C639" s="18"/>
      <c r="D639" s="18"/>
      <c r="E639" s="18"/>
      <c r="F639" s="18"/>
      <c r="G639" s="18"/>
      <c r="H639" s="20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spans="1:25" x14ac:dyDescent="0.3">
      <c r="A640" s="22"/>
      <c r="B640" s="18"/>
      <c r="C640" s="18"/>
      <c r="D640" s="18"/>
      <c r="E640" s="18"/>
      <c r="F640" s="18"/>
      <c r="G640" s="18"/>
      <c r="H640" s="20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5" x14ac:dyDescent="0.3">
      <c r="A641" s="22"/>
      <c r="B641" s="18"/>
      <c r="C641" s="18"/>
      <c r="D641" s="18"/>
      <c r="E641" s="18"/>
      <c r="F641" s="18"/>
      <c r="G641" s="18"/>
      <c r="H641" s="20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spans="1:25" x14ac:dyDescent="0.3">
      <c r="A642" s="22"/>
      <c r="B642" s="18"/>
      <c r="C642" s="18"/>
      <c r="D642" s="18"/>
      <c r="E642" s="18"/>
      <c r="F642" s="18"/>
      <c r="G642" s="18"/>
      <c r="H642" s="20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spans="1:25" x14ac:dyDescent="0.3">
      <c r="A643" s="22"/>
      <c r="B643" s="18"/>
      <c r="C643" s="18"/>
      <c r="D643" s="18"/>
      <c r="E643" s="18"/>
      <c r="F643" s="18"/>
      <c r="G643" s="18"/>
      <c r="H643" s="20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spans="1:25" x14ac:dyDescent="0.3">
      <c r="A644" s="22"/>
      <c r="B644" s="18"/>
      <c r="C644" s="18"/>
      <c r="D644" s="18"/>
      <c r="E644" s="18"/>
      <c r="F644" s="18"/>
      <c r="G644" s="18"/>
      <c r="H644" s="20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spans="1:25" x14ac:dyDescent="0.3">
      <c r="A645" s="22"/>
      <c r="B645" s="18"/>
      <c r="C645" s="18"/>
      <c r="D645" s="18"/>
      <c r="E645" s="18"/>
      <c r="F645" s="18"/>
      <c r="G645" s="18"/>
      <c r="H645" s="20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spans="1:25" x14ac:dyDescent="0.3">
      <c r="A646" s="22"/>
      <c r="B646" s="18"/>
      <c r="C646" s="18"/>
      <c r="D646" s="18"/>
      <c r="E646" s="18"/>
      <c r="F646" s="18"/>
      <c r="G646" s="18"/>
      <c r="H646" s="20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spans="1:25" x14ac:dyDescent="0.3">
      <c r="A647" s="22"/>
      <c r="B647" s="18"/>
      <c r="C647" s="18"/>
      <c r="D647" s="18"/>
      <c r="E647" s="18"/>
      <c r="F647" s="18"/>
      <c r="G647" s="18"/>
      <c r="H647" s="20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spans="1:25" x14ac:dyDescent="0.3">
      <c r="A648" s="22"/>
      <c r="B648" s="18"/>
      <c r="C648" s="18"/>
      <c r="D648" s="18"/>
      <c r="E648" s="18"/>
      <c r="F648" s="18"/>
      <c r="G648" s="18"/>
      <c r="H648" s="20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spans="1:25" x14ac:dyDescent="0.3">
      <c r="A649" s="22"/>
      <c r="B649" s="18"/>
      <c r="C649" s="18"/>
      <c r="D649" s="18"/>
      <c r="E649" s="18"/>
      <c r="F649" s="18"/>
      <c r="G649" s="18"/>
      <c r="H649" s="20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spans="1:25" x14ac:dyDescent="0.3">
      <c r="A650" s="22"/>
      <c r="B650" s="18"/>
      <c r="C650" s="18"/>
      <c r="D650" s="18"/>
      <c r="E650" s="18"/>
      <c r="F650" s="18"/>
      <c r="G650" s="18"/>
      <c r="H650" s="20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spans="1:25" x14ac:dyDescent="0.3">
      <c r="A651" s="22"/>
      <c r="B651" s="18"/>
      <c r="C651" s="18"/>
      <c r="D651" s="18"/>
      <c r="E651" s="18"/>
      <c r="F651" s="18"/>
      <c r="G651" s="18"/>
      <c r="H651" s="20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spans="1:25" x14ac:dyDescent="0.3">
      <c r="A652" s="22"/>
      <c r="B652" s="18"/>
      <c r="C652" s="18"/>
      <c r="D652" s="18"/>
      <c r="E652" s="18"/>
      <c r="F652" s="18"/>
      <c r="G652" s="18"/>
      <c r="H652" s="20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spans="1:25" x14ac:dyDescent="0.3">
      <c r="A653" s="22"/>
      <c r="B653" s="18"/>
      <c r="C653" s="18"/>
      <c r="D653" s="18"/>
      <c r="E653" s="18"/>
      <c r="F653" s="18"/>
      <c r="G653" s="18"/>
      <c r="H653" s="20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spans="1:25" x14ac:dyDescent="0.3">
      <c r="A654" s="22"/>
      <c r="B654" s="18"/>
      <c r="C654" s="18"/>
      <c r="D654" s="18"/>
      <c r="E654" s="18"/>
      <c r="F654" s="18"/>
      <c r="G654" s="18"/>
      <c r="H654" s="20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spans="1:25" x14ac:dyDescent="0.3">
      <c r="A655" s="22"/>
      <c r="B655" s="18"/>
      <c r="C655" s="18"/>
      <c r="D655" s="18"/>
      <c r="E655" s="18"/>
      <c r="F655" s="18"/>
      <c r="G655" s="18"/>
      <c r="H655" s="20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spans="1:25" x14ac:dyDescent="0.3">
      <c r="A656" s="22"/>
      <c r="B656" s="18"/>
      <c r="C656" s="18"/>
      <c r="D656" s="18"/>
      <c r="E656" s="18"/>
      <c r="F656" s="18"/>
      <c r="G656" s="18"/>
      <c r="H656" s="20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spans="1:25" x14ac:dyDescent="0.3">
      <c r="A657" s="22"/>
      <c r="B657" s="18"/>
      <c r="C657" s="18"/>
      <c r="D657" s="18"/>
      <c r="E657" s="18"/>
      <c r="F657" s="18"/>
      <c r="G657" s="18"/>
      <c r="H657" s="20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spans="1:25" x14ac:dyDescent="0.3">
      <c r="A658" s="22"/>
      <c r="B658" s="18"/>
      <c r="C658" s="18"/>
      <c r="D658" s="18"/>
      <c r="E658" s="18"/>
      <c r="F658" s="18"/>
      <c r="G658" s="18"/>
      <c r="H658" s="20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spans="1:25" x14ac:dyDescent="0.3">
      <c r="A659" s="22"/>
      <c r="B659" s="18"/>
      <c r="C659" s="18"/>
      <c r="D659" s="18"/>
      <c r="E659" s="18"/>
      <c r="F659" s="18"/>
      <c r="G659" s="18"/>
      <c r="H659" s="20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spans="1:25" x14ac:dyDescent="0.3">
      <c r="A660" s="22"/>
      <c r="B660" s="18"/>
      <c r="C660" s="18"/>
      <c r="D660" s="18"/>
      <c r="E660" s="18"/>
      <c r="F660" s="18"/>
      <c r="G660" s="18"/>
      <c r="H660" s="20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spans="1:25" x14ac:dyDescent="0.3">
      <c r="A661" s="22"/>
      <c r="B661" s="18"/>
      <c r="C661" s="18"/>
      <c r="D661" s="18"/>
      <c r="E661" s="18"/>
      <c r="F661" s="18"/>
      <c r="G661" s="18"/>
      <c r="H661" s="20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spans="1:25" x14ac:dyDescent="0.3">
      <c r="A662" s="22"/>
      <c r="B662" s="18"/>
      <c r="C662" s="18"/>
      <c r="D662" s="18"/>
      <c r="E662" s="18"/>
      <c r="F662" s="18"/>
      <c r="G662" s="18"/>
      <c r="H662" s="20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spans="1:25" x14ac:dyDescent="0.3">
      <c r="A663" s="22"/>
      <c r="B663" s="18"/>
      <c r="C663" s="18"/>
      <c r="D663" s="18"/>
      <c r="E663" s="18"/>
      <c r="F663" s="18"/>
      <c r="G663" s="18"/>
      <c r="H663" s="20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spans="1:25" x14ac:dyDescent="0.3">
      <c r="A664" s="22"/>
      <c r="B664" s="18"/>
      <c r="C664" s="18"/>
      <c r="D664" s="18"/>
      <c r="E664" s="18"/>
      <c r="F664" s="18"/>
      <c r="G664" s="18"/>
      <c r="H664" s="20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spans="1:25" x14ac:dyDescent="0.3">
      <c r="A665" s="22"/>
      <c r="B665" s="18"/>
      <c r="C665" s="18"/>
      <c r="D665" s="18"/>
      <c r="E665" s="18"/>
      <c r="F665" s="18"/>
      <c r="G665" s="18"/>
      <c r="H665" s="20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spans="1:25" x14ac:dyDescent="0.3">
      <c r="A666" s="22"/>
      <c r="B666" s="18"/>
      <c r="C666" s="18"/>
      <c r="D666" s="18"/>
      <c r="E666" s="18"/>
      <c r="F666" s="18"/>
      <c r="G666" s="18"/>
      <c r="H666" s="20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spans="1:25" x14ac:dyDescent="0.3">
      <c r="A667" s="22"/>
      <c r="B667" s="18"/>
      <c r="C667" s="18"/>
      <c r="D667" s="18"/>
      <c r="E667" s="18"/>
      <c r="F667" s="18"/>
      <c r="G667" s="18"/>
      <c r="H667" s="20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spans="1:25" x14ac:dyDescent="0.3">
      <c r="A668" s="22"/>
      <c r="B668" s="18"/>
      <c r="C668" s="18"/>
      <c r="D668" s="18"/>
      <c r="E668" s="18"/>
      <c r="F668" s="18"/>
      <c r="G668" s="18"/>
      <c r="H668" s="20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spans="1:25" x14ac:dyDescent="0.3">
      <c r="A669" s="22"/>
      <c r="B669" s="18"/>
      <c r="C669" s="18"/>
      <c r="D669" s="18"/>
      <c r="E669" s="18"/>
      <c r="F669" s="18"/>
      <c r="G669" s="18"/>
      <c r="H669" s="20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spans="1:25" x14ac:dyDescent="0.3">
      <c r="A670" s="22"/>
      <c r="B670" s="18"/>
      <c r="C670" s="18"/>
      <c r="D670" s="18"/>
      <c r="E670" s="18"/>
      <c r="F670" s="18"/>
      <c r="G670" s="18"/>
      <c r="H670" s="20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spans="1:25" x14ac:dyDescent="0.3">
      <c r="A671" s="22"/>
      <c r="B671" s="18"/>
      <c r="C671" s="18"/>
      <c r="D671" s="18"/>
      <c r="E671" s="18"/>
      <c r="F671" s="18"/>
      <c r="G671" s="18"/>
      <c r="H671" s="20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spans="1:25" x14ac:dyDescent="0.3">
      <c r="A672" s="22"/>
      <c r="B672" s="18"/>
      <c r="C672" s="18"/>
      <c r="D672" s="18"/>
      <c r="E672" s="18"/>
      <c r="F672" s="18"/>
      <c r="G672" s="18"/>
      <c r="H672" s="20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spans="1:25" x14ac:dyDescent="0.3">
      <c r="A673" s="22"/>
      <c r="B673" s="18"/>
      <c r="C673" s="18"/>
      <c r="D673" s="18"/>
      <c r="E673" s="18"/>
      <c r="F673" s="18"/>
      <c r="G673" s="18"/>
      <c r="H673" s="20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spans="1:25" x14ac:dyDescent="0.3">
      <c r="A674" s="22"/>
      <c r="B674" s="18"/>
      <c r="C674" s="18"/>
      <c r="D674" s="18"/>
      <c r="E674" s="18"/>
      <c r="F674" s="18"/>
      <c r="G674" s="18"/>
      <c r="H674" s="20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spans="1:25" x14ac:dyDescent="0.3">
      <c r="A675" s="22"/>
      <c r="B675" s="18"/>
      <c r="C675" s="18"/>
      <c r="D675" s="18"/>
      <c r="E675" s="18"/>
      <c r="F675" s="18"/>
      <c r="G675" s="18"/>
      <c r="H675" s="20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spans="1:25" x14ac:dyDescent="0.3">
      <c r="A676" s="22"/>
      <c r="B676" s="18"/>
      <c r="C676" s="18"/>
      <c r="D676" s="18"/>
      <c r="E676" s="18"/>
      <c r="F676" s="18"/>
      <c r="G676" s="18"/>
      <c r="H676" s="20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spans="1:25" x14ac:dyDescent="0.3">
      <c r="A677" s="22"/>
      <c r="B677" s="18"/>
      <c r="C677" s="18"/>
      <c r="D677" s="18"/>
      <c r="E677" s="18"/>
      <c r="F677" s="18"/>
      <c r="G677" s="18"/>
      <c r="H677" s="20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spans="1:25" x14ac:dyDescent="0.3">
      <c r="A678" s="22"/>
      <c r="B678" s="18"/>
      <c r="C678" s="18"/>
      <c r="D678" s="18"/>
      <c r="E678" s="18"/>
      <c r="F678" s="18"/>
      <c r="G678" s="18"/>
      <c r="H678" s="20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spans="1:25" x14ac:dyDescent="0.3">
      <c r="A679" s="22"/>
      <c r="B679" s="18"/>
      <c r="C679" s="18"/>
      <c r="D679" s="18"/>
      <c r="E679" s="18"/>
      <c r="F679" s="18"/>
      <c r="G679" s="18"/>
      <c r="H679" s="20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spans="1:25" x14ac:dyDescent="0.3">
      <c r="A680" s="22"/>
      <c r="B680" s="18"/>
      <c r="C680" s="18"/>
      <c r="D680" s="18"/>
      <c r="E680" s="18"/>
      <c r="F680" s="18"/>
      <c r="G680" s="18"/>
      <c r="H680" s="20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spans="1:25" x14ac:dyDescent="0.3">
      <c r="A681" s="22"/>
      <c r="B681" s="18"/>
      <c r="C681" s="18"/>
      <c r="D681" s="18"/>
      <c r="E681" s="18"/>
      <c r="F681" s="18"/>
      <c r="G681" s="18"/>
      <c r="H681" s="20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spans="1:25" x14ac:dyDescent="0.3">
      <c r="A682" s="22"/>
      <c r="B682" s="18"/>
      <c r="C682" s="18"/>
      <c r="D682" s="18"/>
      <c r="E682" s="18"/>
      <c r="F682" s="18"/>
      <c r="G682" s="18"/>
      <c r="H682" s="20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spans="1:25" x14ac:dyDescent="0.3">
      <c r="A683" s="22"/>
      <c r="B683" s="18"/>
      <c r="C683" s="18"/>
      <c r="D683" s="18"/>
      <c r="E683" s="18"/>
      <c r="F683" s="18"/>
      <c r="G683" s="18"/>
      <c r="H683" s="20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spans="1:25" x14ac:dyDescent="0.3">
      <c r="A684" s="22"/>
      <c r="B684" s="18"/>
      <c r="C684" s="18"/>
      <c r="D684" s="18"/>
      <c r="E684" s="18"/>
      <c r="F684" s="18"/>
      <c r="G684" s="18"/>
      <c r="H684" s="20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spans="1:25" x14ac:dyDescent="0.3">
      <c r="A685" s="22"/>
      <c r="B685" s="18"/>
      <c r="C685" s="18"/>
      <c r="D685" s="18"/>
      <c r="E685" s="18"/>
      <c r="F685" s="18"/>
      <c r="G685" s="18"/>
      <c r="H685" s="20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spans="1:25" x14ac:dyDescent="0.3">
      <c r="A686" s="22"/>
      <c r="B686" s="18"/>
      <c r="C686" s="18"/>
      <c r="D686" s="18"/>
      <c r="E686" s="18"/>
      <c r="F686" s="18"/>
      <c r="G686" s="18"/>
      <c r="H686" s="20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spans="1:25" x14ac:dyDescent="0.3">
      <c r="A687" s="22"/>
      <c r="B687" s="18"/>
      <c r="C687" s="18"/>
      <c r="D687" s="18"/>
      <c r="E687" s="18"/>
      <c r="F687" s="18"/>
      <c r="G687" s="18"/>
      <c r="H687" s="20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spans="1:25" x14ac:dyDescent="0.3">
      <c r="A688" s="22"/>
      <c r="B688" s="18"/>
      <c r="C688" s="18"/>
      <c r="D688" s="18"/>
      <c r="E688" s="18"/>
      <c r="F688" s="18"/>
      <c r="G688" s="18"/>
      <c r="H688" s="20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spans="1:25" x14ac:dyDescent="0.3">
      <c r="A689" s="22"/>
      <c r="B689" s="18"/>
      <c r="C689" s="18"/>
      <c r="D689" s="18"/>
      <c r="E689" s="18"/>
      <c r="F689" s="18"/>
      <c r="G689" s="18"/>
      <c r="H689" s="20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spans="1:25" x14ac:dyDescent="0.3">
      <c r="A690" s="22"/>
      <c r="B690" s="18"/>
      <c r="C690" s="18"/>
      <c r="D690" s="18"/>
      <c r="E690" s="18"/>
      <c r="F690" s="18"/>
      <c r="G690" s="18"/>
      <c r="H690" s="20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spans="1:25" x14ac:dyDescent="0.3">
      <c r="A691" s="22"/>
      <c r="B691" s="18"/>
      <c r="C691" s="18"/>
      <c r="D691" s="18"/>
      <c r="E691" s="18"/>
      <c r="F691" s="18"/>
      <c r="G691" s="18"/>
      <c r="H691" s="20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spans="1:25" x14ac:dyDescent="0.3">
      <c r="A692" s="22"/>
      <c r="B692" s="18"/>
      <c r="C692" s="18"/>
      <c r="D692" s="18"/>
      <c r="E692" s="18"/>
      <c r="F692" s="18"/>
      <c r="G692" s="18"/>
      <c r="H692" s="20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spans="1:25" x14ac:dyDescent="0.3">
      <c r="A693" s="22"/>
      <c r="B693" s="18"/>
      <c r="C693" s="18"/>
      <c r="D693" s="18"/>
      <c r="E693" s="18"/>
      <c r="F693" s="18"/>
      <c r="G693" s="18"/>
      <c r="H693" s="20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spans="1:25" x14ac:dyDescent="0.3">
      <c r="A694" s="22"/>
      <c r="B694" s="18"/>
      <c r="C694" s="18"/>
      <c r="D694" s="18"/>
      <c r="E694" s="18"/>
      <c r="F694" s="18"/>
      <c r="G694" s="18"/>
      <c r="H694" s="20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spans="1:25" x14ac:dyDescent="0.3">
      <c r="A695" s="22"/>
      <c r="B695" s="18"/>
      <c r="C695" s="18"/>
      <c r="D695" s="18"/>
      <c r="E695" s="18"/>
      <c r="F695" s="18"/>
      <c r="G695" s="18"/>
      <c r="H695" s="20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spans="1:25" x14ac:dyDescent="0.3">
      <c r="A696" s="22"/>
      <c r="B696" s="18"/>
      <c r="C696" s="18"/>
      <c r="D696" s="18"/>
      <c r="E696" s="18"/>
      <c r="F696" s="18"/>
      <c r="G696" s="18"/>
      <c r="H696" s="20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spans="1:25" x14ac:dyDescent="0.3">
      <c r="A697" s="22"/>
      <c r="B697" s="18"/>
      <c r="C697" s="18"/>
      <c r="D697" s="18"/>
      <c r="E697" s="18"/>
      <c r="F697" s="18"/>
      <c r="G697" s="18"/>
      <c r="H697" s="20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spans="1:25" x14ac:dyDescent="0.3">
      <c r="A698" s="22"/>
      <c r="B698" s="18"/>
      <c r="C698" s="18"/>
      <c r="D698" s="18"/>
      <c r="E698" s="18"/>
      <c r="F698" s="18"/>
      <c r="G698" s="18"/>
      <c r="H698" s="20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spans="1:25" x14ac:dyDescent="0.3">
      <c r="A699" s="22"/>
      <c r="B699" s="18"/>
      <c r="C699" s="18"/>
      <c r="D699" s="18"/>
      <c r="E699" s="18"/>
      <c r="F699" s="18"/>
      <c r="G699" s="18"/>
      <c r="H699" s="20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spans="1:25" x14ac:dyDescent="0.3">
      <c r="A700" s="22"/>
      <c r="B700" s="18"/>
      <c r="C700" s="18"/>
      <c r="D700" s="18"/>
      <c r="E700" s="18"/>
      <c r="F700" s="18"/>
      <c r="G700" s="18"/>
      <c r="H700" s="20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spans="1:25" x14ac:dyDescent="0.3">
      <c r="A701" s="22"/>
      <c r="B701" s="18"/>
      <c r="C701" s="18"/>
      <c r="D701" s="18"/>
      <c r="E701" s="18"/>
      <c r="F701" s="18"/>
      <c r="G701" s="18"/>
      <c r="H701" s="20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spans="1:25" x14ac:dyDescent="0.3">
      <c r="A702" s="22"/>
      <c r="B702" s="18"/>
      <c r="C702" s="18"/>
      <c r="D702" s="18"/>
      <c r="E702" s="18"/>
      <c r="F702" s="18"/>
      <c r="G702" s="18"/>
      <c r="H702" s="20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spans="1:25" x14ac:dyDescent="0.3">
      <c r="A703" s="22"/>
      <c r="B703" s="18"/>
      <c r="C703" s="18"/>
      <c r="D703" s="18"/>
      <c r="E703" s="18"/>
      <c r="F703" s="18"/>
      <c r="G703" s="18"/>
      <c r="H703" s="20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spans="1:25" x14ac:dyDescent="0.3">
      <c r="A704" s="22"/>
      <c r="B704" s="18"/>
      <c r="C704" s="18"/>
      <c r="D704" s="18"/>
      <c r="E704" s="18"/>
      <c r="F704" s="18"/>
      <c r="G704" s="18"/>
      <c r="H704" s="20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spans="1:25" x14ac:dyDescent="0.3">
      <c r="A705" s="22"/>
      <c r="B705" s="18"/>
      <c r="C705" s="18"/>
      <c r="D705" s="18"/>
      <c r="E705" s="18"/>
      <c r="F705" s="18"/>
      <c r="G705" s="18"/>
      <c r="H705" s="20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spans="1:25" x14ac:dyDescent="0.3">
      <c r="A706" s="22"/>
      <c r="B706" s="18"/>
      <c r="C706" s="18"/>
      <c r="D706" s="18"/>
      <c r="E706" s="18"/>
      <c r="F706" s="18"/>
      <c r="G706" s="18"/>
      <c r="H706" s="20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spans="1:25" x14ac:dyDescent="0.3">
      <c r="A707" s="22"/>
      <c r="B707" s="18"/>
      <c r="C707" s="18"/>
      <c r="D707" s="18"/>
      <c r="E707" s="18"/>
      <c r="F707" s="18"/>
      <c r="G707" s="18"/>
      <c r="H707" s="20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spans="1:25" x14ac:dyDescent="0.3">
      <c r="A708" s="22"/>
      <c r="B708" s="18"/>
      <c r="C708" s="18"/>
      <c r="D708" s="18"/>
      <c r="E708" s="18"/>
      <c r="F708" s="18"/>
      <c r="G708" s="18"/>
      <c r="H708" s="20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spans="1:25" x14ac:dyDescent="0.3">
      <c r="A709" s="22"/>
      <c r="B709" s="18"/>
      <c r="C709" s="18"/>
      <c r="D709" s="18"/>
      <c r="E709" s="18"/>
      <c r="F709" s="18"/>
      <c r="G709" s="18"/>
      <c r="H709" s="20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spans="1:25" x14ac:dyDescent="0.3">
      <c r="A710" s="22"/>
      <c r="B710" s="18"/>
      <c r="C710" s="18"/>
      <c r="D710" s="18"/>
      <c r="E710" s="18"/>
      <c r="F710" s="18"/>
      <c r="G710" s="18"/>
      <c r="H710" s="20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spans="1:25" x14ac:dyDescent="0.3">
      <c r="A711" s="22"/>
      <c r="B711" s="18"/>
      <c r="C711" s="18"/>
      <c r="D711" s="18"/>
      <c r="E711" s="18"/>
      <c r="F711" s="18"/>
      <c r="G711" s="18"/>
      <c r="H711" s="20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spans="1:25" x14ac:dyDescent="0.3">
      <c r="A712" s="22"/>
      <c r="B712" s="18"/>
      <c r="C712" s="18"/>
      <c r="D712" s="18"/>
      <c r="E712" s="18"/>
      <c r="F712" s="18"/>
      <c r="G712" s="18"/>
      <c r="H712" s="20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spans="1:25" x14ac:dyDescent="0.3">
      <c r="A713" s="22"/>
      <c r="B713" s="18"/>
      <c r="C713" s="18"/>
      <c r="D713" s="18"/>
      <c r="E713" s="18"/>
      <c r="F713" s="18"/>
      <c r="G713" s="18"/>
      <c r="H713" s="20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spans="1:25" x14ac:dyDescent="0.3">
      <c r="A714" s="22"/>
      <c r="B714" s="18"/>
      <c r="C714" s="18"/>
      <c r="D714" s="18"/>
      <c r="E714" s="18"/>
      <c r="F714" s="18"/>
      <c r="G714" s="18"/>
      <c r="H714" s="20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spans="1:25" x14ac:dyDescent="0.3">
      <c r="A715" s="22"/>
      <c r="B715" s="18"/>
      <c r="C715" s="18"/>
      <c r="D715" s="18"/>
      <c r="E715" s="18"/>
      <c r="F715" s="18"/>
      <c r="G715" s="18"/>
      <c r="H715" s="20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spans="1:25" x14ac:dyDescent="0.3">
      <c r="A716" s="22"/>
      <c r="B716" s="18"/>
      <c r="C716" s="18"/>
      <c r="D716" s="18"/>
      <c r="E716" s="18"/>
      <c r="F716" s="18"/>
      <c r="G716" s="18"/>
      <c r="H716" s="20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spans="1:25" x14ac:dyDescent="0.3">
      <c r="A717" s="22"/>
      <c r="B717" s="18"/>
      <c r="C717" s="18"/>
      <c r="D717" s="18"/>
      <c r="E717" s="18"/>
      <c r="F717" s="18"/>
      <c r="G717" s="18"/>
      <c r="H717" s="20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spans="1:25" x14ac:dyDescent="0.3">
      <c r="A718" s="22"/>
      <c r="B718" s="18"/>
      <c r="C718" s="18"/>
      <c r="D718" s="18"/>
      <c r="E718" s="18"/>
      <c r="F718" s="18"/>
      <c r="G718" s="18"/>
      <c r="H718" s="20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spans="1:25" x14ac:dyDescent="0.3">
      <c r="A719" s="22"/>
      <c r="B719" s="18"/>
      <c r="C719" s="18"/>
      <c r="D719" s="18"/>
      <c r="E719" s="18"/>
      <c r="F719" s="18"/>
      <c r="G719" s="18"/>
      <c r="H719" s="20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spans="1:25" x14ac:dyDescent="0.3">
      <c r="A720" s="22"/>
      <c r="B720" s="18"/>
      <c r="C720" s="18"/>
      <c r="D720" s="18"/>
      <c r="E720" s="18"/>
      <c r="F720" s="18"/>
      <c r="G720" s="18"/>
      <c r="H720" s="20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spans="1:25" x14ac:dyDescent="0.3">
      <c r="A721" s="22"/>
      <c r="B721" s="18"/>
      <c r="C721" s="18"/>
      <c r="D721" s="18"/>
      <c r="E721" s="18"/>
      <c r="F721" s="18"/>
      <c r="G721" s="18"/>
      <c r="H721" s="20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spans="1:25" x14ac:dyDescent="0.3">
      <c r="A722" s="22"/>
      <c r="B722" s="18"/>
      <c r="C722" s="18"/>
      <c r="D722" s="18"/>
      <c r="E722" s="18"/>
      <c r="F722" s="18"/>
      <c r="G722" s="18"/>
      <c r="H722" s="20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spans="1:25" x14ac:dyDescent="0.3">
      <c r="A723" s="22"/>
      <c r="B723" s="18"/>
      <c r="C723" s="18"/>
      <c r="D723" s="18"/>
      <c r="E723" s="18"/>
      <c r="F723" s="18"/>
      <c r="G723" s="18"/>
      <c r="H723" s="20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spans="1:25" x14ac:dyDescent="0.3">
      <c r="A724" s="22"/>
      <c r="B724" s="18"/>
      <c r="C724" s="18"/>
      <c r="D724" s="18"/>
      <c r="E724" s="18"/>
      <c r="F724" s="18"/>
      <c r="G724" s="18"/>
      <c r="H724" s="20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spans="1:25" x14ac:dyDescent="0.3">
      <c r="A725" s="22"/>
      <c r="B725" s="18"/>
      <c r="C725" s="18"/>
      <c r="D725" s="18"/>
      <c r="E725" s="18"/>
      <c r="F725" s="18"/>
      <c r="G725" s="18"/>
      <c r="H725" s="20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spans="1:25" x14ac:dyDescent="0.3">
      <c r="A726" s="22"/>
      <c r="B726" s="18"/>
      <c r="C726" s="18"/>
      <c r="D726" s="18"/>
      <c r="E726" s="18"/>
      <c r="F726" s="18"/>
      <c r="G726" s="18"/>
      <c r="H726" s="20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spans="1:25" x14ac:dyDescent="0.3">
      <c r="A727" s="22"/>
      <c r="B727" s="18"/>
      <c r="C727" s="18"/>
      <c r="D727" s="18"/>
      <c r="E727" s="18"/>
      <c r="F727" s="18"/>
      <c r="G727" s="18"/>
      <c r="H727" s="20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spans="1:25" x14ac:dyDescent="0.3">
      <c r="A728" s="22"/>
      <c r="B728" s="18"/>
      <c r="C728" s="18"/>
      <c r="D728" s="18"/>
      <c r="E728" s="18"/>
      <c r="F728" s="18"/>
      <c r="G728" s="18"/>
      <c r="H728" s="20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spans="1:25" x14ac:dyDescent="0.3">
      <c r="A729" s="22"/>
      <c r="B729" s="18"/>
      <c r="C729" s="18"/>
      <c r="D729" s="18"/>
      <c r="E729" s="18"/>
      <c r="F729" s="18"/>
      <c r="G729" s="18"/>
      <c r="H729" s="20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spans="1:25" x14ac:dyDescent="0.3">
      <c r="A730" s="22"/>
      <c r="B730" s="18"/>
      <c r="C730" s="18"/>
      <c r="D730" s="18"/>
      <c r="E730" s="18"/>
      <c r="F730" s="18"/>
      <c r="G730" s="18"/>
      <c r="H730" s="20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spans="1:25" x14ac:dyDescent="0.3">
      <c r="A731" s="22"/>
      <c r="B731" s="18"/>
      <c r="C731" s="18"/>
      <c r="D731" s="18"/>
      <c r="E731" s="18"/>
      <c r="F731" s="18"/>
      <c r="G731" s="18"/>
      <c r="H731" s="20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spans="1:25" x14ac:dyDescent="0.3">
      <c r="A732" s="22"/>
      <c r="B732" s="18"/>
      <c r="C732" s="18"/>
      <c r="D732" s="18"/>
      <c r="E732" s="18"/>
      <c r="F732" s="18"/>
      <c r="G732" s="18"/>
      <c r="H732" s="20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spans="1:25" x14ac:dyDescent="0.3">
      <c r="A733" s="22"/>
      <c r="B733" s="18"/>
      <c r="C733" s="18"/>
      <c r="D733" s="18"/>
      <c r="E733" s="18"/>
      <c r="F733" s="18"/>
      <c r="G733" s="18"/>
      <c r="H733" s="20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spans="1:25" x14ac:dyDescent="0.3">
      <c r="A734" s="22"/>
      <c r="B734" s="18"/>
      <c r="C734" s="18"/>
      <c r="D734" s="18"/>
      <c r="E734" s="18"/>
      <c r="F734" s="18"/>
      <c r="G734" s="18"/>
      <c r="H734" s="20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spans="1:25" x14ac:dyDescent="0.3">
      <c r="A735" s="22"/>
      <c r="B735" s="18"/>
      <c r="C735" s="18"/>
      <c r="D735" s="18"/>
      <c r="E735" s="18"/>
      <c r="F735" s="18"/>
      <c r="G735" s="18"/>
      <c r="H735" s="20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spans="1:25" x14ac:dyDescent="0.3">
      <c r="A736" s="22"/>
      <c r="B736" s="18"/>
      <c r="C736" s="18"/>
      <c r="D736" s="18"/>
      <c r="E736" s="18"/>
      <c r="F736" s="18"/>
      <c r="G736" s="18"/>
      <c r="H736" s="20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spans="1:25" x14ac:dyDescent="0.3">
      <c r="A737" s="22"/>
      <c r="B737" s="18"/>
      <c r="C737" s="18"/>
      <c r="D737" s="18"/>
      <c r="E737" s="18"/>
      <c r="F737" s="18"/>
      <c r="G737" s="18"/>
      <c r="H737" s="20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spans="1:25" x14ac:dyDescent="0.3">
      <c r="A738" s="22"/>
      <c r="B738" s="18"/>
      <c r="C738" s="18"/>
      <c r="D738" s="18"/>
      <c r="E738" s="18"/>
      <c r="F738" s="18"/>
      <c r="G738" s="18"/>
      <c r="H738" s="20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spans="1:25" x14ac:dyDescent="0.3">
      <c r="A739" s="22"/>
      <c r="B739" s="18"/>
      <c r="C739" s="18"/>
      <c r="D739" s="18"/>
      <c r="E739" s="18"/>
      <c r="F739" s="18"/>
      <c r="G739" s="18"/>
      <c r="H739" s="20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spans="1:25" x14ac:dyDescent="0.3">
      <c r="A740" s="22"/>
      <c r="B740" s="18"/>
      <c r="C740" s="18"/>
      <c r="D740" s="18"/>
      <c r="E740" s="18"/>
      <c r="F740" s="18"/>
      <c r="G740" s="18"/>
      <c r="H740" s="20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spans="1:25" x14ac:dyDescent="0.3">
      <c r="A741" s="22"/>
      <c r="B741" s="18"/>
      <c r="C741" s="18"/>
      <c r="D741" s="18"/>
      <c r="E741" s="18"/>
      <c r="F741" s="18"/>
      <c r="G741" s="18"/>
      <c r="H741" s="20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spans="1:25" x14ac:dyDescent="0.3">
      <c r="A742" s="22"/>
      <c r="B742" s="18"/>
      <c r="C742" s="18"/>
      <c r="D742" s="18"/>
      <c r="E742" s="18"/>
      <c r="F742" s="18"/>
      <c r="G742" s="18"/>
      <c r="H742" s="20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spans="1:25" x14ac:dyDescent="0.3">
      <c r="A743" s="22"/>
      <c r="B743" s="18"/>
      <c r="C743" s="18"/>
      <c r="D743" s="18"/>
      <c r="E743" s="18"/>
      <c r="F743" s="18"/>
      <c r="G743" s="18"/>
      <c r="H743" s="20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spans="1:25" x14ac:dyDescent="0.3">
      <c r="A744" s="22"/>
      <c r="B744" s="18"/>
      <c r="C744" s="18"/>
      <c r="D744" s="18"/>
      <c r="E744" s="18"/>
      <c r="F744" s="18"/>
      <c r="G744" s="18"/>
      <c r="H744" s="20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spans="1:25" x14ac:dyDescent="0.3">
      <c r="A745" s="22"/>
      <c r="B745" s="18"/>
      <c r="C745" s="18"/>
      <c r="D745" s="18"/>
      <c r="E745" s="18"/>
      <c r="F745" s="18"/>
      <c r="G745" s="18"/>
      <c r="H745" s="20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spans="1:25" x14ac:dyDescent="0.3">
      <c r="A746" s="22"/>
      <c r="B746" s="18"/>
      <c r="C746" s="18"/>
      <c r="D746" s="18"/>
      <c r="E746" s="18"/>
      <c r="F746" s="18"/>
      <c r="G746" s="18"/>
      <c r="H746" s="20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spans="1:25" x14ac:dyDescent="0.3">
      <c r="A747" s="22"/>
      <c r="B747" s="18"/>
      <c r="C747" s="18"/>
      <c r="D747" s="18"/>
      <c r="E747" s="18"/>
      <c r="F747" s="18"/>
      <c r="G747" s="18"/>
      <c r="H747" s="20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spans="1:25" x14ac:dyDescent="0.3">
      <c r="A748" s="22"/>
      <c r="B748" s="18"/>
      <c r="C748" s="18"/>
      <c r="D748" s="18"/>
      <c r="E748" s="18"/>
      <c r="F748" s="18"/>
      <c r="G748" s="18"/>
      <c r="H748" s="20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spans="1:25" x14ac:dyDescent="0.3">
      <c r="A749" s="22"/>
      <c r="B749" s="18"/>
      <c r="C749" s="18"/>
      <c r="D749" s="18"/>
      <c r="E749" s="18"/>
      <c r="F749" s="18"/>
      <c r="G749" s="18"/>
      <c r="H749" s="20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spans="1:25" x14ac:dyDescent="0.3">
      <c r="A750" s="22"/>
      <c r="B750" s="18"/>
      <c r="C750" s="18"/>
      <c r="D750" s="18"/>
      <c r="E750" s="18"/>
      <c r="F750" s="18"/>
      <c r="G750" s="18"/>
      <c r="H750" s="20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spans="1:25" x14ac:dyDescent="0.3">
      <c r="A751" s="22"/>
      <c r="B751" s="18"/>
      <c r="C751" s="18"/>
      <c r="D751" s="18"/>
      <c r="E751" s="18"/>
      <c r="F751" s="18"/>
      <c r="G751" s="18"/>
      <c r="H751" s="20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spans="1:25" x14ac:dyDescent="0.3">
      <c r="A752" s="22"/>
      <c r="B752" s="18"/>
      <c r="C752" s="18"/>
      <c r="D752" s="18"/>
      <c r="E752" s="18"/>
      <c r="F752" s="18"/>
      <c r="G752" s="18"/>
      <c r="H752" s="20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spans="1:25" x14ac:dyDescent="0.3">
      <c r="A753" s="22"/>
      <c r="B753" s="18"/>
      <c r="C753" s="18"/>
      <c r="D753" s="18"/>
      <c r="E753" s="18"/>
      <c r="F753" s="18"/>
      <c r="G753" s="18"/>
      <c r="H753" s="20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spans="1:25" x14ac:dyDescent="0.3">
      <c r="A754" s="22"/>
      <c r="B754" s="18"/>
      <c r="C754" s="18"/>
      <c r="D754" s="18"/>
      <c r="E754" s="18"/>
      <c r="F754" s="18"/>
      <c r="G754" s="18"/>
      <c r="H754" s="20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spans="1:25" x14ac:dyDescent="0.3">
      <c r="A755" s="22"/>
      <c r="B755" s="18"/>
      <c r="C755" s="18"/>
      <c r="D755" s="18"/>
      <c r="E755" s="18"/>
      <c r="F755" s="18"/>
      <c r="G755" s="18"/>
      <c r="H755" s="20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spans="1:25" x14ac:dyDescent="0.3">
      <c r="A756" s="22"/>
      <c r="B756" s="18"/>
      <c r="C756" s="18"/>
      <c r="D756" s="18"/>
      <c r="E756" s="18"/>
      <c r="F756" s="18"/>
      <c r="G756" s="18"/>
      <c r="H756" s="20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spans="1:25" x14ac:dyDescent="0.3">
      <c r="A757" s="22"/>
      <c r="B757" s="18"/>
      <c r="C757" s="18"/>
      <c r="D757" s="18"/>
      <c r="E757" s="18"/>
      <c r="F757" s="18"/>
      <c r="G757" s="18"/>
      <c r="H757" s="20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spans="1:25" x14ac:dyDescent="0.3">
      <c r="A758" s="22"/>
      <c r="B758" s="18"/>
      <c r="C758" s="18"/>
      <c r="D758" s="18"/>
      <c r="E758" s="18"/>
      <c r="F758" s="18"/>
      <c r="G758" s="18"/>
      <c r="H758" s="20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spans="1:25" x14ac:dyDescent="0.3">
      <c r="A759" s="22"/>
      <c r="B759" s="18"/>
      <c r="C759" s="18"/>
      <c r="D759" s="18"/>
      <c r="E759" s="18"/>
      <c r="F759" s="18"/>
      <c r="G759" s="18"/>
      <c r="H759" s="20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spans="1:25" x14ac:dyDescent="0.3">
      <c r="A760" s="22"/>
      <c r="B760" s="18"/>
      <c r="C760" s="18"/>
      <c r="D760" s="18"/>
      <c r="E760" s="18"/>
      <c r="F760" s="18"/>
      <c r="G760" s="18"/>
      <c r="H760" s="20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spans="1:25" x14ac:dyDescent="0.3">
      <c r="A761" s="22"/>
      <c r="B761" s="18"/>
      <c r="C761" s="18"/>
      <c r="D761" s="18"/>
      <c r="E761" s="18"/>
      <c r="F761" s="18"/>
      <c r="G761" s="18"/>
      <c r="H761" s="20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spans="1:25" x14ac:dyDescent="0.3">
      <c r="A762" s="22"/>
      <c r="B762" s="18"/>
      <c r="C762" s="18"/>
      <c r="D762" s="18"/>
      <c r="E762" s="18"/>
      <c r="F762" s="18"/>
      <c r="G762" s="18"/>
      <c r="H762" s="20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spans="1:25" x14ac:dyDescent="0.3">
      <c r="A763" s="22"/>
      <c r="B763" s="18"/>
      <c r="C763" s="18"/>
      <c r="D763" s="18"/>
      <c r="E763" s="18"/>
      <c r="F763" s="18"/>
      <c r="G763" s="18"/>
      <c r="H763" s="20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spans="1:25" x14ac:dyDescent="0.3">
      <c r="A764" s="22"/>
      <c r="B764" s="18"/>
      <c r="C764" s="18"/>
      <c r="D764" s="18"/>
      <c r="E764" s="18"/>
      <c r="F764" s="18"/>
      <c r="G764" s="18"/>
      <c r="H764" s="20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spans="1:25" x14ac:dyDescent="0.3">
      <c r="A765" s="22"/>
      <c r="B765" s="18"/>
      <c r="C765" s="18"/>
      <c r="D765" s="18"/>
      <c r="E765" s="18"/>
      <c r="F765" s="18"/>
      <c r="G765" s="18"/>
      <c r="H765" s="20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spans="1:25" x14ac:dyDescent="0.3">
      <c r="A766" s="22"/>
      <c r="B766" s="18"/>
      <c r="C766" s="18"/>
      <c r="D766" s="18"/>
      <c r="E766" s="18"/>
      <c r="F766" s="18"/>
      <c r="G766" s="18"/>
      <c r="H766" s="20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spans="1:25" x14ac:dyDescent="0.3">
      <c r="A767" s="22"/>
      <c r="B767" s="18"/>
      <c r="C767" s="18"/>
      <c r="D767" s="18"/>
      <c r="E767" s="18"/>
      <c r="F767" s="18"/>
      <c r="G767" s="18"/>
      <c r="H767" s="20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spans="1:25" x14ac:dyDescent="0.3">
      <c r="A768" s="22"/>
      <c r="B768" s="18"/>
      <c r="C768" s="18"/>
      <c r="D768" s="18"/>
      <c r="E768" s="18"/>
      <c r="F768" s="18"/>
      <c r="G768" s="18"/>
      <c r="H768" s="20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spans="1:25" x14ac:dyDescent="0.3">
      <c r="A769" s="22"/>
      <c r="B769" s="18"/>
      <c r="C769" s="18"/>
      <c r="D769" s="18"/>
      <c r="E769" s="18"/>
      <c r="F769" s="18"/>
      <c r="G769" s="18"/>
      <c r="H769" s="20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spans="1:25" x14ac:dyDescent="0.3">
      <c r="A770" s="22"/>
      <c r="B770" s="18"/>
      <c r="C770" s="18"/>
      <c r="D770" s="18"/>
      <c r="E770" s="18"/>
      <c r="F770" s="18"/>
      <c r="G770" s="18"/>
      <c r="H770" s="20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spans="1:25" x14ac:dyDescent="0.3">
      <c r="A771" s="22"/>
      <c r="B771" s="18"/>
      <c r="C771" s="18"/>
      <c r="D771" s="18"/>
      <c r="E771" s="18"/>
      <c r="F771" s="18"/>
      <c r="G771" s="18"/>
      <c r="H771" s="20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spans="1:25" x14ac:dyDescent="0.3">
      <c r="A772" s="22"/>
      <c r="B772" s="18"/>
      <c r="C772" s="18"/>
      <c r="D772" s="18"/>
      <c r="E772" s="18"/>
      <c r="F772" s="18"/>
      <c r="G772" s="18"/>
      <c r="H772" s="20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spans="1:25" x14ac:dyDescent="0.3">
      <c r="A773" s="22"/>
      <c r="B773" s="18"/>
      <c r="C773" s="18"/>
      <c r="D773" s="18"/>
      <c r="E773" s="18"/>
      <c r="F773" s="18"/>
      <c r="G773" s="18"/>
      <c r="H773" s="20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spans="1:25" x14ac:dyDescent="0.3">
      <c r="A774" s="22"/>
      <c r="B774" s="18"/>
      <c r="C774" s="18"/>
      <c r="D774" s="18"/>
      <c r="E774" s="18"/>
      <c r="F774" s="18"/>
      <c r="G774" s="18"/>
      <c r="H774" s="20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spans="1:25" x14ac:dyDescent="0.3">
      <c r="A775" s="22"/>
      <c r="B775" s="18"/>
      <c r="C775" s="18"/>
      <c r="D775" s="18"/>
      <c r="E775" s="18"/>
      <c r="F775" s="18"/>
      <c r="G775" s="18"/>
      <c r="H775" s="20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spans="1:25" x14ac:dyDescent="0.3">
      <c r="A776" s="22"/>
      <c r="B776" s="18"/>
      <c r="C776" s="18"/>
      <c r="D776" s="18"/>
      <c r="E776" s="18"/>
      <c r="F776" s="18"/>
      <c r="G776" s="18"/>
      <c r="H776" s="20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spans="1:25" x14ac:dyDescent="0.3">
      <c r="A777" s="22"/>
      <c r="B777" s="18"/>
      <c r="C777" s="18"/>
      <c r="D777" s="18"/>
      <c r="E777" s="18"/>
      <c r="F777" s="18"/>
      <c r="G777" s="18"/>
      <c r="H777" s="20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spans="1:25" x14ac:dyDescent="0.3">
      <c r="A778" s="22"/>
      <c r="B778" s="18"/>
      <c r="C778" s="18"/>
      <c r="D778" s="18"/>
      <c r="E778" s="18"/>
      <c r="F778" s="18"/>
      <c r="G778" s="18"/>
      <c r="H778" s="20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spans="1:25" x14ac:dyDescent="0.3">
      <c r="A779" s="22"/>
      <c r="B779" s="18"/>
      <c r="C779" s="18"/>
      <c r="D779" s="18"/>
      <c r="E779" s="18"/>
      <c r="F779" s="18"/>
      <c r="G779" s="18"/>
      <c r="H779" s="20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spans="1:25" x14ac:dyDescent="0.3">
      <c r="A780" s="22"/>
      <c r="B780" s="18"/>
      <c r="C780" s="18"/>
      <c r="D780" s="18"/>
      <c r="E780" s="18"/>
      <c r="F780" s="18"/>
      <c r="G780" s="18"/>
      <c r="H780" s="20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spans="1:25" x14ac:dyDescent="0.3">
      <c r="A781" s="22"/>
      <c r="B781" s="18"/>
      <c r="C781" s="18"/>
      <c r="D781" s="18"/>
      <c r="E781" s="18"/>
      <c r="F781" s="18"/>
      <c r="G781" s="18"/>
      <c r="H781" s="20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spans="1:25" x14ac:dyDescent="0.3">
      <c r="A782" s="22"/>
      <c r="B782" s="18"/>
      <c r="C782" s="18"/>
      <c r="D782" s="18"/>
      <c r="E782" s="18"/>
      <c r="F782" s="18"/>
      <c r="G782" s="18"/>
      <c r="H782" s="20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spans="1:25" x14ac:dyDescent="0.3">
      <c r="A783" s="22"/>
      <c r="B783" s="18"/>
      <c r="C783" s="18"/>
      <c r="D783" s="18"/>
      <c r="E783" s="18"/>
      <c r="F783" s="18"/>
      <c r="G783" s="18"/>
      <c r="H783" s="20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spans="1:25" x14ac:dyDescent="0.3">
      <c r="A784" s="22"/>
      <c r="B784" s="18"/>
      <c r="C784" s="18"/>
      <c r="D784" s="18"/>
      <c r="E784" s="18"/>
      <c r="F784" s="18"/>
      <c r="G784" s="18"/>
      <c r="H784" s="20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spans="1:25" x14ac:dyDescent="0.3">
      <c r="A785" s="22"/>
      <c r="B785" s="18"/>
      <c r="C785" s="18"/>
      <c r="D785" s="18"/>
      <c r="E785" s="18"/>
      <c r="F785" s="18"/>
      <c r="G785" s="18"/>
      <c r="H785" s="20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spans="1:25" x14ac:dyDescent="0.3">
      <c r="A786" s="22"/>
      <c r="B786" s="18"/>
      <c r="C786" s="18"/>
      <c r="D786" s="18"/>
      <c r="E786" s="18"/>
      <c r="F786" s="18"/>
      <c r="G786" s="18"/>
      <c r="H786" s="20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spans="1:25" x14ac:dyDescent="0.3">
      <c r="A787" s="22"/>
      <c r="B787" s="18"/>
      <c r="C787" s="18"/>
      <c r="D787" s="18"/>
      <c r="E787" s="18"/>
      <c r="F787" s="18"/>
      <c r="G787" s="18"/>
      <c r="H787" s="20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spans="1:25" x14ac:dyDescent="0.3">
      <c r="A788" s="22"/>
      <c r="B788" s="18"/>
      <c r="C788" s="18"/>
      <c r="D788" s="18"/>
      <c r="E788" s="18"/>
      <c r="F788" s="18"/>
      <c r="G788" s="18"/>
      <c r="H788" s="20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spans="1:25" x14ac:dyDescent="0.3">
      <c r="A789" s="22"/>
      <c r="B789" s="18"/>
      <c r="C789" s="18"/>
      <c r="D789" s="18"/>
      <c r="E789" s="18"/>
      <c r="F789" s="18"/>
      <c r="G789" s="18"/>
      <c r="H789" s="20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spans="1:25" x14ac:dyDescent="0.3">
      <c r="A790" s="22"/>
      <c r="B790" s="18"/>
      <c r="C790" s="18"/>
      <c r="D790" s="18"/>
      <c r="E790" s="18"/>
      <c r="F790" s="18"/>
      <c r="G790" s="18"/>
      <c r="H790" s="20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spans="1:25" x14ac:dyDescent="0.3">
      <c r="A791" s="22"/>
      <c r="B791" s="18"/>
      <c r="C791" s="18"/>
      <c r="D791" s="18"/>
      <c r="E791" s="18"/>
      <c r="F791" s="18"/>
      <c r="G791" s="18"/>
      <c r="H791" s="20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spans="1:25" x14ac:dyDescent="0.3">
      <c r="A792" s="22"/>
      <c r="B792" s="18"/>
      <c r="C792" s="18"/>
      <c r="D792" s="18"/>
      <c r="E792" s="18"/>
      <c r="F792" s="18"/>
      <c r="G792" s="18"/>
      <c r="H792" s="20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spans="1:25" x14ac:dyDescent="0.3">
      <c r="A793" s="22"/>
      <c r="B793" s="18"/>
      <c r="C793" s="18"/>
      <c r="D793" s="18"/>
      <c r="E793" s="18"/>
      <c r="F793" s="18"/>
      <c r="G793" s="18"/>
      <c r="H793" s="20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spans="1:25" x14ac:dyDescent="0.3">
      <c r="A794" s="22"/>
      <c r="B794" s="18"/>
      <c r="C794" s="18"/>
      <c r="D794" s="18"/>
      <c r="E794" s="18"/>
      <c r="F794" s="18"/>
      <c r="G794" s="18"/>
      <c r="H794" s="20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spans="1:25" x14ac:dyDescent="0.3">
      <c r="A795" s="22"/>
      <c r="B795" s="18"/>
      <c r="C795" s="18"/>
      <c r="D795" s="18"/>
      <c r="E795" s="18"/>
      <c r="F795" s="18"/>
      <c r="G795" s="18"/>
      <c r="H795" s="20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spans="1:25" x14ac:dyDescent="0.3">
      <c r="A796" s="22"/>
      <c r="B796" s="18"/>
      <c r="C796" s="18"/>
      <c r="D796" s="18"/>
      <c r="E796" s="18"/>
      <c r="F796" s="18"/>
      <c r="G796" s="18"/>
      <c r="H796" s="20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spans="1:25" x14ac:dyDescent="0.3">
      <c r="A797" s="22"/>
      <c r="B797" s="18"/>
      <c r="C797" s="18"/>
      <c r="D797" s="18"/>
      <c r="E797" s="18"/>
      <c r="F797" s="18"/>
      <c r="G797" s="18"/>
      <c r="H797" s="20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spans="1:25" x14ac:dyDescent="0.3">
      <c r="A798" s="22"/>
      <c r="B798" s="18"/>
      <c r="C798" s="18"/>
      <c r="D798" s="18"/>
      <c r="E798" s="18"/>
      <c r="F798" s="18"/>
      <c r="G798" s="18"/>
      <c r="H798" s="20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spans="1:25" x14ac:dyDescent="0.3">
      <c r="A799" s="22"/>
      <c r="B799" s="18"/>
      <c r="C799" s="18"/>
      <c r="D799" s="18"/>
      <c r="E799" s="18"/>
      <c r="F799" s="18"/>
      <c r="G799" s="18"/>
      <c r="H799" s="20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spans="1:25" x14ac:dyDescent="0.3">
      <c r="A800" s="22"/>
      <c r="B800" s="18"/>
      <c r="C800" s="18"/>
      <c r="D800" s="18"/>
      <c r="E800" s="18"/>
      <c r="F800" s="18"/>
      <c r="G800" s="18"/>
      <c r="H800" s="20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spans="1:25" x14ac:dyDescent="0.3">
      <c r="A801" s="22"/>
      <c r="B801" s="18"/>
      <c r="C801" s="18"/>
      <c r="D801" s="18"/>
      <c r="E801" s="18"/>
      <c r="F801" s="18"/>
      <c r="G801" s="18"/>
      <c r="H801" s="20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spans="1:25" x14ac:dyDescent="0.3">
      <c r="A802" s="22"/>
      <c r="B802" s="18"/>
      <c r="C802" s="18"/>
      <c r="D802" s="18"/>
      <c r="E802" s="18"/>
      <c r="F802" s="18"/>
      <c r="G802" s="18"/>
      <c r="H802" s="20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spans="1:25" x14ac:dyDescent="0.3">
      <c r="A803" s="22"/>
      <c r="B803" s="18"/>
      <c r="C803" s="18"/>
      <c r="D803" s="18"/>
      <c r="E803" s="18"/>
      <c r="F803" s="18"/>
      <c r="G803" s="18"/>
      <c r="H803" s="20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spans="1:25" x14ac:dyDescent="0.3">
      <c r="A804" s="22"/>
      <c r="B804" s="18"/>
      <c r="C804" s="18"/>
      <c r="D804" s="18"/>
      <c r="E804" s="18"/>
      <c r="F804" s="18"/>
      <c r="G804" s="18"/>
      <c r="H804" s="20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spans="1:25" x14ac:dyDescent="0.3">
      <c r="A805" s="22"/>
      <c r="B805" s="18"/>
      <c r="C805" s="18"/>
      <c r="D805" s="18"/>
      <c r="E805" s="18"/>
      <c r="F805" s="18"/>
      <c r="G805" s="18"/>
      <c r="H805" s="20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spans="1:25" x14ac:dyDescent="0.3">
      <c r="A806" s="22"/>
      <c r="B806" s="18"/>
      <c r="C806" s="18"/>
      <c r="D806" s="18"/>
      <c r="E806" s="18"/>
      <c r="F806" s="18"/>
      <c r="G806" s="18"/>
      <c r="H806" s="20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spans="1:25" x14ac:dyDescent="0.3">
      <c r="A807" s="22"/>
      <c r="B807" s="18"/>
      <c r="C807" s="18"/>
      <c r="D807" s="18"/>
      <c r="E807" s="18"/>
      <c r="F807" s="18"/>
      <c r="G807" s="18"/>
      <c r="H807" s="20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spans="1:25" x14ac:dyDescent="0.3">
      <c r="A808" s="22"/>
      <c r="B808" s="18"/>
      <c r="C808" s="18"/>
      <c r="D808" s="18"/>
      <c r="E808" s="18"/>
      <c r="F808" s="18"/>
      <c r="G808" s="18"/>
      <c r="H808" s="20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spans="1:25" x14ac:dyDescent="0.3">
      <c r="A809" s="22"/>
      <c r="B809" s="18"/>
      <c r="C809" s="18"/>
      <c r="D809" s="18"/>
      <c r="E809" s="18"/>
      <c r="F809" s="18"/>
      <c r="G809" s="18"/>
      <c r="H809" s="20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spans="1:25" x14ac:dyDescent="0.3">
      <c r="A810" s="22"/>
      <c r="B810" s="18"/>
      <c r="C810" s="18"/>
      <c r="D810" s="18"/>
      <c r="E810" s="18"/>
      <c r="F810" s="18"/>
      <c r="G810" s="18"/>
      <c r="H810" s="20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spans="1:25" x14ac:dyDescent="0.3">
      <c r="A811" s="22"/>
      <c r="B811" s="18"/>
      <c r="C811" s="18"/>
      <c r="D811" s="18"/>
      <c r="E811" s="18"/>
      <c r="F811" s="18"/>
      <c r="G811" s="18"/>
      <c r="H811" s="20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spans="1:25" x14ac:dyDescent="0.3">
      <c r="A812" s="22"/>
      <c r="B812" s="18"/>
      <c r="C812" s="18"/>
      <c r="D812" s="18"/>
      <c r="E812" s="18"/>
      <c r="F812" s="18"/>
      <c r="G812" s="18"/>
      <c r="H812" s="20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spans="1:25" x14ac:dyDescent="0.3">
      <c r="A813" s="22"/>
      <c r="B813" s="18"/>
      <c r="C813" s="18"/>
      <c r="D813" s="18"/>
      <c r="E813" s="18"/>
      <c r="F813" s="18"/>
      <c r="G813" s="18"/>
      <c r="H813" s="20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spans="1:25" x14ac:dyDescent="0.3">
      <c r="A814" s="22"/>
      <c r="B814" s="18"/>
      <c r="C814" s="18"/>
      <c r="D814" s="18"/>
      <c r="E814" s="18"/>
      <c r="F814" s="18"/>
      <c r="G814" s="18"/>
      <c r="H814" s="20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spans="1:25" x14ac:dyDescent="0.3">
      <c r="A815" s="22"/>
      <c r="B815" s="18"/>
      <c r="C815" s="18"/>
      <c r="D815" s="18"/>
      <c r="E815" s="18"/>
      <c r="F815" s="18"/>
      <c r="G815" s="18"/>
      <c r="H815" s="20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spans="1:25" x14ac:dyDescent="0.3">
      <c r="A816" s="22"/>
      <c r="B816" s="18"/>
      <c r="C816" s="18"/>
      <c r="D816" s="18"/>
      <c r="E816" s="18"/>
      <c r="F816" s="18"/>
      <c r="G816" s="18"/>
      <c r="H816" s="20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spans="1:25" x14ac:dyDescent="0.3">
      <c r="A817" s="22"/>
      <c r="B817" s="18"/>
      <c r="C817" s="18"/>
      <c r="D817" s="18"/>
      <c r="E817" s="18"/>
      <c r="F817" s="18"/>
      <c r="G817" s="18"/>
      <c r="H817" s="20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spans="1:25" x14ac:dyDescent="0.3">
      <c r="A818" s="22"/>
      <c r="B818" s="18"/>
      <c r="C818" s="18"/>
      <c r="D818" s="18"/>
      <c r="E818" s="18"/>
      <c r="F818" s="18"/>
      <c r="G818" s="18"/>
      <c r="H818" s="20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spans="1:25" x14ac:dyDescent="0.3">
      <c r="A819" s="22"/>
      <c r="B819" s="18"/>
      <c r="C819" s="18"/>
      <c r="D819" s="18"/>
      <c r="E819" s="18"/>
      <c r="F819" s="18"/>
      <c r="G819" s="18"/>
      <c r="H819" s="20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spans="1:25" x14ac:dyDescent="0.3">
      <c r="A820" s="22"/>
      <c r="B820" s="18"/>
      <c r="C820" s="18"/>
      <c r="D820" s="18"/>
      <c r="E820" s="18"/>
      <c r="F820" s="18"/>
      <c r="G820" s="18"/>
      <c r="H820" s="20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spans="1:25" x14ac:dyDescent="0.3">
      <c r="A821" s="22"/>
      <c r="B821" s="18"/>
      <c r="C821" s="18"/>
      <c r="D821" s="18"/>
      <c r="E821" s="18"/>
      <c r="F821" s="18"/>
      <c r="G821" s="18"/>
      <c r="H821" s="20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spans="1:25" x14ac:dyDescent="0.3">
      <c r="A822" s="22"/>
      <c r="B822" s="18"/>
      <c r="C822" s="18"/>
      <c r="D822" s="18"/>
      <c r="E822" s="18"/>
      <c r="F822" s="18"/>
      <c r="G822" s="18"/>
      <c r="H822" s="20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spans="1:25" x14ac:dyDescent="0.3">
      <c r="A823" s="22"/>
      <c r="B823" s="18"/>
      <c r="C823" s="18"/>
      <c r="D823" s="18"/>
      <c r="E823" s="18"/>
      <c r="F823" s="18"/>
      <c r="G823" s="18"/>
      <c r="H823" s="20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spans="1:25" x14ac:dyDescent="0.3">
      <c r="A824" s="22"/>
      <c r="B824" s="18"/>
      <c r="C824" s="18"/>
      <c r="D824" s="18"/>
      <c r="E824" s="18"/>
      <c r="F824" s="18"/>
      <c r="G824" s="18"/>
      <c r="H824" s="20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spans="1:25" x14ac:dyDescent="0.3">
      <c r="A825" s="22"/>
      <c r="B825" s="18"/>
      <c r="C825" s="18"/>
      <c r="D825" s="18"/>
      <c r="E825" s="18"/>
      <c r="F825" s="18"/>
      <c r="G825" s="18"/>
      <c r="H825" s="20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spans="1:25" x14ac:dyDescent="0.3">
      <c r="A826" s="22"/>
      <c r="B826" s="18"/>
      <c r="C826" s="18"/>
      <c r="D826" s="18"/>
      <c r="E826" s="18"/>
      <c r="F826" s="18"/>
      <c r="G826" s="18"/>
      <c r="H826" s="20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spans="1:25" x14ac:dyDescent="0.3">
      <c r="A827" s="22"/>
      <c r="B827" s="18"/>
      <c r="C827" s="18"/>
      <c r="D827" s="18"/>
      <c r="E827" s="18"/>
      <c r="F827" s="18"/>
      <c r="G827" s="18"/>
      <c r="H827" s="20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spans="1:25" x14ac:dyDescent="0.3">
      <c r="A828" s="22"/>
      <c r="B828" s="18"/>
      <c r="C828" s="18"/>
      <c r="D828" s="18"/>
      <c r="E828" s="18"/>
      <c r="F828" s="18"/>
      <c r="G828" s="18"/>
      <c r="H828" s="20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spans="1:25" x14ac:dyDescent="0.3">
      <c r="A829" s="22"/>
      <c r="B829" s="18"/>
      <c r="C829" s="18"/>
      <c r="D829" s="18"/>
      <c r="E829" s="18"/>
      <c r="F829" s="18"/>
      <c r="G829" s="18"/>
      <c r="H829" s="20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spans="1:25" x14ac:dyDescent="0.3">
      <c r="A830" s="22"/>
      <c r="B830" s="18"/>
      <c r="C830" s="18"/>
      <c r="D830" s="18"/>
      <c r="E830" s="18"/>
      <c r="F830" s="18"/>
      <c r="G830" s="18"/>
      <c r="H830" s="20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spans="1:25" x14ac:dyDescent="0.3">
      <c r="A831" s="22"/>
      <c r="B831" s="18"/>
      <c r="C831" s="18"/>
      <c r="D831" s="18"/>
      <c r="E831" s="18"/>
      <c r="F831" s="18"/>
      <c r="G831" s="18"/>
      <c r="H831" s="20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spans="1:25" x14ac:dyDescent="0.3">
      <c r="A832" s="22"/>
      <c r="B832" s="18"/>
      <c r="C832" s="18"/>
      <c r="D832" s="18"/>
      <c r="E832" s="18"/>
      <c r="F832" s="18"/>
      <c r="G832" s="18"/>
      <c r="H832" s="20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spans="1:25" x14ac:dyDescent="0.3">
      <c r="A833" s="22"/>
      <c r="B833" s="18"/>
      <c r="C833" s="18"/>
      <c r="D833" s="18"/>
      <c r="E833" s="18"/>
      <c r="F833" s="18"/>
      <c r="G833" s="18"/>
      <c r="H833" s="20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spans="1:25" x14ac:dyDescent="0.3">
      <c r="A834" s="22"/>
      <c r="B834" s="18"/>
      <c r="C834" s="18"/>
      <c r="D834" s="18"/>
      <c r="E834" s="18"/>
      <c r="F834" s="18"/>
      <c r="G834" s="18"/>
      <c r="H834" s="20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spans="1:25" x14ac:dyDescent="0.3">
      <c r="A835" s="22"/>
      <c r="B835" s="18"/>
      <c r="C835" s="18"/>
      <c r="D835" s="18"/>
      <c r="E835" s="18"/>
      <c r="F835" s="18"/>
      <c r="G835" s="18"/>
      <c r="H835" s="20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spans="1:25" x14ac:dyDescent="0.3">
      <c r="A836" s="22"/>
      <c r="B836" s="18"/>
      <c r="C836" s="18"/>
      <c r="D836" s="18"/>
      <c r="E836" s="18"/>
      <c r="F836" s="18"/>
      <c r="G836" s="18"/>
      <c r="H836" s="20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spans="1:25" x14ac:dyDescent="0.3">
      <c r="A837" s="22"/>
      <c r="B837" s="18"/>
      <c r="C837" s="18"/>
      <c r="D837" s="18"/>
      <c r="E837" s="18"/>
      <c r="F837" s="18"/>
      <c r="G837" s="18"/>
      <c r="H837" s="20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spans="1:25" x14ac:dyDescent="0.3">
      <c r="A838" s="22"/>
      <c r="B838" s="18"/>
      <c r="C838" s="18"/>
      <c r="D838" s="18"/>
      <c r="E838" s="18"/>
      <c r="F838" s="18"/>
      <c r="G838" s="18"/>
      <c r="H838" s="20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spans="1:25" x14ac:dyDescent="0.3">
      <c r="A839" s="22"/>
      <c r="B839" s="18"/>
      <c r="C839" s="18"/>
      <c r="D839" s="18"/>
      <c r="E839" s="18"/>
      <c r="F839" s="18"/>
      <c r="G839" s="18"/>
      <c r="H839" s="20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spans="1:25" x14ac:dyDescent="0.3">
      <c r="A840" s="22"/>
      <c r="B840" s="18"/>
      <c r="C840" s="18"/>
      <c r="D840" s="18"/>
      <c r="E840" s="18"/>
      <c r="F840" s="18"/>
      <c r="G840" s="18"/>
      <c r="H840" s="20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spans="1:25" x14ac:dyDescent="0.3">
      <c r="A841" s="22"/>
      <c r="B841" s="18"/>
      <c r="C841" s="18"/>
      <c r="D841" s="18"/>
      <c r="E841" s="18"/>
      <c r="F841" s="18"/>
      <c r="G841" s="18"/>
      <c r="H841" s="20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spans="1:25" x14ac:dyDescent="0.3">
      <c r="A842" s="22"/>
      <c r="B842" s="18"/>
      <c r="C842" s="18"/>
      <c r="D842" s="18"/>
      <c r="E842" s="18"/>
      <c r="F842" s="18"/>
      <c r="G842" s="18"/>
      <c r="H842" s="20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spans="1:25" x14ac:dyDescent="0.3">
      <c r="A843" s="22"/>
      <c r="B843" s="18"/>
      <c r="C843" s="18"/>
      <c r="D843" s="18"/>
      <c r="E843" s="18"/>
      <c r="F843" s="18"/>
      <c r="G843" s="18"/>
      <c r="H843" s="20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spans="1:25" x14ac:dyDescent="0.3">
      <c r="A844" s="22"/>
      <c r="B844" s="18"/>
      <c r="C844" s="18"/>
      <c r="D844" s="18"/>
      <c r="E844" s="18"/>
      <c r="F844" s="18"/>
      <c r="G844" s="18"/>
      <c r="H844" s="20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spans="1:25" x14ac:dyDescent="0.3">
      <c r="A845" s="22"/>
      <c r="B845" s="18"/>
      <c r="C845" s="18"/>
      <c r="D845" s="18"/>
      <c r="E845" s="18"/>
      <c r="F845" s="18"/>
      <c r="G845" s="18"/>
      <c r="H845" s="20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spans="1:25" x14ac:dyDescent="0.3">
      <c r="A846" s="22"/>
      <c r="B846" s="18"/>
      <c r="C846" s="18"/>
      <c r="D846" s="18"/>
      <c r="E846" s="18"/>
      <c r="F846" s="18"/>
      <c r="G846" s="18"/>
      <c r="H846" s="20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spans="1:25" x14ac:dyDescent="0.3">
      <c r="A847" s="22"/>
      <c r="B847" s="18"/>
      <c r="C847" s="18"/>
      <c r="D847" s="18"/>
      <c r="E847" s="18"/>
      <c r="F847" s="18"/>
      <c r="G847" s="18"/>
      <c r="H847" s="20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spans="1:25" x14ac:dyDescent="0.3">
      <c r="A848" s="22"/>
      <c r="B848" s="18"/>
      <c r="C848" s="18"/>
      <c r="D848" s="18"/>
      <c r="E848" s="18"/>
      <c r="F848" s="18"/>
      <c r="G848" s="18"/>
      <c r="H848" s="20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spans="1:25" x14ac:dyDescent="0.3">
      <c r="A849" s="22"/>
      <c r="B849" s="18"/>
      <c r="C849" s="18"/>
      <c r="D849" s="18"/>
      <c r="E849" s="18"/>
      <c r="F849" s="18"/>
      <c r="G849" s="18"/>
      <c r="H849" s="20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spans="1:25" x14ac:dyDescent="0.3">
      <c r="A850" s="22"/>
      <c r="B850" s="18"/>
      <c r="C850" s="18"/>
      <c r="D850" s="18"/>
      <c r="E850" s="18"/>
      <c r="F850" s="18"/>
      <c r="G850" s="18"/>
      <c r="H850" s="20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spans="1:25" x14ac:dyDescent="0.3">
      <c r="A851" s="22"/>
      <c r="B851" s="18"/>
      <c r="C851" s="18"/>
      <c r="D851" s="18"/>
      <c r="E851" s="18"/>
      <c r="F851" s="18"/>
      <c r="G851" s="18"/>
      <c r="H851" s="20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spans="1:25" x14ac:dyDescent="0.3">
      <c r="A852" s="22"/>
      <c r="B852" s="18"/>
      <c r="C852" s="18"/>
      <c r="D852" s="18"/>
      <c r="E852" s="18"/>
      <c r="F852" s="18"/>
      <c r="G852" s="18"/>
      <c r="H852" s="20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spans="1:25" x14ac:dyDescent="0.3">
      <c r="A853" s="22"/>
      <c r="B853" s="18"/>
      <c r="C853" s="18"/>
      <c r="D853" s="18"/>
      <c r="E853" s="18"/>
      <c r="F853" s="18"/>
      <c r="G853" s="18"/>
      <c r="H853" s="20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spans="1:25" x14ac:dyDescent="0.3">
      <c r="A854" s="22"/>
      <c r="B854" s="18"/>
      <c r="C854" s="18"/>
      <c r="D854" s="18"/>
      <c r="E854" s="18"/>
      <c r="F854" s="18"/>
      <c r="G854" s="18"/>
      <c r="H854" s="20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spans="1:25" x14ac:dyDescent="0.3">
      <c r="A855" s="22"/>
      <c r="B855" s="18"/>
      <c r="C855" s="18"/>
      <c r="D855" s="18"/>
      <c r="E855" s="18"/>
      <c r="F855" s="18"/>
      <c r="G855" s="18"/>
      <c r="H855" s="20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spans="1:25" x14ac:dyDescent="0.3">
      <c r="A856" s="22"/>
      <c r="B856" s="18"/>
      <c r="C856" s="18"/>
      <c r="D856" s="18"/>
      <c r="E856" s="18"/>
      <c r="F856" s="18"/>
      <c r="G856" s="18"/>
      <c r="H856" s="20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spans="1:25" x14ac:dyDescent="0.3">
      <c r="A857" s="22"/>
      <c r="B857" s="18"/>
      <c r="C857" s="18"/>
      <c r="D857" s="18"/>
      <c r="E857" s="18"/>
      <c r="F857" s="18"/>
      <c r="G857" s="18"/>
      <c r="H857" s="20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spans="1:25" x14ac:dyDescent="0.3">
      <c r="A858" s="22"/>
      <c r="B858" s="18"/>
      <c r="C858" s="18"/>
      <c r="D858" s="18"/>
      <c r="E858" s="18"/>
      <c r="F858" s="18"/>
      <c r="G858" s="18"/>
      <c r="H858" s="20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spans="1:25" x14ac:dyDescent="0.3">
      <c r="A859" s="22"/>
      <c r="B859" s="18"/>
      <c r="C859" s="18"/>
      <c r="D859" s="18"/>
      <c r="E859" s="18"/>
      <c r="F859" s="18"/>
      <c r="G859" s="18"/>
      <c r="H859" s="20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spans="1:25" x14ac:dyDescent="0.3">
      <c r="A860" s="22"/>
      <c r="B860" s="18"/>
      <c r="C860" s="18"/>
      <c r="D860" s="18"/>
      <c r="E860" s="18"/>
      <c r="F860" s="18"/>
      <c r="G860" s="18"/>
      <c r="H860" s="20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spans="1:25" x14ac:dyDescent="0.3">
      <c r="A861" s="22"/>
      <c r="B861" s="18"/>
      <c r="C861" s="18"/>
      <c r="D861" s="18"/>
      <c r="E861" s="18"/>
      <c r="F861" s="18"/>
      <c r="G861" s="18"/>
      <c r="H861" s="20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spans="1:25" x14ac:dyDescent="0.3">
      <c r="A862" s="22"/>
      <c r="B862" s="18"/>
      <c r="C862" s="18"/>
      <c r="D862" s="18"/>
      <c r="E862" s="18"/>
      <c r="F862" s="18"/>
      <c r="G862" s="18"/>
      <c r="H862" s="20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spans="1:25" x14ac:dyDescent="0.3">
      <c r="A863" s="22"/>
      <c r="B863" s="18"/>
      <c r="C863" s="18"/>
      <c r="D863" s="18"/>
      <c r="E863" s="18"/>
      <c r="F863" s="18"/>
      <c r="G863" s="18"/>
      <c r="H863" s="20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spans="1:25" x14ac:dyDescent="0.3">
      <c r="A864" s="22"/>
      <c r="B864" s="18"/>
      <c r="C864" s="18"/>
      <c r="D864" s="18"/>
      <c r="E864" s="18"/>
      <c r="F864" s="18"/>
      <c r="G864" s="18"/>
      <c r="H864" s="20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spans="1:25" x14ac:dyDescent="0.3">
      <c r="A865" s="22"/>
      <c r="B865" s="18"/>
      <c r="C865" s="18"/>
      <c r="D865" s="18"/>
      <c r="E865" s="18"/>
      <c r="F865" s="18"/>
      <c r="G865" s="18"/>
      <c r="H865" s="20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spans="1:25" x14ac:dyDescent="0.3">
      <c r="A866" s="22"/>
      <c r="B866" s="18"/>
      <c r="C866" s="18"/>
      <c r="D866" s="18"/>
      <c r="E866" s="18"/>
      <c r="F866" s="18"/>
      <c r="G866" s="18"/>
      <c r="H866" s="20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spans="1:25" x14ac:dyDescent="0.3">
      <c r="A867" s="22"/>
      <c r="B867" s="18"/>
      <c r="C867" s="18"/>
      <c r="D867" s="18"/>
      <c r="E867" s="18"/>
      <c r="F867" s="18"/>
      <c r="G867" s="18"/>
      <c r="H867" s="20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spans="1:25" x14ac:dyDescent="0.3">
      <c r="A868" s="22"/>
      <c r="B868" s="18"/>
      <c r="C868" s="18"/>
      <c r="D868" s="18"/>
      <c r="E868" s="18"/>
      <c r="F868" s="18"/>
      <c r="G868" s="18"/>
      <c r="H868" s="20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spans="1:25" x14ac:dyDescent="0.3">
      <c r="A869" s="22"/>
      <c r="B869" s="18"/>
      <c r="C869" s="18"/>
      <c r="D869" s="18"/>
      <c r="E869" s="18"/>
      <c r="F869" s="18"/>
      <c r="G869" s="18"/>
      <c r="H869" s="20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spans="1:25" x14ac:dyDescent="0.3">
      <c r="A870" s="22"/>
      <c r="B870" s="18"/>
      <c r="C870" s="18"/>
      <c r="D870" s="18"/>
      <c r="E870" s="18"/>
      <c r="F870" s="18"/>
      <c r="G870" s="18"/>
      <c r="H870" s="20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spans="1:25" x14ac:dyDescent="0.3">
      <c r="A871" s="22"/>
      <c r="B871" s="18"/>
      <c r="C871" s="18"/>
      <c r="D871" s="18"/>
      <c r="E871" s="18"/>
      <c r="F871" s="18"/>
      <c r="G871" s="18"/>
      <c r="H871" s="20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spans="1:25" x14ac:dyDescent="0.3">
      <c r="A872" s="22"/>
      <c r="B872" s="18"/>
      <c r="C872" s="18"/>
      <c r="D872" s="18"/>
      <c r="E872" s="18"/>
      <c r="F872" s="18"/>
      <c r="G872" s="18"/>
      <c r="H872" s="20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spans="1:25" x14ac:dyDescent="0.3">
      <c r="A873" s="22"/>
      <c r="B873" s="18"/>
      <c r="C873" s="18"/>
      <c r="D873" s="18"/>
      <c r="E873" s="18"/>
      <c r="F873" s="18"/>
      <c r="G873" s="18"/>
      <c r="H873" s="20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spans="1:25" x14ac:dyDescent="0.3">
      <c r="A874" s="22"/>
      <c r="B874" s="18"/>
      <c r="C874" s="18"/>
      <c r="D874" s="18"/>
      <c r="E874" s="18"/>
      <c r="F874" s="18"/>
      <c r="G874" s="18"/>
      <c r="H874" s="20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spans="1:25" x14ac:dyDescent="0.3">
      <c r="A875" s="22"/>
      <c r="B875" s="18"/>
      <c r="C875" s="18"/>
      <c r="D875" s="18"/>
      <c r="E875" s="18"/>
      <c r="F875" s="18"/>
      <c r="G875" s="18"/>
      <c r="H875" s="20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spans="1:25" x14ac:dyDescent="0.3">
      <c r="A876" s="22"/>
      <c r="B876" s="18"/>
      <c r="C876" s="18"/>
      <c r="D876" s="18"/>
      <c r="E876" s="18"/>
      <c r="F876" s="18"/>
      <c r="G876" s="18"/>
      <c r="H876" s="20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spans="1:25" x14ac:dyDescent="0.3">
      <c r="A877" s="22"/>
      <c r="B877" s="18"/>
      <c r="C877" s="18"/>
      <c r="D877" s="18"/>
      <c r="E877" s="18"/>
      <c r="F877" s="18"/>
      <c r="G877" s="18"/>
      <c r="H877" s="20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spans="1:25" x14ac:dyDescent="0.3">
      <c r="A878" s="22"/>
      <c r="B878" s="18"/>
      <c r="C878" s="18"/>
      <c r="D878" s="18"/>
      <c r="E878" s="18"/>
      <c r="F878" s="18"/>
      <c r="G878" s="18"/>
      <c r="H878" s="20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spans="1:25" x14ac:dyDescent="0.3">
      <c r="A879" s="22"/>
      <c r="B879" s="18"/>
      <c r="C879" s="18"/>
      <c r="D879" s="18"/>
      <c r="E879" s="18"/>
      <c r="F879" s="18"/>
      <c r="G879" s="18"/>
      <c r="H879" s="20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spans="1:25" x14ac:dyDescent="0.3">
      <c r="A880" s="22"/>
      <c r="B880" s="18"/>
      <c r="C880" s="18"/>
      <c r="D880" s="18"/>
      <c r="E880" s="18"/>
      <c r="F880" s="18"/>
      <c r="G880" s="18"/>
      <c r="H880" s="20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spans="1:25" x14ac:dyDescent="0.3">
      <c r="A881" s="22"/>
      <c r="B881" s="18"/>
      <c r="C881" s="18"/>
      <c r="D881" s="18"/>
      <c r="E881" s="18"/>
      <c r="F881" s="18"/>
      <c r="G881" s="18"/>
      <c r="H881" s="20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spans="1:25" x14ac:dyDescent="0.3">
      <c r="A882" s="22"/>
      <c r="B882" s="18"/>
      <c r="C882" s="18"/>
      <c r="D882" s="18"/>
      <c r="E882" s="18"/>
      <c r="F882" s="18"/>
      <c r="G882" s="18"/>
      <c r="H882" s="20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spans="1:25" x14ac:dyDescent="0.3">
      <c r="A883" s="22"/>
      <c r="B883" s="18"/>
      <c r="C883" s="18"/>
      <c r="D883" s="18"/>
      <c r="E883" s="18"/>
      <c r="F883" s="18"/>
      <c r="G883" s="18"/>
      <c r="H883" s="20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spans="1:25" x14ac:dyDescent="0.3">
      <c r="A884" s="22"/>
      <c r="B884" s="18"/>
      <c r="C884" s="18"/>
      <c r="D884" s="18"/>
      <c r="E884" s="18"/>
      <c r="F884" s="18"/>
      <c r="G884" s="18"/>
      <c r="H884" s="20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spans="1:25" x14ac:dyDescent="0.3">
      <c r="A885" s="22"/>
      <c r="B885" s="18"/>
      <c r="C885" s="18"/>
      <c r="D885" s="18"/>
      <c r="E885" s="18"/>
      <c r="F885" s="18"/>
      <c r="G885" s="18"/>
      <c r="H885" s="20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spans="1:25" x14ac:dyDescent="0.3">
      <c r="A886" s="22"/>
      <c r="B886" s="18"/>
      <c r="C886" s="18"/>
      <c r="D886" s="18"/>
      <c r="E886" s="18"/>
      <c r="F886" s="18"/>
      <c r="G886" s="18"/>
      <c r="H886" s="20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spans="1:25" x14ac:dyDescent="0.3">
      <c r="A887" s="22"/>
      <c r="B887" s="18"/>
      <c r="C887" s="18"/>
      <c r="D887" s="18"/>
      <c r="E887" s="18"/>
      <c r="F887" s="18"/>
      <c r="G887" s="18"/>
      <c r="H887" s="20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spans="1:25" x14ac:dyDescent="0.3">
      <c r="A888" s="22"/>
      <c r="B888" s="18"/>
      <c r="C888" s="18"/>
      <c r="D888" s="18"/>
      <c r="E888" s="18"/>
      <c r="F888" s="18"/>
      <c r="G888" s="18"/>
      <c r="H888" s="20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spans="1:25" x14ac:dyDescent="0.3">
      <c r="A889" s="22"/>
      <c r="B889" s="18"/>
      <c r="C889" s="18"/>
      <c r="D889" s="18"/>
      <c r="E889" s="18"/>
      <c r="F889" s="18"/>
      <c r="G889" s="18"/>
      <c r="H889" s="20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spans="1:25" x14ac:dyDescent="0.3">
      <c r="A890" s="22"/>
      <c r="B890" s="18"/>
      <c r="C890" s="18"/>
      <c r="D890" s="18"/>
      <c r="E890" s="18"/>
      <c r="F890" s="18"/>
      <c r="G890" s="18"/>
      <c r="H890" s="20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spans="1:25" x14ac:dyDescent="0.3">
      <c r="A891" s="22"/>
      <c r="B891" s="18"/>
      <c r="C891" s="18"/>
      <c r="D891" s="18"/>
      <c r="E891" s="18"/>
      <c r="F891" s="18"/>
      <c r="G891" s="18"/>
      <c r="H891" s="20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spans="1:25" x14ac:dyDescent="0.3">
      <c r="A892" s="22"/>
      <c r="B892" s="18"/>
      <c r="C892" s="18"/>
      <c r="D892" s="18"/>
      <c r="E892" s="18"/>
      <c r="F892" s="18"/>
      <c r="G892" s="18"/>
      <c r="H892" s="20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spans="1:25" x14ac:dyDescent="0.3">
      <c r="A893" s="22"/>
      <c r="B893" s="18"/>
      <c r="C893" s="18"/>
      <c r="D893" s="18"/>
      <c r="E893" s="18"/>
      <c r="F893" s="18"/>
      <c r="G893" s="18"/>
      <c r="H893" s="20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spans="1:25" x14ac:dyDescent="0.3">
      <c r="A894" s="22"/>
      <c r="B894" s="18"/>
      <c r="C894" s="18"/>
      <c r="D894" s="18"/>
      <c r="E894" s="18"/>
      <c r="F894" s="18"/>
      <c r="G894" s="18"/>
      <c r="H894" s="20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spans="1:25" x14ac:dyDescent="0.3">
      <c r="A895" s="22"/>
      <c r="B895" s="18"/>
      <c r="C895" s="18"/>
      <c r="D895" s="18"/>
      <c r="E895" s="18"/>
      <c r="F895" s="18"/>
      <c r="G895" s="18"/>
      <c r="H895" s="20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spans="1:25" x14ac:dyDescent="0.3">
      <c r="A896" s="22"/>
      <c r="B896" s="18"/>
      <c r="C896" s="18"/>
      <c r="D896" s="18"/>
      <c r="E896" s="18"/>
      <c r="F896" s="18"/>
      <c r="G896" s="18"/>
      <c r="H896" s="20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spans="1:25" x14ac:dyDescent="0.3">
      <c r="A897" s="22"/>
      <c r="B897" s="18"/>
      <c r="C897" s="18"/>
      <c r="D897" s="18"/>
      <c r="E897" s="18"/>
      <c r="F897" s="18"/>
      <c r="G897" s="18"/>
      <c r="H897" s="20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spans="1:25" x14ac:dyDescent="0.3">
      <c r="A898" s="22"/>
      <c r="B898" s="18"/>
      <c r="C898" s="18"/>
      <c r="D898" s="18"/>
      <c r="E898" s="18"/>
      <c r="F898" s="18"/>
      <c r="G898" s="18"/>
      <c r="H898" s="20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spans="1:25" x14ac:dyDescent="0.3">
      <c r="A899" s="22"/>
      <c r="B899" s="18"/>
      <c r="C899" s="18"/>
      <c r="D899" s="18"/>
      <c r="E899" s="18"/>
      <c r="F899" s="18"/>
      <c r="G899" s="18"/>
      <c r="H899" s="20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spans="1:25" x14ac:dyDescent="0.3">
      <c r="A900" s="22"/>
      <c r="B900" s="18"/>
      <c r="C900" s="18"/>
      <c r="D900" s="18"/>
      <c r="E900" s="18"/>
      <c r="F900" s="18"/>
      <c r="G900" s="18"/>
      <c r="H900" s="20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spans="1:25" x14ac:dyDescent="0.3">
      <c r="A901" s="22"/>
      <c r="B901" s="18"/>
      <c r="C901" s="18"/>
      <c r="D901" s="18"/>
      <c r="E901" s="18"/>
      <c r="F901" s="18"/>
      <c r="G901" s="18"/>
      <c r="H901" s="20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spans="1:25" x14ac:dyDescent="0.3">
      <c r="A902" s="22"/>
      <c r="B902" s="18"/>
      <c r="C902" s="18"/>
      <c r="D902" s="18"/>
      <c r="E902" s="18"/>
      <c r="F902" s="18"/>
      <c r="G902" s="18"/>
      <c r="H902" s="20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spans="1:25" x14ac:dyDescent="0.3">
      <c r="A903" s="22"/>
      <c r="B903" s="18"/>
      <c r="C903" s="18"/>
      <c r="D903" s="18"/>
      <c r="E903" s="18"/>
      <c r="F903" s="18"/>
      <c r="G903" s="18"/>
      <c r="H903" s="20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spans="1:25" x14ac:dyDescent="0.3">
      <c r="A904" s="22"/>
      <c r="B904" s="18"/>
      <c r="C904" s="18"/>
      <c r="D904" s="18"/>
      <c r="E904" s="18"/>
      <c r="F904" s="18"/>
      <c r="G904" s="18"/>
      <c r="H904" s="20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spans="1:25" x14ac:dyDescent="0.3">
      <c r="A905" s="22"/>
      <c r="B905" s="18"/>
      <c r="C905" s="18"/>
      <c r="D905" s="18"/>
      <c r="E905" s="18"/>
      <c r="F905" s="18"/>
      <c r="G905" s="18"/>
      <c r="H905" s="20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spans="1:25" x14ac:dyDescent="0.3">
      <c r="A906" s="22"/>
      <c r="B906" s="18"/>
      <c r="C906" s="18"/>
      <c r="D906" s="18"/>
      <c r="E906" s="18"/>
      <c r="F906" s="18"/>
      <c r="G906" s="18"/>
      <c r="H906" s="20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spans="1:25" x14ac:dyDescent="0.3">
      <c r="A907" s="22"/>
      <c r="B907" s="18"/>
      <c r="C907" s="18"/>
      <c r="D907" s="18"/>
      <c r="E907" s="18"/>
      <c r="F907" s="18"/>
      <c r="G907" s="18"/>
      <c r="H907" s="20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spans="1:25" x14ac:dyDescent="0.3">
      <c r="A908" s="22"/>
      <c r="B908" s="18"/>
      <c r="C908" s="18"/>
      <c r="D908" s="18"/>
      <c r="E908" s="18"/>
      <c r="F908" s="18"/>
      <c r="G908" s="18"/>
      <c r="H908" s="20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spans="1:25" x14ac:dyDescent="0.3">
      <c r="A909" s="22"/>
      <c r="B909" s="18"/>
      <c r="C909" s="18"/>
      <c r="D909" s="18"/>
      <c r="E909" s="18"/>
      <c r="F909" s="18"/>
      <c r="G909" s="18"/>
      <c r="H909" s="20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spans="1:25" x14ac:dyDescent="0.3">
      <c r="A910" s="22"/>
      <c r="B910" s="18"/>
      <c r="C910" s="18"/>
      <c r="D910" s="18"/>
      <c r="E910" s="18"/>
      <c r="F910" s="18"/>
      <c r="G910" s="18"/>
      <c r="H910" s="20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spans="1:25" x14ac:dyDescent="0.3">
      <c r="A911" s="22"/>
      <c r="B911" s="18"/>
      <c r="C911" s="18"/>
      <c r="D911" s="18"/>
      <c r="E911" s="18"/>
      <c r="F911" s="18"/>
      <c r="G911" s="18"/>
      <c r="H911" s="20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spans="1:25" x14ac:dyDescent="0.3">
      <c r="A912" s="22"/>
      <c r="B912" s="18"/>
      <c r="C912" s="18"/>
      <c r="D912" s="18"/>
      <c r="E912" s="18"/>
      <c r="F912" s="18"/>
      <c r="G912" s="18"/>
      <c r="H912" s="20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spans="1:25" x14ac:dyDescent="0.3">
      <c r="A913" s="22"/>
      <c r="B913" s="18"/>
      <c r="C913" s="18"/>
      <c r="D913" s="18"/>
      <c r="E913" s="18"/>
      <c r="F913" s="18"/>
      <c r="G913" s="18"/>
      <c r="H913" s="20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spans="1:25" x14ac:dyDescent="0.3">
      <c r="A914" s="22"/>
      <c r="B914" s="18"/>
      <c r="C914" s="18"/>
      <c r="D914" s="18"/>
      <c r="E914" s="18"/>
      <c r="F914" s="18"/>
      <c r="G914" s="18"/>
      <c r="H914" s="20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spans="1:25" x14ac:dyDescent="0.3">
      <c r="A915" s="22"/>
      <c r="B915" s="18"/>
      <c r="C915" s="18"/>
      <c r="D915" s="18"/>
      <c r="E915" s="18"/>
      <c r="F915" s="18"/>
      <c r="G915" s="18"/>
      <c r="H915" s="20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spans="1:25" x14ac:dyDescent="0.3">
      <c r="A916" s="22"/>
      <c r="B916" s="18"/>
      <c r="C916" s="18"/>
      <c r="D916" s="18"/>
      <c r="E916" s="18"/>
      <c r="F916" s="18"/>
      <c r="G916" s="18"/>
      <c r="H916" s="20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spans="1:25" x14ac:dyDescent="0.3">
      <c r="A917" s="22"/>
      <c r="B917" s="18"/>
      <c r="C917" s="18"/>
      <c r="D917" s="18"/>
      <c r="E917" s="18"/>
      <c r="F917" s="18"/>
      <c r="G917" s="18"/>
      <c r="H917" s="20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spans="1:25" x14ac:dyDescent="0.3">
      <c r="A918" s="22"/>
      <c r="B918" s="18"/>
      <c r="C918" s="18"/>
      <c r="D918" s="18"/>
      <c r="E918" s="18"/>
      <c r="F918" s="18"/>
      <c r="G918" s="18"/>
      <c r="H918" s="20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spans="1:25" x14ac:dyDescent="0.3">
      <c r="A919" s="22"/>
      <c r="B919" s="18"/>
      <c r="C919" s="18"/>
      <c r="D919" s="18"/>
      <c r="E919" s="18"/>
      <c r="F919" s="18"/>
      <c r="G919" s="18"/>
      <c r="H919" s="20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spans="1:25" x14ac:dyDescent="0.3">
      <c r="A920" s="22"/>
      <c r="B920" s="18"/>
      <c r="C920" s="18"/>
      <c r="D920" s="18"/>
      <c r="E920" s="18"/>
      <c r="F920" s="18"/>
      <c r="G920" s="18"/>
      <c r="H920" s="20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spans="1:25" x14ac:dyDescent="0.3">
      <c r="A921" s="22"/>
      <c r="B921" s="18"/>
      <c r="C921" s="18"/>
      <c r="D921" s="18"/>
      <c r="E921" s="18"/>
      <c r="F921" s="18"/>
      <c r="G921" s="18"/>
      <c r="H921" s="20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spans="1:25" x14ac:dyDescent="0.3">
      <c r="A922" s="22"/>
      <c r="B922" s="18"/>
      <c r="C922" s="18"/>
      <c r="D922" s="18"/>
      <c r="E922" s="18"/>
      <c r="F922" s="18"/>
      <c r="G922" s="18"/>
      <c r="H922" s="20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spans="1:25" x14ac:dyDescent="0.3">
      <c r="A923" s="22"/>
      <c r="B923" s="18"/>
      <c r="C923" s="18"/>
      <c r="D923" s="18"/>
      <c r="E923" s="18"/>
      <c r="F923" s="18"/>
      <c r="G923" s="18"/>
      <c r="H923" s="20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spans="1:25" x14ac:dyDescent="0.3">
      <c r="A924" s="22"/>
      <c r="B924" s="18"/>
      <c r="C924" s="18"/>
      <c r="D924" s="18"/>
      <c r="E924" s="18"/>
      <c r="F924" s="18"/>
      <c r="G924" s="18"/>
      <c r="H924" s="20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spans="1:25" x14ac:dyDescent="0.3">
      <c r="A925" s="22"/>
      <c r="B925" s="18"/>
      <c r="C925" s="18"/>
      <c r="D925" s="18"/>
      <c r="E925" s="18"/>
      <c r="F925" s="18"/>
      <c r="G925" s="18"/>
      <c r="H925" s="20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spans="1:25" x14ac:dyDescent="0.3">
      <c r="A926" s="22"/>
      <c r="B926" s="18"/>
      <c r="C926" s="18"/>
      <c r="D926" s="18"/>
      <c r="E926" s="18"/>
      <c r="F926" s="18"/>
      <c r="G926" s="18"/>
      <c r="H926" s="20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spans="1:25" x14ac:dyDescent="0.3">
      <c r="A927" s="22"/>
      <c r="B927" s="18"/>
      <c r="C927" s="18"/>
      <c r="D927" s="18"/>
      <c r="E927" s="18"/>
      <c r="F927" s="18"/>
      <c r="G927" s="18"/>
      <c r="H927" s="20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spans="1:25" x14ac:dyDescent="0.3">
      <c r="A928" s="22"/>
      <c r="B928" s="18"/>
      <c r="C928" s="18"/>
      <c r="D928" s="18"/>
      <c r="E928" s="18"/>
      <c r="F928" s="18"/>
      <c r="G928" s="18"/>
      <c r="H928" s="20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spans="1:25" x14ac:dyDescent="0.3">
      <c r="A929" s="22"/>
      <c r="B929" s="18"/>
      <c r="C929" s="18"/>
      <c r="D929" s="18"/>
      <c r="E929" s="18"/>
      <c r="F929" s="18"/>
      <c r="G929" s="18"/>
      <c r="H929" s="20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spans="1:25" x14ac:dyDescent="0.3">
      <c r="A930" s="22"/>
      <c r="B930" s="18"/>
      <c r="C930" s="18"/>
      <c r="D930" s="18"/>
      <c r="E930" s="18"/>
      <c r="F930" s="18"/>
      <c r="G930" s="18"/>
      <c r="H930" s="20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spans="1:25" x14ac:dyDescent="0.3">
      <c r="A931" s="22"/>
      <c r="B931" s="18"/>
      <c r="C931" s="18"/>
      <c r="D931" s="18"/>
      <c r="E931" s="18"/>
      <c r="F931" s="18"/>
      <c r="G931" s="18"/>
      <c r="H931" s="20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spans="1:25" x14ac:dyDescent="0.3">
      <c r="A932" s="22"/>
      <c r="B932" s="18"/>
      <c r="C932" s="18"/>
      <c r="D932" s="18"/>
      <c r="E932" s="18"/>
      <c r="F932" s="18"/>
      <c r="G932" s="18"/>
      <c r="H932" s="20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spans="1:25" x14ac:dyDescent="0.3">
      <c r="A933" s="22"/>
      <c r="B933" s="18"/>
      <c r="C933" s="18"/>
      <c r="D933" s="18"/>
      <c r="E933" s="18"/>
      <c r="F933" s="18"/>
      <c r="G933" s="18"/>
      <c r="H933" s="20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spans="1:25" x14ac:dyDescent="0.3">
      <c r="A934" s="22"/>
      <c r="B934" s="18"/>
      <c r="C934" s="18"/>
      <c r="D934" s="18"/>
      <c r="E934" s="18"/>
      <c r="F934" s="18"/>
      <c r="G934" s="18"/>
      <c r="H934" s="20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spans="1:25" x14ac:dyDescent="0.3">
      <c r="A935" s="22"/>
      <c r="B935" s="18"/>
      <c r="C935" s="18"/>
      <c r="D935" s="18"/>
      <c r="E935" s="18"/>
      <c r="F935" s="18"/>
      <c r="G935" s="18"/>
      <c r="H935" s="20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spans="1:25" x14ac:dyDescent="0.3">
      <c r="A936" s="22"/>
      <c r="B936" s="18"/>
      <c r="C936" s="18"/>
      <c r="D936" s="18"/>
      <c r="E936" s="18"/>
      <c r="F936" s="18"/>
      <c r="G936" s="18"/>
      <c r="H936" s="20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spans="1:25" x14ac:dyDescent="0.3">
      <c r="A937" s="22"/>
      <c r="B937" s="18"/>
      <c r="C937" s="18"/>
      <c r="D937" s="18"/>
      <c r="E937" s="18"/>
      <c r="F937" s="18"/>
      <c r="G937" s="18"/>
      <c r="H937" s="20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spans="1:25" x14ac:dyDescent="0.3">
      <c r="A938" s="22"/>
      <c r="B938" s="18"/>
      <c r="C938" s="18"/>
      <c r="D938" s="18"/>
      <c r="E938" s="18"/>
      <c r="F938" s="18"/>
      <c r="G938" s="18"/>
      <c r="H938" s="20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spans="1:25" x14ac:dyDescent="0.3">
      <c r="A939" s="22"/>
      <c r="B939" s="18"/>
      <c r="C939" s="18"/>
      <c r="D939" s="18"/>
      <c r="E939" s="18"/>
      <c r="F939" s="18"/>
      <c r="G939" s="18"/>
      <c r="H939" s="20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spans="1:25" x14ac:dyDescent="0.3">
      <c r="A940" s="22"/>
      <c r="B940" s="18"/>
      <c r="C940" s="18"/>
      <c r="D940" s="18"/>
      <c r="E940" s="18"/>
      <c r="F940" s="18"/>
      <c r="G940" s="18"/>
      <c r="H940" s="20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spans="1:25" x14ac:dyDescent="0.3">
      <c r="A941" s="22"/>
      <c r="B941" s="18"/>
      <c r="C941" s="18"/>
      <c r="D941" s="18"/>
      <c r="E941" s="18"/>
      <c r="F941" s="18"/>
      <c r="G941" s="18"/>
      <c r="H941" s="20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spans="1:25" x14ac:dyDescent="0.3">
      <c r="A942" s="22"/>
      <c r="B942" s="18"/>
      <c r="C942" s="18"/>
      <c r="D942" s="18"/>
      <c r="E942" s="18"/>
      <c r="F942" s="18"/>
      <c r="G942" s="18"/>
      <c r="H942" s="20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spans="1:25" x14ac:dyDescent="0.3">
      <c r="A943" s="22"/>
      <c r="B943" s="18"/>
      <c r="C943" s="18"/>
      <c r="D943" s="18"/>
      <c r="E943" s="18"/>
      <c r="F943" s="18"/>
      <c r="G943" s="18"/>
      <c r="H943" s="20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spans="1:25" x14ac:dyDescent="0.3">
      <c r="A944" s="22"/>
      <c r="B944" s="18"/>
      <c r="C944" s="18"/>
      <c r="D944" s="18"/>
      <c r="E944" s="18"/>
      <c r="F944" s="18"/>
      <c r="G944" s="18"/>
      <c r="H944" s="20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spans="1:25" x14ac:dyDescent="0.3">
      <c r="A945" s="22"/>
      <c r="B945" s="18"/>
      <c r="C945" s="18"/>
      <c r="D945" s="18"/>
      <c r="E945" s="18"/>
      <c r="F945" s="18"/>
      <c r="G945" s="18"/>
      <c r="H945" s="20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spans="1:25" x14ac:dyDescent="0.3">
      <c r="A946" s="22"/>
      <c r="B946" s="18"/>
      <c r="C946" s="18"/>
      <c r="D946" s="18"/>
      <c r="E946" s="18"/>
      <c r="F946" s="18"/>
      <c r="G946" s="18"/>
      <c r="H946" s="20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spans="1:25" x14ac:dyDescent="0.3">
      <c r="A947" s="22"/>
      <c r="B947" s="18"/>
      <c r="C947" s="18"/>
      <c r="D947" s="18"/>
      <c r="E947" s="18"/>
      <c r="F947" s="18"/>
      <c r="G947" s="18"/>
      <c r="H947" s="20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spans="1:25" x14ac:dyDescent="0.3">
      <c r="A948" s="22"/>
      <c r="B948" s="18"/>
      <c r="C948" s="18"/>
      <c r="D948" s="18"/>
      <c r="E948" s="18"/>
      <c r="F948" s="18"/>
      <c r="G948" s="18"/>
      <c r="H948" s="20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spans="1:25" x14ac:dyDescent="0.3">
      <c r="A949" s="22"/>
      <c r="B949" s="18"/>
      <c r="C949" s="18"/>
      <c r="D949" s="18"/>
      <c r="E949" s="18"/>
      <c r="F949" s="18"/>
      <c r="G949" s="18"/>
      <c r="H949" s="20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spans="1:25" x14ac:dyDescent="0.3">
      <c r="A950" s="22"/>
      <c r="B950" s="18"/>
      <c r="C950" s="18"/>
      <c r="D950" s="18"/>
      <c r="E950" s="18"/>
      <c r="F950" s="18"/>
      <c r="G950" s="18"/>
      <c r="H950" s="20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spans="1:25" x14ac:dyDescent="0.3">
      <c r="A951" s="22"/>
      <c r="B951" s="18"/>
      <c r="C951" s="18"/>
      <c r="D951" s="18"/>
      <c r="E951" s="18"/>
      <c r="F951" s="18"/>
      <c r="G951" s="18"/>
      <c r="H951" s="20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spans="1:25" x14ac:dyDescent="0.3">
      <c r="A952" s="22"/>
      <c r="B952" s="18"/>
      <c r="C952" s="18"/>
      <c r="D952" s="18"/>
      <c r="E952" s="18"/>
      <c r="F952" s="18"/>
      <c r="G952" s="18"/>
      <c r="H952" s="20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spans="1:25" x14ac:dyDescent="0.3">
      <c r="A953" s="22"/>
      <c r="B953" s="18"/>
      <c r="C953" s="18"/>
      <c r="D953" s="18"/>
      <c r="E953" s="18"/>
      <c r="F953" s="18"/>
      <c r="G953" s="18"/>
      <c r="H953" s="20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spans="1:25" x14ac:dyDescent="0.3">
      <c r="A954" s="22"/>
      <c r="B954" s="18"/>
      <c r="C954" s="18"/>
      <c r="D954" s="18"/>
      <c r="E954" s="18"/>
      <c r="F954" s="18"/>
      <c r="G954" s="18"/>
      <c r="H954" s="20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spans="1:25" x14ac:dyDescent="0.3">
      <c r="A955" s="22"/>
      <c r="B955" s="18"/>
      <c r="C955" s="18"/>
      <c r="D955" s="18"/>
      <c r="E955" s="18"/>
      <c r="F955" s="18"/>
      <c r="G955" s="18"/>
      <c r="H955" s="20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spans="1:25" x14ac:dyDescent="0.3">
      <c r="A956" s="22"/>
      <c r="B956" s="18"/>
      <c r="C956" s="18"/>
      <c r="D956" s="18"/>
      <c r="E956" s="18"/>
      <c r="F956" s="18"/>
      <c r="G956" s="18"/>
      <c r="H956" s="20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spans="1:25" x14ac:dyDescent="0.3">
      <c r="A957" s="22"/>
      <c r="B957" s="18"/>
      <c r="C957" s="18"/>
      <c r="D957" s="18"/>
      <c r="E957" s="18"/>
      <c r="F957" s="18"/>
      <c r="G957" s="18"/>
      <c r="H957" s="20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spans="1:25" x14ac:dyDescent="0.3">
      <c r="A958" s="22"/>
      <c r="B958" s="18"/>
      <c r="C958" s="18"/>
      <c r="D958" s="18"/>
      <c r="E958" s="18"/>
      <c r="F958" s="18"/>
      <c r="G958" s="18"/>
      <c r="H958" s="20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spans="1:25" x14ac:dyDescent="0.3">
      <c r="A959" s="22"/>
      <c r="B959" s="18"/>
      <c r="C959" s="18"/>
      <c r="D959" s="18"/>
      <c r="E959" s="18"/>
      <c r="F959" s="18"/>
      <c r="G959" s="18"/>
      <c r="H959" s="20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spans="1:25" x14ac:dyDescent="0.3">
      <c r="A960" s="22"/>
      <c r="B960" s="18"/>
      <c r="C960" s="18"/>
      <c r="D960" s="18"/>
      <c r="E960" s="18"/>
      <c r="F960" s="18"/>
      <c r="G960" s="18"/>
      <c r="H960" s="20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spans="1:25" x14ac:dyDescent="0.3">
      <c r="A961" s="22"/>
      <c r="B961" s="18"/>
      <c r="C961" s="18"/>
      <c r="D961" s="18"/>
      <c r="E961" s="18"/>
      <c r="F961" s="18"/>
      <c r="G961" s="18"/>
      <c r="H961" s="20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spans="1:25" x14ac:dyDescent="0.3">
      <c r="A962" s="22"/>
      <c r="B962" s="18"/>
      <c r="C962" s="18"/>
      <c r="D962" s="18"/>
      <c r="E962" s="18"/>
      <c r="F962" s="18"/>
      <c r="G962" s="18"/>
      <c r="H962" s="20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spans="1:25" x14ac:dyDescent="0.3">
      <c r="A963" s="22"/>
      <c r="B963" s="18"/>
      <c r="C963" s="18"/>
      <c r="D963" s="18"/>
      <c r="E963" s="18"/>
      <c r="F963" s="18"/>
      <c r="G963" s="18"/>
      <c r="H963" s="20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spans="1:25" x14ac:dyDescent="0.3">
      <c r="A964" s="22"/>
      <c r="B964" s="18"/>
      <c r="C964" s="18"/>
      <c r="D964" s="18"/>
      <c r="E964" s="18"/>
      <c r="F964" s="18"/>
      <c r="G964" s="18"/>
      <c r="H964" s="20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spans="1:25" x14ac:dyDescent="0.3">
      <c r="A965" s="22"/>
      <c r="B965" s="18"/>
      <c r="C965" s="18"/>
      <c r="D965" s="18"/>
      <c r="E965" s="18"/>
      <c r="F965" s="18"/>
      <c r="G965" s="18"/>
      <c r="H965" s="20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spans="1:25" x14ac:dyDescent="0.3">
      <c r="A966" s="22"/>
      <c r="B966" s="18"/>
      <c r="C966" s="18"/>
      <c r="D966" s="18"/>
      <c r="E966" s="18"/>
      <c r="F966" s="18"/>
      <c r="G966" s="18"/>
      <c r="H966" s="20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spans="1:25" x14ac:dyDescent="0.3">
      <c r="A967" s="22"/>
      <c r="B967" s="18"/>
      <c r="C967" s="18"/>
      <c r="D967" s="18"/>
      <c r="E967" s="18"/>
      <c r="F967" s="18"/>
      <c r="G967" s="18"/>
      <c r="H967" s="20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spans="1:25" x14ac:dyDescent="0.3">
      <c r="A968" s="22"/>
      <c r="B968" s="18"/>
      <c r="C968" s="18"/>
      <c r="D968" s="18"/>
      <c r="E968" s="18"/>
      <c r="F968" s="18"/>
      <c r="G968" s="18"/>
      <c r="H968" s="20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spans="1:25" x14ac:dyDescent="0.3">
      <c r="A969" s="22"/>
      <c r="B969" s="18"/>
      <c r="C969" s="18"/>
      <c r="D969" s="18"/>
      <c r="E969" s="18"/>
      <c r="F969" s="18"/>
      <c r="G969" s="18"/>
      <c r="H969" s="20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spans="1:25" x14ac:dyDescent="0.3">
      <c r="A970" s="22"/>
      <c r="B970" s="18"/>
      <c r="C970" s="18"/>
      <c r="D970" s="18"/>
      <c r="E970" s="18"/>
      <c r="F970" s="18"/>
      <c r="G970" s="18"/>
      <c r="H970" s="20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spans="1:25" x14ac:dyDescent="0.3">
      <c r="A971" s="22"/>
      <c r="B971" s="18"/>
      <c r="C971" s="18"/>
      <c r="D971" s="18"/>
      <c r="E971" s="18"/>
      <c r="F971" s="18"/>
      <c r="G971" s="18"/>
      <c r="H971" s="20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spans="1:25" x14ac:dyDescent="0.3">
      <c r="A972" s="22"/>
      <c r="B972" s="18"/>
      <c r="C972" s="18"/>
      <c r="D972" s="18"/>
      <c r="E972" s="18"/>
      <c r="F972" s="18"/>
      <c r="G972" s="18"/>
      <c r="H972" s="20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spans="1:25" x14ac:dyDescent="0.3">
      <c r="A973" s="22"/>
      <c r="B973" s="18"/>
      <c r="C973" s="18"/>
      <c r="D973" s="18"/>
      <c r="E973" s="18"/>
      <c r="F973" s="18"/>
      <c r="G973" s="18"/>
      <c r="H973" s="20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spans="1:25" x14ac:dyDescent="0.3">
      <c r="A974" s="22"/>
      <c r="B974" s="18"/>
      <c r="C974" s="18"/>
      <c r="D974" s="18"/>
      <c r="E974" s="18"/>
      <c r="F974" s="18"/>
      <c r="G974" s="18"/>
      <c r="H974" s="20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spans="1:25" x14ac:dyDescent="0.3">
      <c r="A975" s="22"/>
      <c r="B975" s="18"/>
      <c r="C975" s="18"/>
      <c r="D975" s="18"/>
      <c r="E975" s="18"/>
      <c r="F975" s="18"/>
      <c r="G975" s="18"/>
      <c r="H975" s="20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spans="1:25" x14ac:dyDescent="0.3">
      <c r="A976" s="22"/>
      <c r="B976" s="18"/>
      <c r="C976" s="18"/>
      <c r="D976" s="18"/>
      <c r="E976" s="18"/>
      <c r="F976" s="18"/>
      <c r="G976" s="18"/>
      <c r="H976" s="20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spans="1:25" x14ac:dyDescent="0.3">
      <c r="A977" s="22"/>
      <c r="B977" s="18"/>
      <c r="C977" s="18"/>
      <c r="D977" s="18"/>
      <c r="E977" s="18"/>
      <c r="F977" s="18"/>
      <c r="G977" s="18"/>
      <c r="H977" s="20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spans="1:25" x14ac:dyDescent="0.3">
      <c r="A978" s="22"/>
      <c r="B978" s="18"/>
      <c r="C978" s="18"/>
      <c r="D978" s="18"/>
      <c r="E978" s="18"/>
      <c r="F978" s="18"/>
      <c r="G978" s="18"/>
      <c r="H978" s="20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spans="1:25" x14ac:dyDescent="0.3">
      <c r="A979" s="22"/>
      <c r="B979" s="18"/>
      <c r="C979" s="18"/>
      <c r="D979" s="18"/>
      <c r="E979" s="18"/>
      <c r="F979" s="18"/>
      <c r="G979" s="18"/>
      <c r="H979" s="20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spans="1:25" x14ac:dyDescent="0.3">
      <c r="A980" s="22"/>
      <c r="B980" s="18"/>
      <c r="C980" s="18"/>
      <c r="D980" s="18"/>
      <c r="E980" s="18"/>
      <c r="F980" s="18"/>
      <c r="G980" s="18"/>
      <c r="H980" s="20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spans="1:25" x14ac:dyDescent="0.3">
      <c r="A981" s="22"/>
      <c r="B981" s="18"/>
      <c r="C981" s="18"/>
      <c r="D981" s="18"/>
      <c r="E981" s="18"/>
      <c r="F981" s="18"/>
      <c r="G981" s="18"/>
      <c r="H981" s="20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spans="1:25" x14ac:dyDescent="0.3">
      <c r="A982" s="22"/>
      <c r="B982" s="18"/>
      <c r="C982" s="18"/>
      <c r="D982" s="18"/>
      <c r="E982" s="18"/>
      <c r="F982" s="18"/>
      <c r="G982" s="18"/>
      <c r="H982" s="20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spans="1:25" x14ac:dyDescent="0.3">
      <c r="A983" s="22"/>
      <c r="B983" s="18"/>
      <c r="C983" s="18"/>
      <c r="D983" s="18"/>
      <c r="E983" s="18"/>
      <c r="F983" s="18"/>
      <c r="G983" s="18"/>
      <c r="H983" s="20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spans="1:25" x14ac:dyDescent="0.3">
      <c r="A984" s="22"/>
      <c r="B984" s="18"/>
      <c r="C984" s="18"/>
      <c r="D984" s="18"/>
      <c r="E984" s="18"/>
      <c r="F984" s="18"/>
      <c r="G984" s="18"/>
      <c r="H984" s="20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spans="1:25" x14ac:dyDescent="0.3">
      <c r="A985" s="22"/>
      <c r="B985" s="18"/>
      <c r="C985" s="18"/>
      <c r="D985" s="18"/>
      <c r="E985" s="18"/>
      <c r="F985" s="18"/>
      <c r="G985" s="18"/>
      <c r="H985" s="20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spans="1:25" x14ac:dyDescent="0.3">
      <c r="A986" s="22"/>
      <c r="B986" s="18"/>
      <c r="C986" s="18"/>
      <c r="D986" s="18"/>
      <c r="E986" s="18"/>
      <c r="F986" s="18"/>
      <c r="G986" s="18"/>
      <c r="H986" s="20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spans="1:25" x14ac:dyDescent="0.3">
      <c r="A987" s="22"/>
      <c r="B987" s="18"/>
      <c r="C987" s="18"/>
      <c r="D987" s="18"/>
      <c r="E987" s="18"/>
      <c r="F987" s="18"/>
      <c r="G987" s="18"/>
      <c r="H987" s="20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spans="1:25" x14ac:dyDescent="0.3">
      <c r="A988" s="22"/>
      <c r="B988" s="18"/>
      <c r="C988" s="18"/>
      <c r="D988" s="18"/>
      <c r="E988" s="18"/>
      <c r="F988" s="18"/>
      <c r="G988" s="18"/>
      <c r="H988" s="20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spans="1:25" x14ac:dyDescent="0.3">
      <c r="A989" s="22"/>
      <c r="B989" s="18"/>
      <c r="C989" s="18"/>
      <c r="D989" s="18"/>
      <c r="E989" s="18"/>
      <c r="F989" s="18"/>
      <c r="G989" s="18"/>
      <c r="H989" s="20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spans="1:25" x14ac:dyDescent="0.3">
      <c r="A990" s="22"/>
      <c r="B990" s="18"/>
      <c r="C990" s="18"/>
      <c r="D990" s="18"/>
      <c r="E990" s="18"/>
      <c r="F990" s="18"/>
      <c r="G990" s="18"/>
      <c r="H990" s="20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spans="1:25" x14ac:dyDescent="0.3">
      <c r="A991" s="22"/>
      <c r="B991" s="18"/>
      <c r="C991" s="18"/>
      <c r="D991" s="18"/>
      <c r="E991" s="18"/>
      <c r="F991" s="18"/>
      <c r="G991" s="18"/>
      <c r="H991" s="20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spans="1:25" x14ac:dyDescent="0.3">
      <c r="A992" s="22"/>
      <c r="B992" s="18"/>
      <c r="C992" s="18"/>
      <c r="D992" s="18"/>
      <c r="E992" s="18"/>
      <c r="F992" s="18"/>
      <c r="G992" s="18"/>
      <c r="H992" s="20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spans="1:25" x14ac:dyDescent="0.3">
      <c r="A993" s="22"/>
      <c r="B993" s="18"/>
      <c r="C993" s="18"/>
      <c r="D993" s="18"/>
      <c r="E993" s="18"/>
      <c r="F993" s="18"/>
      <c r="G993" s="18"/>
      <c r="H993" s="20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spans="1:25" x14ac:dyDescent="0.3">
      <c r="A994" s="22"/>
      <c r="B994" s="18"/>
      <c r="C994" s="18"/>
      <c r="D994" s="18"/>
      <c r="E994" s="18"/>
      <c r="F994" s="18"/>
      <c r="G994" s="18"/>
      <c r="H994" s="20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spans="1:25" x14ac:dyDescent="0.3">
      <c r="A995" s="22"/>
      <c r="B995" s="18"/>
      <c r="C995" s="18"/>
      <c r="D995" s="18"/>
      <c r="E995" s="18"/>
      <c r="F995" s="18"/>
      <c r="G995" s="18"/>
      <c r="H995" s="20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spans="1:25" x14ac:dyDescent="0.3">
      <c r="A996" s="22"/>
      <c r="B996" s="18"/>
      <c r="C996" s="18"/>
      <c r="D996" s="18"/>
      <c r="E996" s="18"/>
      <c r="F996" s="18"/>
      <c r="G996" s="18"/>
      <c r="H996" s="20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spans="1:25" x14ac:dyDescent="0.3">
      <c r="A997" s="22"/>
      <c r="B997" s="18"/>
      <c r="C997" s="18"/>
      <c r="D997" s="18"/>
      <c r="E997" s="18"/>
      <c r="F997" s="18"/>
      <c r="G997" s="18"/>
      <c r="H997" s="20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spans="1:25" x14ac:dyDescent="0.3">
      <c r="A998" s="22"/>
      <c r="B998" s="18"/>
      <c r="C998" s="18"/>
      <c r="D998" s="18"/>
      <c r="E998" s="18"/>
      <c r="F998" s="18"/>
      <c r="G998" s="18"/>
      <c r="H998" s="20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 spans="1:25" x14ac:dyDescent="0.3">
      <c r="A999" s="22"/>
      <c r="B999" s="18"/>
      <c r="C999" s="18"/>
      <c r="D999" s="18"/>
      <c r="E999" s="18"/>
      <c r="F999" s="18"/>
      <c r="G999" s="18"/>
      <c r="H999" s="20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 spans="1:25" x14ac:dyDescent="0.3">
      <c r="A1000" s="22"/>
      <c r="B1000" s="18"/>
      <c r="C1000" s="18"/>
      <c r="D1000" s="18"/>
      <c r="E1000" s="18"/>
      <c r="F1000" s="18"/>
      <c r="G1000" s="18"/>
      <c r="H1000" s="20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  <row r="1001" spans="1:25" x14ac:dyDescent="0.3">
      <c r="A1001" s="22"/>
      <c r="B1001" s="18"/>
      <c r="C1001" s="18"/>
      <c r="D1001" s="18"/>
      <c r="E1001" s="18"/>
      <c r="F1001" s="18"/>
      <c r="G1001" s="18"/>
      <c r="H1001" s="20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</row>
  </sheetData>
  <mergeCells count="2">
    <mergeCell ref="A1:G1"/>
    <mergeCell ref="A2:A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133B-18EA-E146-BA00-6DA1A5E1A8D3}">
  <dimension ref="A1:H127"/>
  <sheetViews>
    <sheetView workbookViewId="0">
      <selection activeCell="A4" sqref="A4:XFD4"/>
    </sheetView>
  </sheetViews>
  <sheetFormatPr defaultColWidth="8.85546875" defaultRowHeight="14.25" x14ac:dyDescent="0.2"/>
  <cols>
    <col min="1" max="1" width="11.42578125" customWidth="1"/>
    <col min="2" max="2" width="24.140625" customWidth="1"/>
    <col min="3" max="4" width="14.85546875" customWidth="1"/>
    <col min="5" max="5" width="19.42578125" style="61" customWidth="1"/>
    <col min="6" max="7" width="13.85546875" customWidth="1"/>
    <col min="8" max="8" width="12.140625" customWidth="1"/>
  </cols>
  <sheetData>
    <row r="1" spans="1:8" s="10" customFormat="1" ht="33" customHeight="1" x14ac:dyDescent="0.2">
      <c r="A1" s="128" t="s">
        <v>230</v>
      </c>
      <c r="B1" s="128"/>
      <c r="C1" s="128"/>
      <c r="D1" s="128"/>
      <c r="E1" s="128"/>
      <c r="F1" s="128"/>
      <c r="G1" s="128"/>
      <c r="H1" s="128"/>
    </row>
    <row r="2" spans="1:8" ht="45.95" customHeight="1" x14ac:dyDescent="0.2">
      <c r="A2" s="23" t="s">
        <v>129</v>
      </c>
      <c r="B2" s="25" t="s">
        <v>221</v>
      </c>
      <c r="C2" s="25" t="s">
        <v>242</v>
      </c>
      <c r="D2" s="62" t="s">
        <v>237</v>
      </c>
      <c r="E2" s="63" t="s">
        <v>237</v>
      </c>
      <c r="F2" s="24" t="s">
        <v>237</v>
      </c>
      <c r="G2" s="26"/>
      <c r="H2" s="51"/>
    </row>
    <row r="3" spans="1:8" ht="18" customHeight="1" x14ac:dyDescent="0.2">
      <c r="A3" s="57"/>
      <c r="B3" s="25" t="s">
        <v>124</v>
      </c>
      <c r="C3" s="58"/>
      <c r="D3" s="66"/>
      <c r="E3" s="67"/>
      <c r="F3" s="24"/>
      <c r="G3" s="26"/>
      <c r="H3" s="51"/>
    </row>
    <row r="4" spans="1:8" ht="15.75" x14ac:dyDescent="0.2">
      <c r="A4" s="27">
        <f t="array" ref="A4">1+COUNT(_xlfn.UNIQUE(_xlfn._xlws.FILTER($F$5:$F$127, $F$5:$F$127 &gt; F4)))</f>
        <v>1</v>
      </c>
      <c r="B4" s="52" t="s">
        <v>24</v>
      </c>
      <c r="C4" s="27"/>
      <c r="D4" s="64"/>
      <c r="E4" s="65"/>
      <c r="F4" s="54"/>
      <c r="G4" s="28"/>
      <c r="H4" s="55"/>
    </row>
    <row r="5" spans="1:8" ht="15.75" x14ac:dyDescent="0.2">
      <c r="A5" s="27">
        <f t="array" ref="A5">1+COUNT(_xlfn.UNIQUE(_xlfn._xlws.FILTER($F$5:$F$127, $F$5:$F$127 &gt; F5)))</f>
        <v>1</v>
      </c>
      <c r="B5" s="52" t="s">
        <v>17</v>
      </c>
      <c r="C5" s="27"/>
      <c r="D5" s="53"/>
      <c r="E5" s="59"/>
      <c r="F5" s="54"/>
      <c r="G5" s="28"/>
      <c r="H5" s="55"/>
    </row>
    <row r="6" spans="1:8" ht="15.75" x14ac:dyDescent="0.2">
      <c r="A6" s="27">
        <f t="array" ref="A6">1+COUNT(_xlfn.UNIQUE(_xlfn._xlws.FILTER($F$5:$F$127, $F$5:$F$127 &gt; F6)))</f>
        <v>1</v>
      </c>
      <c r="B6" s="52" t="s">
        <v>5</v>
      </c>
      <c r="C6" s="27"/>
      <c r="D6" s="53"/>
      <c r="E6" s="60"/>
      <c r="F6" s="54"/>
      <c r="G6" s="28"/>
      <c r="H6" s="55"/>
    </row>
    <row r="7" spans="1:8" ht="15.75" x14ac:dyDescent="0.2">
      <c r="A7" s="27">
        <f t="array" ref="A7">1+COUNT(_xlfn.UNIQUE(_xlfn._xlws.FILTER($F$5:$F$127, $F$5:$F$127 &gt; F7)))</f>
        <v>1</v>
      </c>
      <c r="B7" s="52" t="s">
        <v>2</v>
      </c>
      <c r="C7" s="27"/>
      <c r="D7" s="53"/>
      <c r="E7" s="59"/>
      <c r="F7" s="54"/>
      <c r="G7" s="28"/>
      <c r="H7" s="55"/>
    </row>
    <row r="8" spans="1:8" ht="15.75" x14ac:dyDescent="0.2">
      <c r="A8" s="27">
        <f t="array" ref="A8">1+COUNT(_xlfn.UNIQUE(_xlfn._xlws.FILTER($F$5:$F$127, $F$5:$F$127 &gt; F8)))</f>
        <v>1</v>
      </c>
      <c r="B8" s="52" t="s">
        <v>11</v>
      </c>
      <c r="C8" s="27"/>
      <c r="D8" s="53"/>
      <c r="E8" s="59"/>
      <c r="F8" s="54"/>
      <c r="G8" s="28"/>
      <c r="H8" s="55"/>
    </row>
    <row r="9" spans="1:8" ht="15.75" x14ac:dyDescent="0.2">
      <c r="A9" s="27">
        <f t="array" ref="A9">1+COUNT(_xlfn.UNIQUE(_xlfn._xlws.FILTER($F$5:$F$127, $F$5:$F$127 &gt; F9)))</f>
        <v>1</v>
      </c>
      <c r="B9" s="52" t="s">
        <v>59</v>
      </c>
      <c r="C9" s="27"/>
      <c r="D9" s="53"/>
      <c r="E9" s="59"/>
      <c r="F9" s="54"/>
      <c r="G9" s="28"/>
      <c r="H9" s="55"/>
    </row>
    <row r="10" spans="1:8" ht="15.75" x14ac:dyDescent="0.2">
      <c r="A10" s="27">
        <f t="array" ref="A10">1+COUNT(_xlfn.UNIQUE(_xlfn._xlws.FILTER($F$5:$F$127, $F$5:$F$127 &gt; F10)))</f>
        <v>1</v>
      </c>
      <c r="B10" s="52" t="s">
        <v>37</v>
      </c>
      <c r="C10" s="27"/>
      <c r="D10" s="53"/>
      <c r="E10" s="59"/>
      <c r="F10" s="54"/>
      <c r="G10" s="28"/>
      <c r="H10" s="55"/>
    </row>
    <row r="11" spans="1:8" ht="15.75" x14ac:dyDescent="0.2">
      <c r="A11" s="27">
        <f t="array" ref="A11">1+COUNT(_xlfn.UNIQUE(_xlfn._xlws.FILTER($F$5:$F$127, $F$5:$F$127 &gt; F11)))</f>
        <v>1</v>
      </c>
      <c r="B11" s="56" t="s">
        <v>15</v>
      </c>
      <c r="C11" s="27"/>
      <c r="D11" s="53"/>
      <c r="E11" s="59"/>
      <c r="F11" s="54"/>
      <c r="G11" s="28"/>
      <c r="H11" s="55"/>
    </row>
    <row r="12" spans="1:8" ht="15.75" x14ac:dyDescent="0.2">
      <c r="A12" s="27">
        <f t="array" ref="A12">1+COUNT(_xlfn.UNIQUE(_xlfn._xlws.FILTER($F$5:$F$127, $F$5:$F$127 &gt; F12)))</f>
        <v>1</v>
      </c>
      <c r="B12" s="56" t="s">
        <v>50</v>
      </c>
      <c r="C12" s="27"/>
      <c r="D12" s="53"/>
      <c r="E12" s="59"/>
      <c r="F12" s="54"/>
      <c r="G12" s="28"/>
      <c r="H12" s="55"/>
    </row>
    <row r="13" spans="1:8" ht="15.75" x14ac:dyDescent="0.2">
      <c r="A13" s="27">
        <f t="array" ref="A13">1+COUNT(_xlfn.UNIQUE(_xlfn._xlws.FILTER($F$5:$F$127, $F$5:$F$127 &gt; F13)))</f>
        <v>1</v>
      </c>
      <c r="B13" s="56" t="s">
        <v>57</v>
      </c>
      <c r="C13" s="27"/>
      <c r="D13" s="53"/>
      <c r="E13" s="59"/>
      <c r="F13" s="54"/>
      <c r="G13" s="28"/>
      <c r="H13" s="55"/>
    </row>
    <row r="14" spans="1:8" ht="15.75" x14ac:dyDescent="0.2">
      <c r="A14" s="27">
        <f t="array" ref="A14">1+COUNT(_xlfn.UNIQUE(_xlfn._xlws.FILTER($F$5:$F$127, $F$5:$F$127 &gt; F14)))</f>
        <v>1</v>
      </c>
      <c r="B14" s="56" t="s">
        <v>94</v>
      </c>
      <c r="C14" s="27"/>
      <c r="D14" s="53"/>
      <c r="E14" s="59"/>
      <c r="F14" s="54"/>
      <c r="G14" s="28"/>
      <c r="H14" s="55"/>
    </row>
    <row r="15" spans="1:8" ht="15.75" x14ac:dyDescent="0.2">
      <c r="A15" s="27">
        <f t="array" ref="A15">1+COUNT(_xlfn.UNIQUE(_xlfn._xlws.FILTER($F$5:$F$127, $F$5:$F$127 &gt; F15)))</f>
        <v>1</v>
      </c>
      <c r="B15" s="56" t="s">
        <v>40</v>
      </c>
      <c r="C15" s="27"/>
      <c r="D15" s="53"/>
      <c r="E15" s="59"/>
      <c r="F15" s="54"/>
      <c r="G15" s="28"/>
      <c r="H15" s="55"/>
    </row>
    <row r="16" spans="1:8" ht="15.75" x14ac:dyDescent="0.2">
      <c r="A16" s="27">
        <f t="array" ref="A16">1+COUNT(_xlfn.UNIQUE(_xlfn._xlws.FILTER($F$5:$F$127, $F$5:$F$127 &gt; F16)))</f>
        <v>1</v>
      </c>
      <c r="B16" s="56" t="s">
        <v>111</v>
      </c>
      <c r="C16" s="27"/>
      <c r="D16" s="53"/>
      <c r="E16" s="59"/>
      <c r="F16" s="54"/>
      <c r="G16" s="28"/>
      <c r="H16" s="55"/>
    </row>
    <row r="17" spans="1:8" ht="15.75" x14ac:dyDescent="0.2">
      <c r="A17" s="27">
        <f t="array" ref="A17">1+COUNT(_xlfn.UNIQUE(_xlfn._xlws.FILTER($F$5:$F$127, $F$5:$F$127 &gt; F17)))</f>
        <v>1</v>
      </c>
      <c r="B17" s="56" t="s">
        <v>87</v>
      </c>
      <c r="C17" s="27"/>
      <c r="D17" s="53"/>
      <c r="E17" s="59"/>
      <c r="F17" s="54"/>
      <c r="G17" s="28"/>
      <c r="H17" s="55"/>
    </row>
    <row r="18" spans="1:8" ht="15.75" x14ac:dyDescent="0.2">
      <c r="A18" s="27">
        <f t="array" ref="A18">1+COUNT(_xlfn.UNIQUE(_xlfn._xlws.FILTER($F$5:$F$127, $F$5:$F$127 &gt; F18)))</f>
        <v>1</v>
      </c>
      <c r="B18" s="56" t="s">
        <v>77</v>
      </c>
      <c r="C18" s="27"/>
      <c r="D18" s="53"/>
      <c r="E18" s="59"/>
      <c r="F18" s="54"/>
      <c r="G18" s="28"/>
      <c r="H18" s="55"/>
    </row>
    <row r="19" spans="1:8" ht="15.75" x14ac:dyDescent="0.2">
      <c r="A19" s="27">
        <f t="array" ref="A19">1+COUNT(_xlfn.UNIQUE(_xlfn._xlws.FILTER($F$5:$F$127, $F$5:$F$127 &gt; F19)))</f>
        <v>1</v>
      </c>
      <c r="B19" s="56" t="s">
        <v>46</v>
      </c>
      <c r="C19" s="27"/>
      <c r="D19" s="53"/>
      <c r="E19" s="59"/>
      <c r="F19" s="54"/>
      <c r="G19" s="28"/>
      <c r="H19" s="55"/>
    </row>
    <row r="20" spans="1:8" ht="15.75" x14ac:dyDescent="0.2">
      <c r="A20" s="27">
        <f t="array" ref="A20">1+COUNT(_xlfn.UNIQUE(_xlfn._xlws.FILTER($F$5:$F$127, $F$5:$F$127 &gt; F20)))</f>
        <v>1</v>
      </c>
      <c r="B20" s="56" t="s">
        <v>64</v>
      </c>
      <c r="C20" s="27"/>
      <c r="D20" s="53"/>
      <c r="E20" s="59"/>
      <c r="F20" s="54"/>
      <c r="G20" s="28"/>
      <c r="H20" s="55"/>
    </row>
    <row r="21" spans="1:8" ht="15.75" x14ac:dyDescent="0.2">
      <c r="A21" s="27">
        <f t="array" ref="A21">1+COUNT(_xlfn.UNIQUE(_xlfn._xlws.FILTER($F$5:$F$127, $F$5:$F$127 &gt; F21)))</f>
        <v>1</v>
      </c>
      <c r="B21" s="56" t="s">
        <v>27</v>
      </c>
      <c r="C21" s="27"/>
      <c r="D21" s="53"/>
      <c r="E21" s="59"/>
      <c r="F21" s="54"/>
      <c r="G21" s="28"/>
      <c r="H21" s="55"/>
    </row>
    <row r="22" spans="1:8" ht="15.75" x14ac:dyDescent="0.2">
      <c r="A22" s="27">
        <f t="array" ref="A22">1+COUNT(_xlfn.UNIQUE(_xlfn._xlws.FILTER($F$5:$F$127, $F$5:$F$127 &gt; F22)))</f>
        <v>1</v>
      </c>
      <c r="B22" s="56" t="s">
        <v>110</v>
      </c>
      <c r="C22" s="27"/>
      <c r="D22" s="53"/>
      <c r="E22" s="59"/>
      <c r="F22" s="54"/>
      <c r="G22" s="28"/>
      <c r="H22" s="55"/>
    </row>
    <row r="23" spans="1:8" ht="15.75" x14ac:dyDescent="0.2">
      <c r="A23" s="27">
        <f t="array" ref="A23">1+COUNT(_xlfn.UNIQUE(_xlfn._xlws.FILTER($F$5:$F$127, $F$5:$F$127 &gt; F23)))</f>
        <v>1</v>
      </c>
      <c r="B23" s="56" t="s">
        <v>92</v>
      </c>
      <c r="C23" s="27"/>
      <c r="D23" s="53"/>
      <c r="E23" s="59"/>
      <c r="F23" s="54"/>
      <c r="G23" s="28"/>
      <c r="H23" s="55"/>
    </row>
    <row r="24" spans="1:8" ht="15.75" x14ac:dyDescent="0.2">
      <c r="A24" s="27">
        <f t="array" ref="A24">1+COUNT(_xlfn.UNIQUE(_xlfn._xlws.FILTER($F$5:$F$127, $F$5:$F$127 &gt; F24)))</f>
        <v>1</v>
      </c>
      <c r="B24" s="56" t="s">
        <v>22</v>
      </c>
      <c r="C24" s="27"/>
      <c r="D24" s="53"/>
      <c r="E24" s="59"/>
      <c r="F24" s="54"/>
      <c r="G24" s="28"/>
      <c r="H24" s="55"/>
    </row>
    <row r="25" spans="1:8" ht="15.75" x14ac:dyDescent="0.2">
      <c r="A25" s="27">
        <f t="array" ref="A25">1+COUNT(_xlfn.UNIQUE(_xlfn._xlws.FILTER($F$5:$F$127, $F$5:$F$127 &gt; F25)))</f>
        <v>1</v>
      </c>
      <c r="B25" s="56" t="s">
        <v>70</v>
      </c>
      <c r="C25" s="27"/>
      <c r="D25" s="53"/>
      <c r="E25" s="59"/>
      <c r="F25" s="54"/>
      <c r="G25" s="28"/>
      <c r="H25" s="55"/>
    </row>
    <row r="26" spans="1:8" ht="15.75" x14ac:dyDescent="0.2">
      <c r="A26" s="27">
        <f t="array" ref="A26">1+COUNT(_xlfn.UNIQUE(_xlfn._xlws.FILTER($F$5:$F$127, $F$5:$F$127 &gt; F26)))</f>
        <v>1</v>
      </c>
      <c r="B26" s="56" t="s">
        <v>116</v>
      </c>
      <c r="C26" s="27"/>
      <c r="D26" s="53"/>
      <c r="E26" s="59"/>
      <c r="F26" s="54"/>
      <c r="G26" s="28"/>
      <c r="H26" s="55"/>
    </row>
    <row r="27" spans="1:8" ht="15.75" x14ac:dyDescent="0.2">
      <c r="A27" s="27">
        <f t="array" ref="A27">1+COUNT(_xlfn.UNIQUE(_xlfn._xlws.FILTER($F$5:$F$127, $F$5:$F$127 &gt; F27)))</f>
        <v>1</v>
      </c>
      <c r="B27" s="56" t="s">
        <v>4</v>
      </c>
      <c r="C27" s="27"/>
      <c r="D27" s="53"/>
      <c r="E27" s="59"/>
      <c r="F27" s="54"/>
      <c r="G27" s="28"/>
      <c r="H27" s="55"/>
    </row>
    <row r="28" spans="1:8" ht="15.75" x14ac:dyDescent="0.2">
      <c r="A28" s="27">
        <f t="array" ref="A28">1+COUNT(_xlfn.UNIQUE(_xlfn._xlws.FILTER($F$5:$F$127, $F$5:$F$127 &gt; F28)))</f>
        <v>1</v>
      </c>
      <c r="B28" s="56" t="s">
        <v>58</v>
      </c>
      <c r="C28" s="27"/>
      <c r="D28" s="53"/>
      <c r="E28" s="59"/>
      <c r="F28" s="54"/>
      <c r="G28" s="28"/>
      <c r="H28" s="55"/>
    </row>
    <row r="29" spans="1:8" ht="15.75" x14ac:dyDescent="0.2">
      <c r="A29" s="27">
        <f t="array" ref="A29">1+COUNT(_xlfn.UNIQUE(_xlfn._xlws.FILTER($F$5:$F$127, $F$5:$F$127 &gt; F29)))</f>
        <v>1</v>
      </c>
      <c r="B29" s="56" t="s">
        <v>36</v>
      </c>
      <c r="C29" s="27"/>
      <c r="D29" s="53"/>
      <c r="E29" s="59"/>
      <c r="F29" s="54"/>
      <c r="G29" s="28"/>
      <c r="H29" s="55"/>
    </row>
    <row r="30" spans="1:8" ht="15.75" x14ac:dyDescent="0.2">
      <c r="A30" s="27">
        <f t="array" ref="A30">1+COUNT(_xlfn.UNIQUE(_xlfn._xlws.FILTER($F$5:$F$127, $F$5:$F$127 &gt; F30)))</f>
        <v>1</v>
      </c>
      <c r="B30" s="56" t="s">
        <v>78</v>
      </c>
      <c r="C30" s="27"/>
      <c r="D30" s="53"/>
      <c r="E30" s="59"/>
      <c r="F30" s="54"/>
      <c r="G30" s="28"/>
      <c r="H30" s="55"/>
    </row>
    <row r="31" spans="1:8" ht="15.75" x14ac:dyDescent="0.2">
      <c r="A31" s="27">
        <f t="array" ref="A31">1+COUNT(_xlfn.UNIQUE(_xlfn._xlws.FILTER($F$5:$F$127, $F$5:$F$127 &gt; F31)))</f>
        <v>1</v>
      </c>
      <c r="B31" s="56" t="s">
        <v>119</v>
      </c>
      <c r="C31" s="27"/>
      <c r="D31" s="53"/>
      <c r="E31" s="59"/>
      <c r="F31" s="54"/>
      <c r="G31" s="28"/>
      <c r="H31" s="55"/>
    </row>
    <row r="32" spans="1:8" ht="15.75" x14ac:dyDescent="0.2">
      <c r="A32" s="27">
        <f t="array" ref="A32">1+COUNT(_xlfn.UNIQUE(_xlfn._xlws.FILTER($F$5:$F$127, $F$5:$F$127 &gt; F32)))</f>
        <v>1</v>
      </c>
      <c r="B32" s="56" t="s">
        <v>68</v>
      </c>
      <c r="C32" s="27"/>
      <c r="D32" s="53"/>
      <c r="E32" s="59"/>
      <c r="F32" s="54"/>
      <c r="G32" s="28"/>
      <c r="H32" s="55"/>
    </row>
    <row r="33" spans="1:8" ht="15.75" x14ac:dyDescent="0.2">
      <c r="A33" s="27">
        <f t="array" ref="A33">1+COUNT(_xlfn.UNIQUE(_xlfn._xlws.FILTER($F$5:$F$127, $F$5:$F$127 &gt; F33)))</f>
        <v>1</v>
      </c>
      <c r="B33" s="56" t="s">
        <v>0</v>
      </c>
      <c r="C33" s="27"/>
      <c r="D33" s="53"/>
      <c r="E33" s="59"/>
      <c r="F33" s="54"/>
      <c r="G33" s="28"/>
      <c r="H33" s="55"/>
    </row>
    <row r="34" spans="1:8" ht="15.75" x14ac:dyDescent="0.2">
      <c r="A34" s="27">
        <f t="array" ref="A34">1+COUNT(_xlfn.UNIQUE(_xlfn._xlws.FILTER($F$5:$F$127, $F$5:$F$127 &gt; F34)))</f>
        <v>1</v>
      </c>
      <c r="B34" s="56" t="s">
        <v>21</v>
      </c>
      <c r="C34" s="27"/>
      <c r="D34" s="53"/>
      <c r="E34" s="59"/>
      <c r="F34" s="54"/>
      <c r="G34" s="28"/>
      <c r="H34" s="55"/>
    </row>
    <row r="35" spans="1:8" ht="15.75" x14ac:dyDescent="0.2">
      <c r="A35" s="27">
        <f t="array" ref="A35">1+COUNT(_xlfn.UNIQUE(_xlfn._xlws.FILTER($F$5:$F$127, $F$5:$F$127 &gt; F35)))</f>
        <v>1</v>
      </c>
      <c r="B35" s="56" t="s">
        <v>102</v>
      </c>
      <c r="C35" s="27"/>
      <c r="D35" s="53"/>
      <c r="E35" s="59"/>
      <c r="F35" s="54"/>
      <c r="G35" s="28"/>
      <c r="H35" s="55"/>
    </row>
    <row r="36" spans="1:8" ht="15.75" x14ac:dyDescent="0.2">
      <c r="A36" s="27">
        <f t="array" ref="A36">1+COUNT(_xlfn.UNIQUE(_xlfn._xlws.FILTER($F$5:$F$127, $F$5:$F$127 &gt; F36)))</f>
        <v>1</v>
      </c>
      <c r="B36" s="56" t="s">
        <v>29</v>
      </c>
      <c r="C36" s="27"/>
      <c r="D36" s="53"/>
      <c r="E36" s="59"/>
      <c r="F36" s="54"/>
      <c r="G36" s="28"/>
      <c r="H36" s="55"/>
    </row>
    <row r="37" spans="1:8" ht="15.75" x14ac:dyDescent="0.2">
      <c r="A37" s="27">
        <f t="array" ref="A37">1+COUNT(_xlfn.UNIQUE(_xlfn._xlws.FILTER($F$5:$F$127, $F$5:$F$127 &gt; F37)))</f>
        <v>1</v>
      </c>
      <c r="B37" s="56" t="s">
        <v>38</v>
      </c>
      <c r="C37" s="27"/>
      <c r="D37" s="53"/>
      <c r="E37" s="59"/>
      <c r="F37" s="54"/>
      <c r="G37" s="28"/>
      <c r="H37" s="55"/>
    </row>
    <row r="38" spans="1:8" ht="15.75" x14ac:dyDescent="0.2">
      <c r="A38" s="27">
        <f t="array" ref="A38">1+COUNT(_xlfn.UNIQUE(_xlfn._xlws.FILTER($F$5:$F$127, $F$5:$F$127 &gt; F38)))</f>
        <v>1</v>
      </c>
      <c r="B38" s="56" t="s">
        <v>69</v>
      </c>
      <c r="C38" s="27"/>
      <c r="D38" s="53"/>
      <c r="E38" s="59"/>
      <c r="F38" s="54"/>
      <c r="G38" s="28"/>
      <c r="H38" s="55"/>
    </row>
    <row r="39" spans="1:8" ht="15.75" x14ac:dyDescent="0.2">
      <c r="A39" s="27">
        <f t="array" ref="A39">1+COUNT(_xlfn.UNIQUE(_xlfn._xlws.FILTER($F$5:$F$127, $F$5:$F$127 &gt; F39)))</f>
        <v>1</v>
      </c>
      <c r="B39" s="56" t="s">
        <v>93</v>
      </c>
      <c r="C39" s="27"/>
      <c r="D39" s="53"/>
      <c r="E39" s="59"/>
      <c r="F39" s="54"/>
      <c r="G39" s="28"/>
      <c r="H39" s="55"/>
    </row>
    <row r="40" spans="1:8" ht="15.75" x14ac:dyDescent="0.2">
      <c r="A40" s="27">
        <f t="array" ref="A40">1+COUNT(_xlfn.UNIQUE(_xlfn._xlws.FILTER($F$5:$F$127, $F$5:$F$127 &gt; F40)))</f>
        <v>1</v>
      </c>
      <c r="B40" s="56" t="s">
        <v>65</v>
      </c>
      <c r="C40" s="27"/>
      <c r="D40" s="53"/>
      <c r="E40" s="59"/>
      <c r="F40" s="54"/>
      <c r="G40" s="28"/>
      <c r="H40" s="55"/>
    </row>
    <row r="41" spans="1:8" ht="15.75" x14ac:dyDescent="0.2">
      <c r="A41" s="27">
        <f t="array" ref="A41">1+COUNT(_xlfn.UNIQUE(_xlfn._xlws.FILTER($F$5:$F$127, $F$5:$F$127 &gt; F41)))</f>
        <v>1</v>
      </c>
      <c r="B41" s="56" t="s">
        <v>35</v>
      </c>
      <c r="C41" s="27"/>
      <c r="D41" s="53"/>
      <c r="E41" s="59"/>
      <c r="F41" s="54"/>
      <c r="G41" s="28"/>
      <c r="H41" s="55"/>
    </row>
    <row r="42" spans="1:8" ht="15.75" x14ac:dyDescent="0.2">
      <c r="A42" s="27">
        <f t="array" ref="A42">1+COUNT(_xlfn.UNIQUE(_xlfn._xlws.FILTER($F$5:$F$127, $F$5:$F$127 &gt; F42)))</f>
        <v>1</v>
      </c>
      <c r="B42" s="56" t="s">
        <v>39</v>
      </c>
      <c r="C42" s="27"/>
      <c r="D42" s="53"/>
      <c r="E42" s="59"/>
      <c r="F42" s="54"/>
      <c r="G42" s="28"/>
      <c r="H42" s="55"/>
    </row>
    <row r="43" spans="1:8" ht="15.75" x14ac:dyDescent="0.2">
      <c r="A43" s="27">
        <f t="array" ref="A43">1+COUNT(_xlfn.UNIQUE(_xlfn._xlws.FILTER($F$5:$F$127, $F$5:$F$127 &gt; F43)))</f>
        <v>1</v>
      </c>
      <c r="B43" s="56" t="s">
        <v>49</v>
      </c>
      <c r="C43" s="27"/>
      <c r="D43" s="53"/>
      <c r="E43" s="59"/>
      <c r="F43" s="54"/>
      <c r="G43" s="28"/>
      <c r="H43" s="55"/>
    </row>
    <row r="44" spans="1:8" ht="15.75" x14ac:dyDescent="0.2">
      <c r="A44" s="27">
        <f t="array" ref="A44">1+COUNT(_xlfn.UNIQUE(_xlfn._xlws.FILTER($F$5:$F$127, $F$5:$F$127 &gt; F44)))</f>
        <v>1</v>
      </c>
      <c r="B44" s="56" t="s">
        <v>71</v>
      </c>
      <c r="C44" s="27"/>
      <c r="D44" s="53"/>
      <c r="E44" s="59"/>
      <c r="F44" s="54"/>
      <c r="G44" s="28"/>
      <c r="H44" s="55"/>
    </row>
    <row r="45" spans="1:8" ht="15.75" x14ac:dyDescent="0.2">
      <c r="A45" s="27">
        <f t="array" ref="A45">1+COUNT(_xlfn.UNIQUE(_xlfn._xlws.FILTER($F$5:$F$127, $F$5:$F$127 &gt; F45)))</f>
        <v>1</v>
      </c>
      <c r="B45" s="56" t="s">
        <v>3</v>
      </c>
      <c r="C45" s="27"/>
      <c r="D45" s="53"/>
      <c r="E45" s="59"/>
      <c r="F45" s="54"/>
      <c r="G45" s="28"/>
      <c r="H45" s="55"/>
    </row>
    <row r="46" spans="1:8" ht="15.75" x14ac:dyDescent="0.2">
      <c r="A46" s="27">
        <f t="array" ref="A46">1+COUNT(_xlfn.UNIQUE(_xlfn._xlws.FILTER($F$5:$F$127, $F$5:$F$127 &gt; F46)))</f>
        <v>1</v>
      </c>
      <c r="B46" s="56" t="s">
        <v>56</v>
      </c>
      <c r="C46" s="27"/>
      <c r="D46" s="53"/>
      <c r="E46" s="59"/>
      <c r="F46" s="54"/>
      <c r="G46" s="28"/>
      <c r="H46" s="55"/>
    </row>
    <row r="47" spans="1:8" ht="15.75" x14ac:dyDescent="0.2">
      <c r="A47" s="27">
        <f t="array" ref="A47">1+COUNT(_xlfn.UNIQUE(_xlfn._xlws.FILTER($F$5:$F$127, $F$5:$F$127 &gt; F47)))</f>
        <v>1</v>
      </c>
      <c r="B47" s="56" t="s">
        <v>26</v>
      </c>
      <c r="C47" s="27"/>
      <c r="D47" s="53"/>
      <c r="E47" s="59"/>
      <c r="F47" s="54"/>
      <c r="G47" s="28"/>
      <c r="H47" s="55"/>
    </row>
    <row r="48" spans="1:8" ht="15.75" x14ac:dyDescent="0.2">
      <c r="A48" s="27">
        <f t="array" ref="A48">1+COUNT(_xlfn.UNIQUE(_xlfn._xlws.FILTER($F$5:$F$127, $F$5:$F$127 &gt; F48)))</f>
        <v>1</v>
      </c>
      <c r="B48" s="56" t="s">
        <v>33</v>
      </c>
      <c r="C48" s="27"/>
      <c r="D48" s="53"/>
      <c r="E48" s="59"/>
      <c r="F48" s="54"/>
      <c r="G48" s="28"/>
      <c r="H48" s="55"/>
    </row>
    <row r="49" spans="1:8" ht="15.75" x14ac:dyDescent="0.2">
      <c r="A49" s="27">
        <f t="array" ref="A49">1+COUNT(_xlfn.UNIQUE(_xlfn._xlws.FILTER($F$5:$F$127, $F$5:$F$127 &gt; F49)))</f>
        <v>1</v>
      </c>
      <c r="B49" s="56" t="s">
        <v>89</v>
      </c>
      <c r="C49" s="27"/>
      <c r="D49" s="53"/>
      <c r="E49" s="59"/>
      <c r="F49" s="54"/>
      <c r="G49" s="28"/>
      <c r="H49" s="55"/>
    </row>
    <row r="50" spans="1:8" ht="15.75" x14ac:dyDescent="0.2">
      <c r="A50" s="27">
        <f t="array" ref="A50">1+COUNT(_xlfn.UNIQUE(_xlfn._xlws.FILTER($F$5:$F$127, $F$5:$F$127 &gt; F50)))</f>
        <v>1</v>
      </c>
      <c r="B50" s="56" t="s">
        <v>112</v>
      </c>
      <c r="C50" s="27"/>
      <c r="D50" s="53"/>
      <c r="E50" s="59"/>
      <c r="F50" s="54"/>
      <c r="G50" s="28"/>
      <c r="H50" s="55"/>
    </row>
    <row r="51" spans="1:8" ht="15.75" x14ac:dyDescent="0.2">
      <c r="A51" s="27">
        <f t="array" ref="A51">1+COUNT(_xlfn.UNIQUE(_xlfn._xlws.FILTER($F$5:$F$127, $F$5:$F$127 &gt; F51)))</f>
        <v>1</v>
      </c>
      <c r="B51" s="56" t="s">
        <v>123</v>
      </c>
      <c r="C51" s="27"/>
      <c r="D51" s="53"/>
      <c r="E51" s="59"/>
      <c r="F51" s="54"/>
      <c r="G51" s="28"/>
      <c r="H51" s="55"/>
    </row>
    <row r="52" spans="1:8" ht="15.75" x14ac:dyDescent="0.2">
      <c r="A52" s="27">
        <f t="array" ref="A52">1+COUNT(_xlfn.UNIQUE(_xlfn._xlws.FILTER($F$5:$F$127, $F$5:$F$127 &gt; F52)))</f>
        <v>1</v>
      </c>
      <c r="B52" s="56" t="s">
        <v>79</v>
      </c>
      <c r="C52" s="27"/>
      <c r="D52" s="53"/>
      <c r="E52" s="59"/>
      <c r="F52" s="54"/>
      <c r="G52" s="28"/>
      <c r="H52" s="55"/>
    </row>
    <row r="53" spans="1:8" ht="15.75" x14ac:dyDescent="0.2">
      <c r="A53" s="27">
        <f t="array" ref="A53">1+COUNT(_xlfn.UNIQUE(_xlfn._xlws.FILTER($F$5:$F$127, $F$5:$F$127 &gt; F53)))</f>
        <v>1</v>
      </c>
      <c r="B53" s="56" t="s">
        <v>96</v>
      </c>
      <c r="C53" s="27"/>
      <c r="D53" s="53"/>
      <c r="E53" s="59"/>
      <c r="F53" s="54"/>
      <c r="G53" s="28"/>
      <c r="H53" s="55"/>
    </row>
    <row r="54" spans="1:8" ht="15.75" x14ac:dyDescent="0.2">
      <c r="A54" s="27">
        <f t="array" ref="A54">1+COUNT(_xlfn.UNIQUE(_xlfn._xlws.FILTER($F$5:$F$127, $F$5:$F$127 &gt; F54)))</f>
        <v>1</v>
      </c>
      <c r="B54" s="56" t="s">
        <v>108</v>
      </c>
      <c r="C54" s="27"/>
      <c r="D54" s="53"/>
      <c r="E54" s="59"/>
      <c r="F54" s="54"/>
      <c r="G54" s="28"/>
      <c r="H54" s="55"/>
    </row>
    <row r="55" spans="1:8" ht="15.75" x14ac:dyDescent="0.2">
      <c r="A55" s="27">
        <f t="array" ref="A55">1+COUNT(_xlfn.UNIQUE(_xlfn._xlws.FILTER($F$5:$F$127, $F$5:$F$127 &gt; F55)))</f>
        <v>1</v>
      </c>
      <c r="B55" s="56" t="s">
        <v>104</v>
      </c>
      <c r="C55" s="27"/>
      <c r="D55" s="53"/>
      <c r="E55" s="59"/>
      <c r="F55" s="54"/>
      <c r="G55" s="28"/>
      <c r="H55" s="55"/>
    </row>
    <row r="56" spans="1:8" ht="15.75" x14ac:dyDescent="0.2">
      <c r="A56" s="27">
        <f t="array" ref="A56">1+COUNT(_xlfn.UNIQUE(_xlfn._xlws.FILTER($F$5:$F$127, $F$5:$F$127 &gt; F56)))</f>
        <v>1</v>
      </c>
      <c r="B56" s="56" t="s">
        <v>106</v>
      </c>
      <c r="C56" s="27"/>
      <c r="D56" s="53"/>
      <c r="E56" s="59"/>
      <c r="F56" s="54"/>
      <c r="G56" s="28"/>
      <c r="H56" s="55"/>
    </row>
    <row r="57" spans="1:8" ht="15.75" x14ac:dyDescent="0.2">
      <c r="A57" s="27">
        <f t="array" ref="A57">1+COUNT(_xlfn.UNIQUE(_xlfn._xlws.FILTER($F$5:$F$127, $F$5:$F$127 &gt; F57)))</f>
        <v>1</v>
      </c>
      <c r="B57" s="56" t="s">
        <v>7</v>
      </c>
      <c r="C57" s="27"/>
      <c r="D57" s="53"/>
      <c r="E57" s="59"/>
      <c r="F57" s="54"/>
      <c r="G57" s="28"/>
      <c r="H57" s="55"/>
    </row>
    <row r="58" spans="1:8" ht="15.75" x14ac:dyDescent="0.2">
      <c r="A58" s="27">
        <f t="array" ref="A58">1+COUNT(_xlfn.UNIQUE(_xlfn._xlws.FILTER($F$5:$F$127, $F$5:$F$127 &gt; F58)))</f>
        <v>1</v>
      </c>
      <c r="B58" s="56" t="s">
        <v>95</v>
      </c>
      <c r="C58" s="27"/>
      <c r="D58" s="53"/>
      <c r="E58" s="59"/>
      <c r="F58" s="54"/>
      <c r="G58" s="28"/>
      <c r="H58" s="55"/>
    </row>
    <row r="59" spans="1:8" ht="15.75" x14ac:dyDescent="0.2">
      <c r="A59" s="27">
        <f t="array" ref="A59">1+COUNT(_xlfn.UNIQUE(_xlfn._xlws.FILTER($F$5:$F$127, $F$5:$F$127 &gt; F59)))</f>
        <v>1</v>
      </c>
      <c r="B59" s="56" t="s">
        <v>30</v>
      </c>
      <c r="C59" s="27"/>
      <c r="D59" s="53"/>
      <c r="E59" s="59"/>
      <c r="F59" s="54"/>
      <c r="G59" s="28"/>
      <c r="H59" s="55"/>
    </row>
    <row r="60" spans="1:8" ht="15.75" x14ac:dyDescent="0.2">
      <c r="A60" s="27">
        <f t="array" ref="A60">1+COUNT(_xlfn.UNIQUE(_xlfn._xlws.FILTER($F$5:$F$127, $F$5:$F$127 &gt; F60)))</f>
        <v>1</v>
      </c>
      <c r="B60" s="56" t="s">
        <v>80</v>
      </c>
      <c r="C60" s="27"/>
      <c r="D60" s="53"/>
      <c r="E60" s="59"/>
      <c r="F60" s="54"/>
      <c r="G60" s="28"/>
      <c r="H60" s="55"/>
    </row>
    <row r="61" spans="1:8" ht="15.75" x14ac:dyDescent="0.2">
      <c r="A61" s="27">
        <f t="array" ref="A61">1+COUNT(_xlfn.UNIQUE(_xlfn._xlws.FILTER($F$5:$F$127, $F$5:$F$127 &gt; F61)))</f>
        <v>1</v>
      </c>
      <c r="B61" s="56" t="s">
        <v>82</v>
      </c>
      <c r="C61" s="27"/>
      <c r="D61" s="53"/>
      <c r="E61" s="59"/>
      <c r="F61" s="54"/>
      <c r="G61" s="28"/>
      <c r="H61" s="55"/>
    </row>
    <row r="62" spans="1:8" ht="15.75" x14ac:dyDescent="0.2">
      <c r="A62" s="27">
        <f t="array" ref="A62">1+COUNT(_xlfn.UNIQUE(_xlfn._xlws.FILTER($F$5:$F$127, $F$5:$F$127 &gt; F62)))</f>
        <v>1</v>
      </c>
      <c r="B62" s="56" t="s">
        <v>47</v>
      </c>
      <c r="C62" s="27"/>
      <c r="D62" s="53"/>
      <c r="E62" s="59"/>
      <c r="F62" s="54"/>
      <c r="G62" s="28"/>
      <c r="H62" s="55"/>
    </row>
    <row r="63" spans="1:8" ht="15.75" x14ac:dyDescent="0.2">
      <c r="A63" s="27">
        <f t="array" ref="A63">1+COUNT(_xlfn.UNIQUE(_xlfn._xlws.FILTER($F$5:$F$127, $F$5:$F$127 &gt; F63)))</f>
        <v>1</v>
      </c>
      <c r="B63" s="56" t="s">
        <v>28</v>
      </c>
      <c r="C63" s="27"/>
      <c r="D63" s="53"/>
      <c r="E63" s="59"/>
      <c r="F63" s="54"/>
      <c r="G63" s="28"/>
      <c r="H63" s="55"/>
    </row>
    <row r="64" spans="1:8" ht="15.75" x14ac:dyDescent="0.2">
      <c r="A64" s="27">
        <f t="array" ref="A64">1+COUNT(_xlfn.UNIQUE(_xlfn._xlws.FILTER($F$5:$F$127, $F$5:$F$127 &gt; F64)))</f>
        <v>1</v>
      </c>
      <c r="B64" s="56" t="s">
        <v>107</v>
      </c>
      <c r="C64" s="27"/>
      <c r="D64" s="53"/>
      <c r="E64" s="59"/>
      <c r="F64" s="54"/>
      <c r="G64" s="28"/>
      <c r="H64" s="55"/>
    </row>
    <row r="65" spans="1:8" ht="15.75" x14ac:dyDescent="0.2">
      <c r="A65" s="27">
        <f t="array" ref="A65">1+COUNT(_xlfn.UNIQUE(_xlfn._xlws.FILTER($F$5:$F$127, $F$5:$F$127 &gt; F65)))</f>
        <v>1</v>
      </c>
      <c r="B65" s="56" t="s">
        <v>105</v>
      </c>
      <c r="C65" s="27"/>
      <c r="D65" s="53"/>
      <c r="E65" s="59"/>
      <c r="F65" s="54"/>
      <c r="G65" s="28"/>
      <c r="H65" s="55"/>
    </row>
    <row r="66" spans="1:8" ht="15.75" x14ac:dyDescent="0.2">
      <c r="A66" s="27">
        <f t="array" ref="A66">1+COUNT(_xlfn.UNIQUE(_xlfn._xlws.FILTER($F$5:$F$127, $F$5:$F$127 &gt; F66)))</f>
        <v>1</v>
      </c>
      <c r="B66" s="56" t="s">
        <v>97</v>
      </c>
      <c r="C66" s="27"/>
      <c r="D66" s="53"/>
      <c r="E66" s="59"/>
      <c r="F66" s="54"/>
      <c r="G66" s="28"/>
      <c r="H66" s="55"/>
    </row>
    <row r="67" spans="1:8" ht="15.75" x14ac:dyDescent="0.2">
      <c r="A67" s="27">
        <f t="array" ref="A67">1+COUNT(_xlfn.UNIQUE(_xlfn._xlws.FILTER($F$5:$F$127, $F$5:$F$127 &gt; F67)))</f>
        <v>1</v>
      </c>
      <c r="B67" s="56" t="s">
        <v>76</v>
      </c>
      <c r="C67" s="27"/>
      <c r="D67" s="53"/>
      <c r="E67" s="59"/>
      <c r="F67" s="54"/>
      <c r="G67" s="28"/>
      <c r="H67" s="55"/>
    </row>
    <row r="68" spans="1:8" ht="15.75" x14ac:dyDescent="0.2">
      <c r="A68" s="27">
        <f t="array" ref="A68">1+COUNT(_xlfn.UNIQUE(_xlfn._xlws.FILTER($F$5:$F$127, $F$5:$F$127 &gt; F68)))</f>
        <v>1</v>
      </c>
      <c r="B68" s="56" t="s">
        <v>118</v>
      </c>
      <c r="C68" s="27"/>
      <c r="D68" s="53"/>
      <c r="E68" s="59"/>
      <c r="F68" s="54"/>
      <c r="G68" s="28"/>
      <c r="H68" s="55"/>
    </row>
    <row r="69" spans="1:8" ht="15.75" x14ac:dyDescent="0.2">
      <c r="A69" s="27">
        <f t="array" ref="A69">1+COUNT(_xlfn.UNIQUE(_xlfn._xlws.FILTER($F$5:$F$127, $F$5:$F$127 &gt; F69)))</f>
        <v>1</v>
      </c>
      <c r="B69" s="56" t="s">
        <v>43</v>
      </c>
      <c r="C69" s="27"/>
      <c r="D69" s="53"/>
      <c r="E69" s="59"/>
      <c r="F69" s="54"/>
      <c r="G69" s="28"/>
      <c r="H69" s="55"/>
    </row>
    <row r="70" spans="1:8" ht="15.75" x14ac:dyDescent="0.2">
      <c r="A70" s="27">
        <f t="array" ref="A70">1+COUNT(_xlfn.UNIQUE(_xlfn._xlws.FILTER($F$5:$F$127, $F$5:$F$127 &gt; F70)))</f>
        <v>1</v>
      </c>
      <c r="B70" s="56" t="s">
        <v>73</v>
      </c>
      <c r="C70" s="27"/>
      <c r="D70" s="53"/>
      <c r="E70" s="59"/>
      <c r="F70" s="54"/>
      <c r="G70" s="28"/>
      <c r="H70" s="55"/>
    </row>
    <row r="71" spans="1:8" ht="15.75" x14ac:dyDescent="0.2">
      <c r="A71" s="27">
        <f t="array" ref="A71">1+COUNT(_xlfn.UNIQUE(_xlfn._xlws.FILTER($F$5:$F$127, $F$5:$F$127 &gt; F71)))</f>
        <v>1</v>
      </c>
      <c r="B71" s="56" t="s">
        <v>23</v>
      </c>
      <c r="C71" s="27"/>
      <c r="D71" s="53"/>
      <c r="E71" s="59"/>
      <c r="F71" s="54"/>
      <c r="G71" s="28"/>
      <c r="H71" s="55"/>
    </row>
    <row r="72" spans="1:8" ht="15.75" x14ac:dyDescent="0.2">
      <c r="A72" s="27">
        <f t="array" ref="A72">1+COUNT(_xlfn.UNIQUE(_xlfn._xlws.FILTER($F$5:$F$127, $F$5:$F$127 &gt; F72)))</f>
        <v>1</v>
      </c>
      <c r="B72" s="56" t="s">
        <v>114</v>
      </c>
      <c r="C72" s="27"/>
      <c r="D72" s="53"/>
      <c r="E72" s="59"/>
      <c r="F72" s="54"/>
      <c r="G72" s="28"/>
      <c r="H72" s="55"/>
    </row>
    <row r="73" spans="1:8" ht="15.75" x14ac:dyDescent="0.2">
      <c r="A73" s="27">
        <f t="array" ref="A73">1+COUNT(_xlfn.UNIQUE(_xlfn._xlws.FILTER($F$5:$F$127, $F$5:$F$127 &gt; F73)))</f>
        <v>1</v>
      </c>
      <c r="B73" s="56" t="s">
        <v>85</v>
      </c>
      <c r="C73" s="27"/>
      <c r="D73" s="53"/>
      <c r="E73" s="59"/>
      <c r="F73" s="54"/>
      <c r="G73" s="28"/>
      <c r="H73" s="55"/>
    </row>
    <row r="74" spans="1:8" ht="15.75" x14ac:dyDescent="0.2">
      <c r="A74" s="27">
        <f t="array" ref="A74">1+COUNT(_xlfn.UNIQUE(_xlfn._xlws.FILTER($F$5:$F$127, $F$5:$F$127 &gt; F74)))</f>
        <v>1</v>
      </c>
      <c r="B74" s="56" t="s">
        <v>60</v>
      </c>
      <c r="C74" s="27"/>
      <c r="D74" s="53"/>
      <c r="E74" s="59"/>
      <c r="F74" s="54"/>
      <c r="G74" s="28"/>
      <c r="H74" s="55"/>
    </row>
    <row r="75" spans="1:8" ht="15.75" x14ac:dyDescent="0.2">
      <c r="A75" s="27">
        <f t="array" ref="A75">1+COUNT(_xlfn.UNIQUE(_xlfn._xlws.FILTER($F$5:$F$127, $F$5:$F$127 &gt; F75)))</f>
        <v>1</v>
      </c>
      <c r="B75" s="56" t="s">
        <v>44</v>
      </c>
      <c r="C75" s="27"/>
      <c r="D75" s="53"/>
      <c r="E75" s="59"/>
      <c r="F75" s="54"/>
      <c r="G75" s="28"/>
      <c r="H75" s="55"/>
    </row>
    <row r="76" spans="1:8" ht="15.75" x14ac:dyDescent="0.2">
      <c r="A76" s="27">
        <f t="array" ref="A76">1+COUNT(_xlfn.UNIQUE(_xlfn._xlws.FILTER($F$5:$F$127, $F$5:$F$127 &gt; F76)))</f>
        <v>1</v>
      </c>
      <c r="B76" s="56" t="s">
        <v>91</v>
      </c>
      <c r="C76" s="27"/>
      <c r="D76" s="53"/>
      <c r="E76" s="59"/>
      <c r="F76" s="54"/>
      <c r="G76" s="28"/>
      <c r="H76" s="55"/>
    </row>
    <row r="77" spans="1:8" ht="15.75" x14ac:dyDescent="0.2">
      <c r="A77" s="27">
        <f t="array" ref="A77">1+COUNT(_xlfn.UNIQUE(_xlfn._xlws.FILTER($F$5:$F$127, $F$5:$F$127 &gt; F77)))</f>
        <v>1</v>
      </c>
      <c r="B77" s="56" t="s">
        <v>10</v>
      </c>
      <c r="C77" s="27"/>
      <c r="D77" s="53"/>
      <c r="E77" s="59"/>
      <c r="F77" s="54"/>
      <c r="G77" s="28"/>
      <c r="H77" s="55"/>
    </row>
    <row r="78" spans="1:8" ht="15.75" x14ac:dyDescent="0.2">
      <c r="A78" s="27">
        <f t="array" ref="A78">1+COUNT(_xlfn.UNIQUE(_xlfn._xlws.FILTER($F$5:$F$127, $F$5:$F$127 &gt; F78)))</f>
        <v>1</v>
      </c>
      <c r="B78" s="56" t="s">
        <v>6</v>
      </c>
      <c r="C78" s="27"/>
      <c r="D78" s="53"/>
      <c r="E78" s="59"/>
      <c r="F78" s="54"/>
      <c r="G78" s="28"/>
      <c r="H78" s="55"/>
    </row>
    <row r="79" spans="1:8" ht="15.75" x14ac:dyDescent="0.2">
      <c r="A79" s="27">
        <f t="array" ref="A79">1+COUNT(_xlfn.UNIQUE(_xlfn._xlws.FILTER($F$5:$F$127, $F$5:$F$127 &gt; F79)))</f>
        <v>1</v>
      </c>
      <c r="B79" s="56" t="s">
        <v>67</v>
      </c>
      <c r="C79" s="27"/>
      <c r="D79" s="53"/>
      <c r="E79" s="59"/>
      <c r="F79" s="54"/>
      <c r="G79" s="28"/>
      <c r="H79" s="55"/>
    </row>
    <row r="80" spans="1:8" ht="15.75" x14ac:dyDescent="0.2">
      <c r="A80" s="27">
        <f t="array" ref="A80">1+COUNT(_xlfn.UNIQUE(_xlfn._xlws.FILTER($F$5:$F$127, $F$5:$F$127 &gt; F80)))</f>
        <v>1</v>
      </c>
      <c r="B80" s="56" t="s">
        <v>109</v>
      </c>
      <c r="C80" s="27"/>
      <c r="D80" s="53"/>
      <c r="E80" s="59"/>
      <c r="F80" s="54"/>
      <c r="G80" s="28"/>
      <c r="H80" s="55"/>
    </row>
    <row r="81" spans="1:8" ht="15.75" x14ac:dyDescent="0.2">
      <c r="A81" s="27">
        <f t="array" ref="A81">1+COUNT(_xlfn.UNIQUE(_xlfn._xlws.FILTER($F$5:$F$127, $F$5:$F$127 &gt; F81)))</f>
        <v>1</v>
      </c>
      <c r="B81" s="56" t="s">
        <v>32</v>
      </c>
      <c r="C81" s="27"/>
      <c r="D81" s="53"/>
      <c r="E81" s="59"/>
      <c r="F81" s="54"/>
      <c r="G81" s="28"/>
      <c r="H81" s="55"/>
    </row>
    <row r="82" spans="1:8" ht="15.75" x14ac:dyDescent="0.2">
      <c r="A82" s="27">
        <f t="array" ref="A82">1+COUNT(_xlfn.UNIQUE(_xlfn._xlws.FILTER($F$5:$F$127, $F$5:$F$127 &gt; F82)))</f>
        <v>1</v>
      </c>
      <c r="B82" s="56" t="s">
        <v>54</v>
      </c>
      <c r="C82" s="27"/>
      <c r="D82" s="53"/>
      <c r="E82" s="59"/>
      <c r="F82" s="54"/>
      <c r="G82" s="28"/>
      <c r="H82" s="55"/>
    </row>
    <row r="83" spans="1:8" ht="15.75" x14ac:dyDescent="0.2">
      <c r="A83" s="27">
        <f t="array" ref="A83">1+COUNT(_xlfn.UNIQUE(_xlfn._xlws.FILTER($F$5:$F$127, $F$5:$F$127 &gt; F83)))</f>
        <v>1</v>
      </c>
      <c r="B83" s="56" t="s">
        <v>62</v>
      </c>
      <c r="C83" s="27"/>
      <c r="D83" s="53"/>
      <c r="E83" s="59"/>
      <c r="F83" s="54"/>
      <c r="G83" s="28"/>
      <c r="H83" s="55"/>
    </row>
    <row r="84" spans="1:8" ht="15.75" x14ac:dyDescent="0.2">
      <c r="A84" s="27">
        <f t="array" ref="A84">1+COUNT(_xlfn.UNIQUE(_xlfn._xlws.FILTER($F$5:$F$127, $F$5:$F$127 &gt; F84)))</f>
        <v>1</v>
      </c>
      <c r="B84" s="56" t="s">
        <v>74</v>
      </c>
      <c r="C84" s="27"/>
      <c r="D84" s="53"/>
      <c r="E84" s="59"/>
      <c r="F84" s="54"/>
      <c r="G84" s="28"/>
      <c r="H84" s="55"/>
    </row>
    <row r="85" spans="1:8" ht="15.75" x14ac:dyDescent="0.2">
      <c r="A85" s="27">
        <f t="array" ref="A85">1+COUNT(_xlfn.UNIQUE(_xlfn._xlws.FILTER($F$5:$F$127, $F$5:$F$127 &gt; F85)))</f>
        <v>1</v>
      </c>
      <c r="B85" s="56" t="s">
        <v>42</v>
      </c>
      <c r="C85" s="27"/>
      <c r="D85" s="53"/>
      <c r="E85" s="59"/>
      <c r="F85" s="54"/>
      <c r="G85" s="28"/>
      <c r="H85" s="55"/>
    </row>
    <row r="86" spans="1:8" ht="15.75" x14ac:dyDescent="0.2">
      <c r="A86" s="27">
        <f t="array" ref="A86">1+COUNT(_xlfn.UNIQUE(_xlfn._xlws.FILTER($F$5:$F$127, $F$5:$F$127 &gt; F86)))</f>
        <v>1</v>
      </c>
      <c r="B86" s="56" t="s">
        <v>31</v>
      </c>
      <c r="C86" s="27"/>
      <c r="D86" s="53"/>
      <c r="E86" s="59"/>
      <c r="F86" s="54"/>
      <c r="G86" s="28"/>
      <c r="H86" s="55"/>
    </row>
    <row r="87" spans="1:8" ht="15.75" x14ac:dyDescent="0.2">
      <c r="A87" s="27">
        <f t="array" ref="A87">1+COUNT(_xlfn.UNIQUE(_xlfn._xlws.FILTER($F$5:$F$127, $F$5:$F$127 &gt; F87)))</f>
        <v>1</v>
      </c>
      <c r="B87" s="56" t="s">
        <v>16</v>
      </c>
      <c r="C87" s="27"/>
      <c r="D87" s="53"/>
      <c r="E87" s="59"/>
      <c r="F87" s="54"/>
      <c r="G87" s="28"/>
      <c r="H87" s="55"/>
    </row>
    <row r="88" spans="1:8" ht="15.75" x14ac:dyDescent="0.2">
      <c r="A88" s="27">
        <f t="array" ref="A88">1+COUNT(_xlfn.UNIQUE(_xlfn._xlws.FILTER($F$5:$F$127, $F$5:$F$127 &gt; F88)))</f>
        <v>1</v>
      </c>
      <c r="B88" s="56" t="s">
        <v>72</v>
      </c>
      <c r="C88" s="27"/>
      <c r="D88" s="53"/>
      <c r="E88" s="59"/>
      <c r="F88" s="54"/>
      <c r="G88" s="28"/>
      <c r="H88" s="55"/>
    </row>
    <row r="89" spans="1:8" ht="15.75" x14ac:dyDescent="0.2">
      <c r="A89" s="27">
        <f t="array" ref="A89">1+COUNT(_xlfn.UNIQUE(_xlfn._xlws.FILTER($F$5:$F$127, $F$5:$F$127 &gt; F89)))</f>
        <v>1</v>
      </c>
      <c r="B89" s="56" t="s">
        <v>63</v>
      </c>
      <c r="C89" s="27"/>
      <c r="D89" s="53"/>
      <c r="E89" s="59"/>
      <c r="F89" s="54"/>
      <c r="G89" s="28"/>
      <c r="H89" s="55"/>
    </row>
    <row r="90" spans="1:8" ht="15.75" x14ac:dyDescent="0.2">
      <c r="A90" s="27">
        <f t="array" ref="A90">1+COUNT(_xlfn.UNIQUE(_xlfn._xlws.FILTER($F$5:$F$127, $F$5:$F$127 &gt; F90)))</f>
        <v>1</v>
      </c>
      <c r="B90" s="56" t="s">
        <v>52</v>
      </c>
      <c r="C90" s="27"/>
      <c r="D90" s="53"/>
      <c r="E90" s="59"/>
      <c r="F90" s="54"/>
      <c r="G90" s="28"/>
      <c r="H90" s="55"/>
    </row>
    <row r="91" spans="1:8" ht="15.75" x14ac:dyDescent="0.2">
      <c r="A91" s="27">
        <f t="array" ref="A91">1+COUNT(_xlfn.UNIQUE(_xlfn._xlws.FILTER($F$5:$F$127, $F$5:$F$127 &gt; F91)))</f>
        <v>1</v>
      </c>
      <c r="B91" s="56" t="s">
        <v>9</v>
      </c>
      <c r="C91" s="27"/>
      <c r="D91" s="53"/>
      <c r="E91" s="59"/>
      <c r="F91" s="54"/>
      <c r="G91" s="28"/>
      <c r="H91" s="55"/>
    </row>
    <row r="92" spans="1:8" ht="15.75" x14ac:dyDescent="0.2">
      <c r="A92" s="27">
        <f t="array" ref="A92">1+COUNT(_xlfn.UNIQUE(_xlfn._xlws.FILTER($F$5:$F$127, $F$5:$F$127 &gt; F92)))</f>
        <v>1</v>
      </c>
      <c r="B92" s="56" t="s">
        <v>83</v>
      </c>
      <c r="C92" s="27"/>
      <c r="D92" s="53"/>
      <c r="E92" s="59"/>
      <c r="F92" s="54"/>
      <c r="G92" s="28"/>
      <c r="H92" s="55"/>
    </row>
    <row r="93" spans="1:8" ht="15.75" x14ac:dyDescent="0.2">
      <c r="A93" s="27">
        <f t="array" ref="A93">1+COUNT(_xlfn.UNIQUE(_xlfn._xlws.FILTER($F$5:$F$127, $F$5:$F$127 &gt; F93)))</f>
        <v>1</v>
      </c>
      <c r="B93" s="56" t="s">
        <v>117</v>
      </c>
      <c r="C93" s="27"/>
      <c r="D93" s="53"/>
      <c r="E93" s="59"/>
      <c r="F93" s="54"/>
      <c r="G93" s="28"/>
      <c r="H93" s="55"/>
    </row>
    <row r="94" spans="1:8" ht="15.75" x14ac:dyDescent="0.2">
      <c r="A94" s="27">
        <f t="array" ref="A94">1+COUNT(_xlfn.UNIQUE(_xlfn._xlws.FILTER($F$5:$F$127, $F$5:$F$127 &gt; F94)))</f>
        <v>1</v>
      </c>
      <c r="B94" s="56" t="s">
        <v>45</v>
      </c>
      <c r="C94" s="27"/>
      <c r="D94" s="53"/>
      <c r="E94" s="59"/>
      <c r="F94" s="54"/>
      <c r="G94" s="28"/>
      <c r="H94" s="55"/>
    </row>
    <row r="95" spans="1:8" ht="15.75" x14ac:dyDescent="0.2">
      <c r="A95" s="27">
        <f t="array" ref="A95">1+COUNT(_xlfn.UNIQUE(_xlfn._xlws.FILTER($F$5:$F$127, $F$5:$F$127 &gt; F95)))</f>
        <v>1</v>
      </c>
      <c r="B95" s="56" t="s">
        <v>51</v>
      </c>
      <c r="C95" s="27"/>
      <c r="D95" s="53"/>
      <c r="E95" s="59"/>
      <c r="F95" s="54"/>
      <c r="G95" s="28"/>
      <c r="H95" s="55"/>
    </row>
    <row r="96" spans="1:8" ht="15.75" x14ac:dyDescent="0.2">
      <c r="A96" s="27">
        <f t="array" ref="A96">1+COUNT(_xlfn.UNIQUE(_xlfn._xlws.FILTER($F$5:$F$127, $F$5:$F$127 &gt; F96)))</f>
        <v>1</v>
      </c>
      <c r="B96" s="56" t="s">
        <v>8</v>
      </c>
      <c r="C96" s="27"/>
      <c r="D96" s="53"/>
      <c r="E96" s="59"/>
      <c r="F96" s="54"/>
      <c r="G96" s="28"/>
      <c r="H96" s="55"/>
    </row>
    <row r="97" spans="1:8" ht="15.75" x14ac:dyDescent="0.2">
      <c r="A97" s="27">
        <f t="array" ref="A97">1+COUNT(_xlfn.UNIQUE(_xlfn._xlws.FILTER($F$5:$F$127, $F$5:$F$127 &gt; F97)))</f>
        <v>1</v>
      </c>
      <c r="B97" s="56" t="s">
        <v>86</v>
      </c>
      <c r="C97" s="27"/>
      <c r="D97" s="53"/>
      <c r="E97" s="59"/>
      <c r="F97" s="54"/>
      <c r="G97" s="28"/>
      <c r="H97" s="55"/>
    </row>
    <row r="98" spans="1:8" ht="15.75" x14ac:dyDescent="0.2">
      <c r="A98" s="27">
        <f t="array" ref="A98">1+COUNT(_xlfn.UNIQUE(_xlfn._xlws.FILTER($F$5:$F$127, $F$5:$F$127 &gt; F98)))</f>
        <v>1</v>
      </c>
      <c r="B98" s="56" t="s">
        <v>100</v>
      </c>
      <c r="C98" s="27"/>
      <c r="D98" s="53"/>
      <c r="E98" s="59"/>
      <c r="F98" s="54"/>
      <c r="G98" s="28"/>
      <c r="H98" s="55"/>
    </row>
    <row r="99" spans="1:8" ht="15.75" x14ac:dyDescent="0.2">
      <c r="A99" s="27">
        <f t="array" ref="A99">1+COUNT(_xlfn.UNIQUE(_xlfn._xlws.FILTER($F$5:$F$127, $F$5:$F$127 &gt; F99)))</f>
        <v>1</v>
      </c>
      <c r="B99" s="56" t="s">
        <v>122</v>
      </c>
      <c r="C99" s="27"/>
      <c r="D99" s="53"/>
      <c r="E99" s="59"/>
      <c r="F99" s="54"/>
      <c r="G99" s="28"/>
      <c r="H99" s="55"/>
    </row>
    <row r="100" spans="1:8" ht="15.75" x14ac:dyDescent="0.2">
      <c r="A100" s="27">
        <f t="array" ref="A100">1+COUNT(_xlfn.UNIQUE(_xlfn._xlws.FILTER($F$5:$F$127, $F$5:$F$127 &gt; F100)))</f>
        <v>1</v>
      </c>
      <c r="B100" s="56" t="s">
        <v>103</v>
      </c>
      <c r="C100" s="27"/>
      <c r="D100" s="53"/>
      <c r="E100" s="59"/>
      <c r="F100" s="54"/>
      <c r="G100" s="28"/>
      <c r="H100" s="55"/>
    </row>
    <row r="101" spans="1:8" ht="15.75" x14ac:dyDescent="0.2">
      <c r="A101" s="27">
        <f t="array" ref="A101">1+COUNT(_xlfn.UNIQUE(_xlfn._xlws.FILTER($F$5:$F$127, $F$5:$F$127 &gt; F101)))</f>
        <v>1</v>
      </c>
      <c r="B101" s="56" t="s">
        <v>115</v>
      </c>
      <c r="C101" s="27"/>
      <c r="D101" s="53"/>
      <c r="E101" s="59"/>
      <c r="F101" s="54"/>
      <c r="G101" s="28"/>
      <c r="H101" s="55"/>
    </row>
    <row r="102" spans="1:8" ht="15.75" x14ac:dyDescent="0.2">
      <c r="A102" s="27">
        <f t="array" ref="A102">1+COUNT(_xlfn.UNIQUE(_xlfn._xlws.FILTER($F$5:$F$127, $F$5:$F$127 &gt; F102)))</f>
        <v>1</v>
      </c>
      <c r="B102" s="56" t="s">
        <v>14</v>
      </c>
      <c r="C102" s="27"/>
      <c r="D102" s="53"/>
      <c r="E102" s="59"/>
      <c r="F102" s="54"/>
      <c r="G102" s="28"/>
      <c r="H102" s="55"/>
    </row>
    <row r="103" spans="1:8" ht="15.75" x14ac:dyDescent="0.2">
      <c r="A103" s="27">
        <f t="array" ref="A103">1+COUNT(_xlfn.UNIQUE(_xlfn._xlws.FILTER($F$5:$F$127, $F$5:$F$127 &gt; F103)))</f>
        <v>1</v>
      </c>
      <c r="B103" s="56" t="s">
        <v>90</v>
      </c>
      <c r="C103" s="27"/>
      <c r="D103" s="53"/>
      <c r="E103" s="59"/>
      <c r="F103" s="54"/>
      <c r="G103" s="28"/>
      <c r="H103" s="55"/>
    </row>
    <row r="104" spans="1:8" ht="15.75" x14ac:dyDescent="0.2">
      <c r="A104" s="27">
        <f t="array" ref="A104">1+COUNT(_xlfn.UNIQUE(_xlfn._xlws.FILTER($F$5:$F$127, $F$5:$F$127 &gt; F104)))</f>
        <v>1</v>
      </c>
      <c r="B104" s="56" t="s">
        <v>84</v>
      </c>
      <c r="C104" s="27"/>
      <c r="D104" s="53"/>
      <c r="E104" s="59"/>
      <c r="F104" s="54"/>
      <c r="G104" s="28"/>
      <c r="H104" s="55"/>
    </row>
    <row r="105" spans="1:8" ht="15.75" x14ac:dyDescent="0.2">
      <c r="A105" s="27">
        <f t="array" ref="A105">1+COUNT(_xlfn.UNIQUE(_xlfn._xlws.FILTER($F$5:$F$127, $F$5:$F$127 &gt; F105)))</f>
        <v>1</v>
      </c>
      <c r="B105" s="56" t="s">
        <v>101</v>
      </c>
      <c r="C105" s="27"/>
      <c r="D105" s="53"/>
      <c r="E105" s="59"/>
      <c r="F105" s="54"/>
      <c r="G105" s="28"/>
      <c r="H105" s="55"/>
    </row>
    <row r="106" spans="1:8" ht="15.75" x14ac:dyDescent="0.2">
      <c r="A106" s="27">
        <f t="array" ref="A106">1+COUNT(_xlfn.UNIQUE(_xlfn._xlws.FILTER($F$5:$F$127, $F$5:$F$127 &gt; F106)))</f>
        <v>1</v>
      </c>
      <c r="B106" s="56" t="s">
        <v>55</v>
      </c>
      <c r="C106" s="27"/>
      <c r="D106" s="53"/>
      <c r="E106" s="59"/>
      <c r="F106" s="54"/>
      <c r="G106" s="28"/>
      <c r="H106" s="55"/>
    </row>
    <row r="107" spans="1:8" ht="15.75" x14ac:dyDescent="0.2">
      <c r="A107" s="27">
        <f t="array" ref="A107">1+COUNT(_xlfn.UNIQUE(_xlfn._xlws.FILTER($F$5:$F$127, $F$5:$F$127 &gt; F107)))</f>
        <v>1</v>
      </c>
      <c r="B107" s="56" t="s">
        <v>48</v>
      </c>
      <c r="C107" s="27"/>
      <c r="D107" s="53"/>
      <c r="E107" s="59"/>
      <c r="F107" s="54"/>
      <c r="G107" s="28"/>
      <c r="H107" s="55"/>
    </row>
    <row r="108" spans="1:8" ht="15.75" x14ac:dyDescent="0.2">
      <c r="A108" s="27">
        <f t="array" ref="A108">1+COUNT(_xlfn.UNIQUE(_xlfn._xlws.FILTER($F$5:$F$127, $F$5:$F$127 &gt; F108)))</f>
        <v>1</v>
      </c>
      <c r="B108" s="56" t="s">
        <v>12</v>
      </c>
      <c r="C108" s="27"/>
      <c r="D108" s="53"/>
      <c r="E108" s="59"/>
      <c r="F108" s="54"/>
      <c r="G108" s="28"/>
      <c r="H108" s="55"/>
    </row>
    <row r="109" spans="1:8" ht="15.75" x14ac:dyDescent="0.2">
      <c r="A109" s="27">
        <f t="array" ref="A109">1+COUNT(_xlfn.UNIQUE(_xlfn._xlws.FILTER($F$5:$F$127, $F$5:$F$127 &gt; F109)))</f>
        <v>1</v>
      </c>
      <c r="B109" s="56" t="s">
        <v>34</v>
      </c>
      <c r="C109" s="27"/>
      <c r="D109" s="53"/>
      <c r="E109" s="59"/>
      <c r="F109" s="54"/>
      <c r="G109" s="28"/>
      <c r="H109" s="55"/>
    </row>
    <row r="110" spans="1:8" ht="15.75" x14ac:dyDescent="0.2">
      <c r="A110" s="27">
        <f t="array" ref="A110">1+COUNT(_xlfn.UNIQUE(_xlfn._xlws.FILTER($F$5:$F$127, $F$5:$F$127 &gt; F110)))</f>
        <v>1</v>
      </c>
      <c r="B110" s="56" t="s">
        <v>120</v>
      </c>
      <c r="C110" s="27"/>
      <c r="D110" s="53"/>
      <c r="E110" s="59"/>
      <c r="F110" s="54"/>
      <c r="G110" s="28"/>
      <c r="H110" s="55"/>
    </row>
    <row r="111" spans="1:8" ht="15.75" x14ac:dyDescent="0.2">
      <c r="A111" s="27">
        <f t="array" ref="A111">1+COUNT(_xlfn.UNIQUE(_xlfn._xlws.FILTER($F$5:$F$127, $F$5:$F$127 &gt; F111)))</f>
        <v>1</v>
      </c>
      <c r="B111" s="56" t="s">
        <v>61</v>
      </c>
      <c r="C111" s="27"/>
      <c r="D111" s="53"/>
      <c r="E111" s="59"/>
      <c r="F111" s="54"/>
      <c r="G111" s="28"/>
      <c r="H111" s="55"/>
    </row>
    <row r="112" spans="1:8" ht="15.75" x14ac:dyDescent="0.2">
      <c r="A112" s="27">
        <f t="array" ref="A112">1+COUNT(_xlfn.UNIQUE(_xlfn._xlws.FILTER($F$5:$F$127, $F$5:$F$127 &gt; F112)))</f>
        <v>1</v>
      </c>
      <c r="B112" s="56" t="s">
        <v>20</v>
      </c>
      <c r="C112" s="27"/>
      <c r="D112" s="53"/>
      <c r="E112" s="59"/>
      <c r="F112" s="54"/>
      <c r="G112" s="28"/>
      <c r="H112" s="55"/>
    </row>
    <row r="113" spans="1:8" ht="15.75" x14ac:dyDescent="0.2">
      <c r="A113" s="27">
        <f t="array" ref="A113">1+COUNT(_xlfn.UNIQUE(_xlfn._xlws.FILTER($F$5:$F$127, $F$5:$F$127 &gt; F113)))</f>
        <v>1</v>
      </c>
      <c r="B113" s="56" t="s">
        <v>113</v>
      </c>
      <c r="C113" s="27"/>
      <c r="D113" s="53"/>
      <c r="E113" s="59"/>
      <c r="F113" s="54"/>
      <c r="G113" s="28"/>
      <c r="H113" s="55"/>
    </row>
    <row r="114" spans="1:8" ht="15.75" x14ac:dyDescent="0.2">
      <c r="A114" s="27">
        <f t="array" ref="A114">1+COUNT(_xlfn.UNIQUE(_xlfn._xlws.FILTER($F$5:$F$127, $F$5:$F$127 &gt; F114)))</f>
        <v>1</v>
      </c>
      <c r="B114" s="56" t="s">
        <v>13</v>
      </c>
      <c r="C114" s="27"/>
      <c r="D114" s="53"/>
      <c r="E114" s="59"/>
      <c r="F114" s="54"/>
      <c r="G114" s="28"/>
      <c r="H114" s="55"/>
    </row>
    <row r="115" spans="1:8" ht="15.75" x14ac:dyDescent="0.2">
      <c r="A115" s="27">
        <f t="array" ref="A115">1+COUNT(_xlfn.UNIQUE(_xlfn._xlws.FILTER($F$5:$F$127, $F$5:$F$127 &gt; F115)))</f>
        <v>1</v>
      </c>
      <c r="B115" s="56" t="s">
        <v>18</v>
      </c>
      <c r="C115" s="27"/>
      <c r="D115" s="53"/>
      <c r="E115" s="59"/>
      <c r="F115" s="54"/>
      <c r="G115" s="28"/>
      <c r="H115" s="55"/>
    </row>
    <row r="116" spans="1:8" ht="15.75" x14ac:dyDescent="0.2">
      <c r="A116" s="27">
        <f t="array" ref="A116">1+COUNT(_xlfn.UNIQUE(_xlfn._xlws.FILTER($F$5:$F$127, $F$5:$F$127 &gt; F116)))</f>
        <v>1</v>
      </c>
      <c r="B116" s="56" t="s">
        <v>66</v>
      </c>
      <c r="C116" s="27"/>
      <c r="D116" s="53"/>
      <c r="E116" s="59"/>
      <c r="F116" s="54"/>
      <c r="G116" s="28"/>
      <c r="H116" s="55"/>
    </row>
    <row r="117" spans="1:8" ht="15.75" x14ac:dyDescent="0.2">
      <c r="A117" s="27">
        <f t="array" ref="A117">1+COUNT(_xlfn.UNIQUE(_xlfn._xlws.FILTER($F$5:$F$127, $F$5:$F$127 &gt; F117)))</f>
        <v>1</v>
      </c>
      <c r="B117" s="56" t="s">
        <v>98</v>
      </c>
      <c r="C117" s="27"/>
      <c r="D117" s="53"/>
      <c r="E117" s="59"/>
      <c r="F117" s="54"/>
      <c r="G117" s="28"/>
      <c r="H117" s="55"/>
    </row>
    <row r="118" spans="1:8" ht="15.75" x14ac:dyDescent="0.2">
      <c r="A118" s="27">
        <f t="array" ref="A118">1+COUNT(_xlfn.UNIQUE(_xlfn._xlws.FILTER($F$5:$F$127, $F$5:$F$127 &gt; F118)))</f>
        <v>1</v>
      </c>
      <c r="B118" s="56" t="s">
        <v>75</v>
      </c>
      <c r="C118" s="27"/>
      <c r="D118" s="53"/>
      <c r="E118" s="59"/>
      <c r="F118" s="54"/>
      <c r="G118" s="28"/>
      <c r="H118" s="55"/>
    </row>
    <row r="119" spans="1:8" ht="15.75" x14ac:dyDescent="0.2">
      <c r="A119" s="27">
        <f t="array" ref="A119">1+COUNT(_xlfn.UNIQUE(_xlfn._xlws.FILTER($F$5:$F$127, $F$5:$F$127 &gt; F119)))</f>
        <v>1</v>
      </c>
      <c r="B119" s="56" t="s">
        <v>19</v>
      </c>
      <c r="C119" s="27"/>
      <c r="D119" s="53"/>
      <c r="E119" s="59"/>
      <c r="F119" s="54"/>
      <c r="G119" s="28"/>
      <c r="H119" s="55"/>
    </row>
    <row r="120" spans="1:8" ht="15.75" x14ac:dyDescent="0.2">
      <c r="A120" s="27">
        <f t="array" ref="A120">1+COUNT(_xlfn.UNIQUE(_xlfn._xlws.FILTER($F$5:$F$127, $F$5:$F$127 &gt; F120)))</f>
        <v>1</v>
      </c>
      <c r="B120" s="56" t="s">
        <v>81</v>
      </c>
      <c r="C120" s="27"/>
      <c r="D120" s="53"/>
      <c r="E120" s="59"/>
      <c r="F120" s="54"/>
      <c r="G120" s="28"/>
      <c r="H120" s="55"/>
    </row>
    <row r="121" spans="1:8" ht="15.75" x14ac:dyDescent="0.2">
      <c r="A121" s="27">
        <f t="array" ref="A121">1+COUNT(_xlfn.UNIQUE(_xlfn._xlws.FILTER($F$5:$F$127, $F$5:$F$127 &gt; F121)))</f>
        <v>1</v>
      </c>
      <c r="B121" s="56" t="s">
        <v>88</v>
      </c>
      <c r="C121" s="27"/>
      <c r="D121" s="53"/>
      <c r="E121" s="59"/>
      <c r="F121" s="54"/>
      <c r="G121" s="28"/>
      <c r="H121" s="55"/>
    </row>
    <row r="122" spans="1:8" ht="15.75" x14ac:dyDescent="0.2">
      <c r="A122" s="27">
        <f t="array" ref="A122">1+COUNT(_xlfn.UNIQUE(_xlfn._xlws.FILTER($F$5:$F$127, $F$5:$F$127 &gt; F122)))</f>
        <v>1</v>
      </c>
      <c r="B122" s="56" t="s">
        <v>41</v>
      </c>
      <c r="C122" s="27"/>
      <c r="D122" s="53"/>
      <c r="E122" s="59"/>
      <c r="F122" s="54"/>
      <c r="G122" s="28"/>
      <c r="H122" s="55"/>
    </row>
    <row r="123" spans="1:8" ht="15.75" x14ac:dyDescent="0.2">
      <c r="A123" s="27">
        <f t="array" ref="A123">1+COUNT(_xlfn.UNIQUE(_xlfn._xlws.FILTER($F$5:$F$127, $F$5:$F$127 &gt; F123)))</f>
        <v>1</v>
      </c>
      <c r="B123" s="56" t="s">
        <v>53</v>
      </c>
      <c r="C123" s="27"/>
      <c r="D123" s="53"/>
      <c r="E123" s="59"/>
      <c r="F123" s="54"/>
      <c r="G123" s="28"/>
      <c r="H123" s="55"/>
    </row>
    <row r="124" spans="1:8" ht="15.75" x14ac:dyDescent="0.2">
      <c r="A124" s="27">
        <f t="array" ref="A124">1+COUNT(_xlfn.UNIQUE(_xlfn._xlws.FILTER($F$5:$F$127, $F$5:$F$127 &gt; F124)))</f>
        <v>1</v>
      </c>
      <c r="B124" s="56" t="s">
        <v>1</v>
      </c>
      <c r="C124" s="27"/>
      <c r="D124" s="53"/>
      <c r="E124" s="59"/>
      <c r="F124" s="54"/>
      <c r="G124" s="28"/>
      <c r="H124" s="55"/>
    </row>
    <row r="125" spans="1:8" ht="15.75" x14ac:dyDescent="0.2">
      <c r="A125" s="27">
        <f t="array" ref="A125">1+COUNT(_xlfn.UNIQUE(_xlfn._xlws.FILTER($F$5:$F$127, $F$5:$F$127 &gt; F125)))</f>
        <v>1</v>
      </c>
      <c r="B125" s="56" t="s">
        <v>99</v>
      </c>
      <c r="C125" s="27"/>
      <c r="D125" s="53"/>
      <c r="E125" s="59"/>
      <c r="F125" s="54"/>
      <c r="G125" s="28"/>
      <c r="H125" s="55"/>
    </row>
    <row r="126" spans="1:8" ht="15.75" x14ac:dyDescent="0.2">
      <c r="A126" s="27">
        <f t="array" ref="A126">1+COUNT(_xlfn.UNIQUE(_xlfn._xlws.FILTER($F$5:$F$127, $F$5:$F$127 &gt; F126)))</f>
        <v>1</v>
      </c>
      <c r="B126" s="56" t="s">
        <v>25</v>
      </c>
      <c r="C126" s="27"/>
      <c r="D126" s="53"/>
      <c r="E126" s="59"/>
      <c r="F126" s="54"/>
      <c r="G126" s="28"/>
      <c r="H126" s="55"/>
    </row>
    <row r="127" spans="1:8" ht="15.75" x14ac:dyDescent="0.2">
      <c r="A127" s="27">
        <f t="array" ref="A127">1+COUNT(_xlfn.UNIQUE(_xlfn._xlws.FILTER($F$5:$F$127, $F$5:$F$127 &gt; F127)))</f>
        <v>1</v>
      </c>
      <c r="B127" s="56" t="s">
        <v>121</v>
      </c>
      <c r="C127" s="27"/>
      <c r="D127" s="53"/>
      <c r="E127" s="59"/>
      <c r="F127" s="54"/>
      <c r="G127" s="28"/>
      <c r="H127" s="55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76C3-7BBF-C548-8C49-BC1E4CC49BA8}">
  <dimension ref="A1:H127"/>
  <sheetViews>
    <sheetView workbookViewId="0">
      <selection activeCell="I33" sqref="I33"/>
    </sheetView>
  </sheetViews>
  <sheetFormatPr defaultColWidth="10.85546875" defaultRowHeight="15.75" x14ac:dyDescent="0.25"/>
  <cols>
    <col min="1" max="1" width="10.85546875" style="47"/>
    <col min="2" max="2" width="32" style="47" customWidth="1"/>
    <col min="3" max="3" width="13.42578125" style="47" customWidth="1"/>
    <col min="4" max="16384" width="10.85546875" style="47"/>
  </cols>
  <sheetData>
    <row r="1" spans="1:8" x14ac:dyDescent="0.25">
      <c r="A1" s="135" t="s">
        <v>265</v>
      </c>
      <c r="B1" s="135"/>
      <c r="C1" s="135"/>
      <c r="D1" s="135"/>
      <c r="E1" s="135"/>
      <c r="F1" s="135"/>
      <c r="G1" s="135"/>
      <c r="H1" s="135"/>
    </row>
    <row r="2" spans="1:8" ht="60" customHeight="1" x14ac:dyDescent="0.25">
      <c r="A2" s="23" t="s">
        <v>129</v>
      </c>
      <c r="B2" s="107" t="s">
        <v>221</v>
      </c>
      <c r="C2" s="66" t="s">
        <v>266</v>
      </c>
      <c r="D2" s="66" t="s">
        <v>267</v>
      </c>
      <c r="E2" s="66" t="s">
        <v>268</v>
      </c>
      <c r="F2" s="66" t="s">
        <v>269</v>
      </c>
      <c r="G2" s="66" t="s">
        <v>205</v>
      </c>
      <c r="H2" s="24" t="s">
        <v>270</v>
      </c>
    </row>
    <row r="3" spans="1:8" x14ac:dyDescent="0.25">
      <c r="A3" s="57"/>
      <c r="B3" s="90" t="s">
        <v>124</v>
      </c>
      <c r="C3" s="91"/>
      <c r="D3" s="108"/>
      <c r="E3" s="106"/>
      <c r="F3" s="92"/>
      <c r="G3" s="92"/>
      <c r="H3" s="109"/>
    </row>
    <row r="4" spans="1:8" x14ac:dyDescent="0.25">
      <c r="A4" s="27">
        <v>1</v>
      </c>
      <c r="B4" s="95" t="s">
        <v>24</v>
      </c>
      <c r="C4" s="96"/>
      <c r="D4" s="97"/>
      <c r="E4" s="98"/>
      <c r="F4" s="99"/>
      <c r="G4" s="110"/>
      <c r="H4" s="111"/>
    </row>
    <row r="5" spans="1:8" x14ac:dyDescent="0.25">
      <c r="A5" s="102">
        <v>1</v>
      </c>
      <c r="B5" s="95" t="s">
        <v>17</v>
      </c>
      <c r="C5" s="96"/>
      <c r="D5" s="97"/>
      <c r="E5" s="98"/>
      <c r="F5" s="99"/>
      <c r="G5" s="110"/>
      <c r="H5" s="111"/>
    </row>
    <row r="6" spans="1:8" x14ac:dyDescent="0.25">
      <c r="A6" s="102">
        <v>1</v>
      </c>
      <c r="B6" s="95" t="s">
        <v>5</v>
      </c>
      <c r="C6" s="96"/>
      <c r="D6" s="97"/>
      <c r="E6" s="98"/>
      <c r="F6" s="99"/>
      <c r="G6" s="110"/>
      <c r="H6" s="111"/>
    </row>
    <row r="7" spans="1:8" x14ac:dyDescent="0.25">
      <c r="A7" s="102">
        <v>1</v>
      </c>
      <c r="B7" s="95" t="s">
        <v>2</v>
      </c>
      <c r="C7" s="96"/>
      <c r="D7" s="97"/>
      <c r="E7" s="98"/>
      <c r="F7" s="99"/>
      <c r="G7" s="110"/>
      <c r="H7" s="111"/>
    </row>
    <row r="8" spans="1:8" x14ac:dyDescent="0.25">
      <c r="A8" s="102">
        <v>1</v>
      </c>
      <c r="B8" s="95" t="s">
        <v>11</v>
      </c>
      <c r="C8" s="96"/>
      <c r="D8" s="97"/>
      <c r="E8" s="98"/>
      <c r="F8" s="99"/>
      <c r="G8" s="110"/>
      <c r="H8" s="111"/>
    </row>
    <row r="9" spans="1:8" x14ac:dyDescent="0.25">
      <c r="A9" s="102">
        <v>1</v>
      </c>
      <c r="B9" s="95" t="s">
        <v>59</v>
      </c>
      <c r="C9" s="96"/>
      <c r="D9" s="97"/>
      <c r="E9" s="98"/>
      <c r="F9" s="99"/>
      <c r="G9" s="110"/>
      <c r="H9" s="111"/>
    </row>
    <row r="10" spans="1:8" x14ac:dyDescent="0.25">
      <c r="A10" s="102">
        <v>1</v>
      </c>
      <c r="B10" s="95" t="s">
        <v>37</v>
      </c>
      <c r="C10" s="96"/>
      <c r="D10" s="97"/>
      <c r="E10" s="98"/>
      <c r="F10" s="99"/>
      <c r="G10" s="110"/>
      <c r="H10" s="111"/>
    </row>
    <row r="11" spans="1:8" x14ac:dyDescent="0.25">
      <c r="A11" s="102">
        <v>1</v>
      </c>
      <c r="B11" s="103" t="s">
        <v>15</v>
      </c>
      <c r="C11" s="96"/>
      <c r="D11" s="97"/>
      <c r="E11" s="98"/>
      <c r="F11" s="99"/>
      <c r="G11" s="110"/>
      <c r="H11" s="111"/>
    </row>
    <row r="12" spans="1:8" x14ac:dyDescent="0.25">
      <c r="A12" s="102">
        <v>1</v>
      </c>
      <c r="B12" s="103" t="s">
        <v>50</v>
      </c>
      <c r="C12" s="96"/>
      <c r="D12" s="97"/>
      <c r="E12" s="98"/>
      <c r="F12" s="99"/>
      <c r="G12" s="110"/>
      <c r="H12" s="111"/>
    </row>
    <row r="13" spans="1:8" x14ac:dyDescent="0.25">
      <c r="A13" s="102">
        <v>1</v>
      </c>
      <c r="B13" s="103" t="s">
        <v>57</v>
      </c>
      <c r="C13" s="96"/>
      <c r="D13" s="97"/>
      <c r="E13" s="98"/>
      <c r="F13" s="99"/>
      <c r="G13" s="110"/>
      <c r="H13" s="111"/>
    </row>
    <row r="14" spans="1:8" x14ac:dyDescent="0.25">
      <c r="A14" s="102">
        <v>1</v>
      </c>
      <c r="B14" s="103" t="s">
        <v>94</v>
      </c>
      <c r="C14" s="96"/>
      <c r="D14" s="97"/>
      <c r="E14" s="98"/>
      <c r="F14" s="99"/>
      <c r="G14" s="110"/>
      <c r="H14" s="111"/>
    </row>
    <row r="15" spans="1:8" x14ac:dyDescent="0.25">
      <c r="A15" s="102">
        <v>1</v>
      </c>
      <c r="B15" s="103" t="s">
        <v>40</v>
      </c>
      <c r="C15" s="96"/>
      <c r="D15" s="97"/>
      <c r="E15" s="98"/>
      <c r="F15" s="99"/>
      <c r="G15" s="110"/>
      <c r="H15" s="111"/>
    </row>
    <row r="16" spans="1:8" x14ac:dyDescent="0.25">
      <c r="A16" s="102">
        <v>1</v>
      </c>
      <c r="B16" s="103" t="s">
        <v>111</v>
      </c>
      <c r="C16" s="96"/>
      <c r="D16" s="97"/>
      <c r="E16" s="98"/>
      <c r="F16" s="99"/>
      <c r="G16" s="110"/>
      <c r="H16" s="111"/>
    </row>
    <row r="17" spans="1:8" x14ac:dyDescent="0.25">
      <c r="A17" s="102">
        <v>1</v>
      </c>
      <c r="B17" s="103" t="s">
        <v>87</v>
      </c>
      <c r="C17" s="96"/>
      <c r="D17" s="97"/>
      <c r="E17" s="98"/>
      <c r="F17" s="99"/>
      <c r="G17" s="110"/>
      <c r="H17" s="111"/>
    </row>
    <row r="18" spans="1:8" x14ac:dyDescent="0.25">
      <c r="A18" s="102">
        <v>1</v>
      </c>
      <c r="B18" s="103" t="s">
        <v>77</v>
      </c>
      <c r="C18" s="96"/>
      <c r="D18" s="97"/>
      <c r="E18" s="98"/>
      <c r="F18" s="99"/>
      <c r="G18" s="110"/>
      <c r="H18" s="111"/>
    </row>
    <row r="19" spans="1:8" x14ac:dyDescent="0.25">
      <c r="A19" s="102">
        <v>1</v>
      </c>
      <c r="B19" s="103" t="s">
        <v>46</v>
      </c>
      <c r="C19" s="96"/>
      <c r="D19" s="97"/>
      <c r="E19" s="98"/>
      <c r="F19" s="99"/>
      <c r="G19" s="110"/>
      <c r="H19" s="111"/>
    </row>
    <row r="20" spans="1:8" x14ac:dyDescent="0.25">
      <c r="A20" s="102">
        <v>1</v>
      </c>
      <c r="B20" s="103" t="s">
        <v>64</v>
      </c>
      <c r="C20" s="96"/>
      <c r="D20" s="97"/>
      <c r="E20" s="98"/>
      <c r="F20" s="99"/>
      <c r="G20" s="110"/>
      <c r="H20" s="111"/>
    </row>
    <row r="21" spans="1:8" x14ac:dyDescent="0.25">
      <c r="A21" s="102">
        <v>1</v>
      </c>
      <c r="B21" s="103" t="s">
        <v>27</v>
      </c>
      <c r="C21" s="96"/>
      <c r="D21" s="97"/>
      <c r="E21" s="98"/>
      <c r="F21" s="99"/>
      <c r="G21" s="110"/>
      <c r="H21" s="111"/>
    </row>
    <row r="22" spans="1:8" x14ac:dyDescent="0.25">
      <c r="A22" s="102">
        <v>1</v>
      </c>
      <c r="B22" s="103" t="s">
        <v>110</v>
      </c>
      <c r="C22" s="96"/>
      <c r="D22" s="97"/>
      <c r="E22" s="98"/>
      <c r="F22" s="99"/>
      <c r="G22" s="110"/>
      <c r="H22" s="111"/>
    </row>
    <row r="23" spans="1:8" x14ac:dyDescent="0.25">
      <c r="A23" s="102">
        <v>1</v>
      </c>
      <c r="B23" s="103" t="s">
        <v>92</v>
      </c>
      <c r="C23" s="96"/>
      <c r="D23" s="97"/>
      <c r="E23" s="98"/>
      <c r="F23" s="99"/>
      <c r="G23" s="110"/>
      <c r="H23" s="111"/>
    </row>
    <row r="24" spans="1:8" x14ac:dyDescent="0.25">
      <c r="A24" s="102">
        <v>1</v>
      </c>
      <c r="B24" s="103" t="s">
        <v>22</v>
      </c>
      <c r="C24" s="96"/>
      <c r="D24" s="97"/>
      <c r="E24" s="98"/>
      <c r="F24" s="99"/>
      <c r="G24" s="110"/>
      <c r="H24" s="111"/>
    </row>
    <row r="25" spans="1:8" x14ac:dyDescent="0.25">
      <c r="A25" s="102">
        <v>1</v>
      </c>
      <c r="B25" s="103" t="s">
        <v>70</v>
      </c>
      <c r="C25" s="96"/>
      <c r="D25" s="97"/>
      <c r="E25" s="98"/>
      <c r="F25" s="99"/>
      <c r="G25" s="110"/>
      <c r="H25" s="111"/>
    </row>
    <row r="26" spans="1:8" x14ac:dyDescent="0.25">
      <c r="A26" s="102">
        <v>1</v>
      </c>
      <c r="B26" s="103" t="s">
        <v>116</v>
      </c>
      <c r="C26" s="96"/>
      <c r="D26" s="97"/>
      <c r="E26" s="98"/>
      <c r="F26" s="99"/>
      <c r="G26" s="110"/>
      <c r="H26" s="111"/>
    </row>
    <row r="27" spans="1:8" x14ac:dyDescent="0.25">
      <c r="A27" s="102">
        <v>1</v>
      </c>
      <c r="B27" s="103" t="s">
        <v>4</v>
      </c>
      <c r="C27" s="96"/>
      <c r="D27" s="97"/>
      <c r="E27" s="98"/>
      <c r="F27" s="99"/>
      <c r="G27" s="110"/>
      <c r="H27" s="111"/>
    </row>
    <row r="28" spans="1:8" x14ac:dyDescent="0.25">
      <c r="A28" s="102">
        <v>1</v>
      </c>
      <c r="B28" s="103" t="s">
        <v>58</v>
      </c>
      <c r="C28" s="96"/>
      <c r="D28" s="97"/>
      <c r="E28" s="98"/>
      <c r="F28" s="99"/>
      <c r="G28" s="110"/>
      <c r="H28" s="111"/>
    </row>
    <row r="29" spans="1:8" x14ac:dyDescent="0.25">
      <c r="A29" s="102">
        <v>1</v>
      </c>
      <c r="B29" s="103" t="s">
        <v>36</v>
      </c>
      <c r="C29" s="96"/>
      <c r="D29" s="97"/>
      <c r="E29" s="98"/>
      <c r="F29" s="99"/>
      <c r="G29" s="110"/>
      <c r="H29" s="111"/>
    </row>
    <row r="30" spans="1:8" x14ac:dyDescent="0.25">
      <c r="A30" s="102">
        <v>1</v>
      </c>
      <c r="B30" s="103" t="s">
        <v>78</v>
      </c>
      <c r="C30" s="96"/>
      <c r="D30" s="97"/>
      <c r="E30" s="98"/>
      <c r="F30" s="99"/>
      <c r="G30" s="110"/>
      <c r="H30" s="111"/>
    </row>
    <row r="31" spans="1:8" x14ac:dyDescent="0.25">
      <c r="A31" s="102">
        <v>1</v>
      </c>
      <c r="B31" s="103" t="s">
        <v>119</v>
      </c>
      <c r="C31" s="96"/>
      <c r="D31" s="97"/>
      <c r="E31" s="98"/>
      <c r="F31" s="99"/>
      <c r="G31" s="110"/>
      <c r="H31" s="111"/>
    </row>
    <row r="32" spans="1:8" x14ac:dyDescent="0.25">
      <c r="A32" s="102">
        <v>1</v>
      </c>
      <c r="B32" s="103" t="s">
        <v>68</v>
      </c>
      <c r="C32" s="96"/>
      <c r="D32" s="97"/>
      <c r="E32" s="98"/>
      <c r="F32" s="99"/>
      <c r="G32" s="110"/>
      <c r="H32" s="111"/>
    </row>
    <row r="33" spans="1:8" x14ac:dyDescent="0.25">
      <c r="A33" s="102">
        <v>1</v>
      </c>
      <c r="B33" s="103" t="s">
        <v>0</v>
      </c>
      <c r="C33" s="96"/>
      <c r="D33" s="97"/>
      <c r="E33" s="98"/>
      <c r="F33" s="99"/>
      <c r="G33" s="110"/>
      <c r="H33" s="111"/>
    </row>
    <row r="34" spans="1:8" x14ac:dyDescent="0.25">
      <c r="A34" s="102">
        <v>1</v>
      </c>
      <c r="B34" s="103" t="s">
        <v>21</v>
      </c>
      <c r="C34" s="96"/>
      <c r="D34" s="97"/>
      <c r="E34" s="98"/>
      <c r="F34" s="99"/>
      <c r="G34" s="110"/>
      <c r="H34" s="111"/>
    </row>
    <row r="35" spans="1:8" x14ac:dyDescent="0.25">
      <c r="A35" s="102">
        <v>1</v>
      </c>
      <c r="B35" s="103" t="s">
        <v>102</v>
      </c>
      <c r="C35" s="96"/>
      <c r="D35" s="97"/>
      <c r="E35" s="98"/>
      <c r="F35" s="99"/>
      <c r="G35" s="110"/>
      <c r="H35" s="111"/>
    </row>
    <row r="36" spans="1:8" x14ac:dyDescent="0.25">
      <c r="A36" s="102">
        <v>1</v>
      </c>
      <c r="B36" s="103" t="s">
        <v>29</v>
      </c>
      <c r="C36" s="96"/>
      <c r="D36" s="97"/>
      <c r="E36" s="98"/>
      <c r="F36" s="99"/>
      <c r="G36" s="110"/>
      <c r="H36" s="111"/>
    </row>
    <row r="37" spans="1:8" x14ac:dyDescent="0.25">
      <c r="A37" s="102">
        <v>1</v>
      </c>
      <c r="B37" s="103" t="s">
        <v>38</v>
      </c>
      <c r="C37" s="96"/>
      <c r="D37" s="97"/>
      <c r="E37" s="98"/>
      <c r="F37" s="99"/>
      <c r="G37" s="110"/>
      <c r="H37" s="111"/>
    </row>
    <row r="38" spans="1:8" x14ac:dyDescent="0.25">
      <c r="A38" s="102">
        <v>1</v>
      </c>
      <c r="B38" s="103" t="s">
        <v>69</v>
      </c>
      <c r="C38" s="96"/>
      <c r="D38" s="97"/>
      <c r="E38" s="98"/>
      <c r="F38" s="99"/>
      <c r="G38" s="110"/>
      <c r="H38" s="111"/>
    </row>
    <row r="39" spans="1:8" x14ac:dyDescent="0.25">
      <c r="A39" s="102">
        <v>1</v>
      </c>
      <c r="B39" s="103" t="s">
        <v>93</v>
      </c>
      <c r="C39" s="96"/>
      <c r="D39" s="97"/>
      <c r="E39" s="98"/>
      <c r="F39" s="99"/>
      <c r="G39" s="110"/>
      <c r="H39" s="111"/>
    </row>
    <row r="40" spans="1:8" x14ac:dyDescent="0.25">
      <c r="A40" s="102">
        <v>1</v>
      </c>
      <c r="B40" s="103" t="s">
        <v>65</v>
      </c>
      <c r="C40" s="96"/>
      <c r="D40" s="97"/>
      <c r="E40" s="98"/>
      <c r="F40" s="99"/>
      <c r="G40" s="110"/>
      <c r="H40" s="111"/>
    </row>
    <row r="41" spans="1:8" x14ac:dyDescent="0.25">
      <c r="A41" s="102">
        <v>1</v>
      </c>
      <c r="B41" s="103" t="s">
        <v>35</v>
      </c>
      <c r="C41" s="96"/>
      <c r="D41" s="97"/>
      <c r="E41" s="98"/>
      <c r="F41" s="99"/>
      <c r="G41" s="110"/>
      <c r="H41" s="111"/>
    </row>
    <row r="42" spans="1:8" x14ac:dyDescent="0.25">
      <c r="A42" s="102">
        <v>1</v>
      </c>
      <c r="B42" s="103" t="s">
        <v>39</v>
      </c>
      <c r="C42" s="96"/>
      <c r="D42" s="97"/>
      <c r="E42" s="98"/>
      <c r="F42" s="99"/>
      <c r="G42" s="110"/>
      <c r="H42" s="111"/>
    </row>
    <row r="43" spans="1:8" x14ac:dyDescent="0.25">
      <c r="A43" s="102">
        <v>1</v>
      </c>
      <c r="B43" s="103" t="s">
        <v>49</v>
      </c>
      <c r="C43" s="96"/>
      <c r="D43" s="97"/>
      <c r="E43" s="98"/>
      <c r="F43" s="99"/>
      <c r="G43" s="110"/>
      <c r="H43" s="111"/>
    </row>
    <row r="44" spans="1:8" x14ac:dyDescent="0.25">
      <c r="A44" s="102">
        <v>1</v>
      </c>
      <c r="B44" s="103" t="s">
        <v>71</v>
      </c>
      <c r="C44" s="96"/>
      <c r="D44" s="97"/>
      <c r="E44" s="98"/>
      <c r="F44" s="99"/>
      <c r="G44" s="110"/>
      <c r="H44" s="111"/>
    </row>
    <row r="45" spans="1:8" x14ac:dyDescent="0.25">
      <c r="A45" s="102">
        <v>1</v>
      </c>
      <c r="B45" s="103" t="s">
        <v>3</v>
      </c>
      <c r="C45" s="96"/>
      <c r="D45" s="97"/>
      <c r="E45" s="98"/>
      <c r="F45" s="99"/>
      <c r="G45" s="110"/>
      <c r="H45" s="111"/>
    </row>
    <row r="46" spans="1:8" x14ac:dyDescent="0.25">
      <c r="A46" s="102">
        <v>1</v>
      </c>
      <c r="B46" s="103" t="s">
        <v>56</v>
      </c>
      <c r="C46" s="96"/>
      <c r="D46" s="97"/>
      <c r="E46" s="98"/>
      <c r="F46" s="99"/>
      <c r="G46" s="110"/>
      <c r="H46" s="111"/>
    </row>
    <row r="47" spans="1:8" x14ac:dyDescent="0.25">
      <c r="A47" s="102">
        <v>1</v>
      </c>
      <c r="B47" s="103" t="s">
        <v>26</v>
      </c>
      <c r="C47" s="96"/>
      <c r="D47" s="97"/>
      <c r="E47" s="98"/>
      <c r="F47" s="99"/>
      <c r="G47" s="110"/>
      <c r="H47" s="111"/>
    </row>
    <row r="48" spans="1:8" x14ac:dyDescent="0.25">
      <c r="A48" s="102">
        <v>1</v>
      </c>
      <c r="B48" s="103" t="s">
        <v>33</v>
      </c>
      <c r="C48" s="96"/>
      <c r="D48" s="97"/>
      <c r="E48" s="98"/>
      <c r="F48" s="99"/>
      <c r="G48" s="110"/>
      <c r="H48" s="111"/>
    </row>
    <row r="49" spans="1:8" x14ac:dyDescent="0.25">
      <c r="A49" s="102">
        <v>1</v>
      </c>
      <c r="B49" s="103" t="s">
        <v>89</v>
      </c>
      <c r="C49" s="96"/>
      <c r="D49" s="97"/>
      <c r="E49" s="98"/>
      <c r="F49" s="99"/>
      <c r="G49" s="110"/>
      <c r="H49" s="111"/>
    </row>
    <row r="50" spans="1:8" x14ac:dyDescent="0.25">
      <c r="A50" s="102">
        <v>1</v>
      </c>
      <c r="B50" s="103" t="s">
        <v>112</v>
      </c>
      <c r="C50" s="96"/>
      <c r="D50" s="97"/>
      <c r="E50" s="98"/>
      <c r="F50" s="99"/>
      <c r="G50" s="110"/>
      <c r="H50" s="111"/>
    </row>
    <row r="51" spans="1:8" x14ac:dyDescent="0.25">
      <c r="A51" s="102">
        <v>1</v>
      </c>
      <c r="B51" s="103" t="s">
        <v>123</v>
      </c>
      <c r="C51" s="96"/>
      <c r="D51" s="97"/>
      <c r="E51" s="98"/>
      <c r="F51" s="99"/>
      <c r="G51" s="110"/>
      <c r="H51" s="111"/>
    </row>
    <row r="52" spans="1:8" x14ac:dyDescent="0.25">
      <c r="A52" s="102">
        <v>1</v>
      </c>
      <c r="B52" s="103" t="s">
        <v>79</v>
      </c>
      <c r="C52" s="96"/>
      <c r="D52" s="97"/>
      <c r="E52" s="98"/>
      <c r="F52" s="99"/>
      <c r="G52" s="110"/>
      <c r="H52" s="111"/>
    </row>
    <row r="53" spans="1:8" x14ac:dyDescent="0.25">
      <c r="A53" s="102">
        <v>1</v>
      </c>
      <c r="B53" s="103" t="s">
        <v>96</v>
      </c>
      <c r="C53" s="96"/>
      <c r="D53" s="97"/>
      <c r="E53" s="98"/>
      <c r="F53" s="99"/>
      <c r="G53" s="110"/>
      <c r="H53" s="111"/>
    </row>
    <row r="54" spans="1:8" x14ac:dyDescent="0.25">
      <c r="A54" s="102">
        <v>1</v>
      </c>
      <c r="B54" s="103" t="s">
        <v>108</v>
      </c>
      <c r="C54" s="96"/>
      <c r="D54" s="97"/>
      <c r="E54" s="98"/>
      <c r="F54" s="99"/>
      <c r="G54" s="110"/>
      <c r="H54" s="111"/>
    </row>
    <row r="55" spans="1:8" x14ac:dyDescent="0.25">
      <c r="A55" s="102">
        <v>1</v>
      </c>
      <c r="B55" s="103" t="s">
        <v>104</v>
      </c>
      <c r="C55" s="96"/>
      <c r="D55" s="97"/>
      <c r="E55" s="98"/>
      <c r="F55" s="99"/>
      <c r="G55" s="110"/>
      <c r="H55" s="111"/>
    </row>
    <row r="56" spans="1:8" x14ac:dyDescent="0.25">
      <c r="A56" s="102">
        <v>1</v>
      </c>
      <c r="B56" s="103" t="s">
        <v>106</v>
      </c>
      <c r="C56" s="96"/>
      <c r="D56" s="97"/>
      <c r="E56" s="98"/>
      <c r="F56" s="99"/>
      <c r="G56" s="110"/>
      <c r="H56" s="111"/>
    </row>
    <row r="57" spans="1:8" x14ac:dyDescent="0.25">
      <c r="A57" s="102">
        <v>1</v>
      </c>
      <c r="B57" s="103" t="s">
        <v>7</v>
      </c>
      <c r="C57" s="96"/>
      <c r="D57" s="97"/>
      <c r="E57" s="98"/>
      <c r="F57" s="99"/>
      <c r="G57" s="110"/>
      <c r="H57" s="111"/>
    </row>
    <row r="58" spans="1:8" x14ac:dyDescent="0.25">
      <c r="A58" s="102">
        <v>1</v>
      </c>
      <c r="B58" s="103" t="s">
        <v>95</v>
      </c>
      <c r="C58" s="96"/>
      <c r="D58" s="97"/>
      <c r="E58" s="98"/>
      <c r="F58" s="99"/>
      <c r="G58" s="110"/>
      <c r="H58" s="111"/>
    </row>
    <row r="59" spans="1:8" x14ac:dyDescent="0.25">
      <c r="A59" s="102">
        <v>1</v>
      </c>
      <c r="B59" s="103" t="s">
        <v>30</v>
      </c>
      <c r="C59" s="96"/>
      <c r="D59" s="97"/>
      <c r="E59" s="98"/>
      <c r="F59" s="99"/>
      <c r="G59" s="110"/>
      <c r="H59" s="111"/>
    </row>
    <row r="60" spans="1:8" x14ac:dyDescent="0.25">
      <c r="A60" s="102">
        <v>1</v>
      </c>
      <c r="B60" s="103" t="s">
        <v>80</v>
      </c>
      <c r="C60" s="96"/>
      <c r="D60" s="97"/>
      <c r="E60" s="98"/>
      <c r="F60" s="99"/>
      <c r="G60" s="110"/>
      <c r="H60" s="111"/>
    </row>
    <row r="61" spans="1:8" x14ac:dyDescent="0.25">
      <c r="A61" s="102">
        <v>1</v>
      </c>
      <c r="B61" s="103" t="s">
        <v>82</v>
      </c>
      <c r="C61" s="96"/>
      <c r="D61" s="97"/>
      <c r="E61" s="98"/>
      <c r="F61" s="99"/>
      <c r="G61" s="110"/>
      <c r="H61" s="111"/>
    </row>
    <row r="62" spans="1:8" x14ac:dyDescent="0.25">
      <c r="A62" s="102">
        <v>1</v>
      </c>
      <c r="B62" s="103" t="s">
        <v>47</v>
      </c>
      <c r="C62" s="96"/>
      <c r="D62" s="97"/>
      <c r="E62" s="98"/>
      <c r="F62" s="99"/>
      <c r="G62" s="110"/>
      <c r="H62" s="111"/>
    </row>
    <row r="63" spans="1:8" x14ac:dyDescent="0.25">
      <c r="A63" s="102">
        <v>1</v>
      </c>
      <c r="B63" s="103" t="s">
        <v>28</v>
      </c>
      <c r="C63" s="96"/>
      <c r="D63" s="97"/>
      <c r="E63" s="98"/>
      <c r="F63" s="99"/>
      <c r="G63" s="110"/>
      <c r="H63" s="111"/>
    </row>
    <row r="64" spans="1:8" x14ac:dyDescent="0.25">
      <c r="A64" s="102">
        <v>1</v>
      </c>
      <c r="B64" s="103" t="s">
        <v>107</v>
      </c>
      <c r="C64" s="96"/>
      <c r="D64" s="97"/>
      <c r="E64" s="98"/>
      <c r="F64" s="99"/>
      <c r="G64" s="110"/>
      <c r="H64" s="111"/>
    </row>
    <row r="65" spans="1:8" x14ac:dyDescent="0.25">
      <c r="A65" s="102">
        <v>1</v>
      </c>
      <c r="B65" s="103" t="s">
        <v>105</v>
      </c>
      <c r="C65" s="96"/>
      <c r="D65" s="97"/>
      <c r="E65" s="98"/>
      <c r="F65" s="99"/>
      <c r="G65" s="110"/>
      <c r="H65" s="111"/>
    </row>
    <row r="66" spans="1:8" x14ac:dyDescent="0.25">
      <c r="A66" s="102">
        <v>1</v>
      </c>
      <c r="B66" s="103" t="s">
        <v>97</v>
      </c>
      <c r="C66" s="96"/>
      <c r="D66" s="97"/>
      <c r="E66" s="98"/>
      <c r="F66" s="99"/>
      <c r="G66" s="110"/>
      <c r="H66" s="111"/>
    </row>
    <row r="67" spans="1:8" x14ac:dyDescent="0.25">
      <c r="A67" s="102">
        <v>1</v>
      </c>
      <c r="B67" s="103" t="s">
        <v>76</v>
      </c>
      <c r="C67" s="96"/>
      <c r="D67" s="97"/>
      <c r="E67" s="98"/>
      <c r="F67" s="99"/>
      <c r="G67" s="110"/>
      <c r="H67" s="111"/>
    </row>
    <row r="68" spans="1:8" x14ac:dyDescent="0.25">
      <c r="A68" s="102">
        <v>1</v>
      </c>
      <c r="B68" s="103" t="s">
        <v>118</v>
      </c>
      <c r="C68" s="96"/>
      <c r="D68" s="97"/>
      <c r="E68" s="98"/>
      <c r="F68" s="99"/>
      <c r="G68" s="110"/>
      <c r="H68" s="111"/>
    </row>
    <row r="69" spans="1:8" x14ac:dyDescent="0.25">
      <c r="A69" s="102">
        <v>1</v>
      </c>
      <c r="B69" s="103" t="s">
        <v>43</v>
      </c>
      <c r="C69" s="96"/>
      <c r="D69" s="97"/>
      <c r="E69" s="98"/>
      <c r="F69" s="99"/>
      <c r="G69" s="110"/>
      <c r="H69" s="111"/>
    </row>
    <row r="70" spans="1:8" x14ac:dyDescent="0.25">
      <c r="A70" s="102">
        <v>1</v>
      </c>
      <c r="B70" s="103" t="s">
        <v>73</v>
      </c>
      <c r="C70" s="96"/>
      <c r="D70" s="97"/>
      <c r="E70" s="98"/>
      <c r="F70" s="99"/>
      <c r="G70" s="110"/>
      <c r="H70" s="111"/>
    </row>
    <row r="71" spans="1:8" x14ac:dyDescent="0.25">
      <c r="A71" s="102">
        <v>1</v>
      </c>
      <c r="B71" s="103" t="s">
        <v>23</v>
      </c>
      <c r="C71" s="96"/>
      <c r="D71" s="97"/>
      <c r="E71" s="98"/>
      <c r="F71" s="99"/>
      <c r="G71" s="110"/>
      <c r="H71" s="111"/>
    </row>
    <row r="72" spans="1:8" x14ac:dyDescent="0.25">
      <c r="A72" s="102">
        <v>1</v>
      </c>
      <c r="B72" s="103" t="s">
        <v>114</v>
      </c>
      <c r="C72" s="96"/>
      <c r="D72" s="97"/>
      <c r="E72" s="98"/>
      <c r="F72" s="99"/>
      <c r="G72" s="110"/>
      <c r="H72" s="111"/>
    </row>
    <row r="73" spans="1:8" x14ac:dyDescent="0.25">
      <c r="A73" s="102">
        <v>1</v>
      </c>
      <c r="B73" s="103" t="s">
        <v>85</v>
      </c>
      <c r="C73" s="96"/>
      <c r="D73" s="97"/>
      <c r="E73" s="98"/>
      <c r="F73" s="99"/>
      <c r="G73" s="110"/>
      <c r="H73" s="111"/>
    </row>
    <row r="74" spans="1:8" x14ac:dyDescent="0.25">
      <c r="A74" s="102">
        <v>1</v>
      </c>
      <c r="B74" s="103" t="s">
        <v>60</v>
      </c>
      <c r="C74" s="96"/>
      <c r="D74" s="97"/>
      <c r="E74" s="98"/>
      <c r="F74" s="99"/>
      <c r="G74" s="110"/>
      <c r="H74" s="111"/>
    </row>
    <row r="75" spans="1:8" x14ac:dyDescent="0.25">
      <c r="A75" s="102">
        <v>1</v>
      </c>
      <c r="B75" s="103" t="s">
        <v>44</v>
      </c>
      <c r="C75" s="96"/>
      <c r="D75" s="97"/>
      <c r="E75" s="98"/>
      <c r="F75" s="99"/>
      <c r="G75" s="110"/>
      <c r="H75" s="111"/>
    </row>
    <row r="76" spans="1:8" x14ac:dyDescent="0.25">
      <c r="A76" s="102">
        <v>1</v>
      </c>
      <c r="B76" s="103" t="s">
        <v>91</v>
      </c>
      <c r="C76" s="96"/>
      <c r="D76" s="97"/>
      <c r="E76" s="98"/>
      <c r="F76" s="99"/>
      <c r="G76" s="110"/>
      <c r="H76" s="111"/>
    </row>
    <row r="77" spans="1:8" x14ac:dyDescent="0.25">
      <c r="A77" s="102">
        <v>1</v>
      </c>
      <c r="B77" s="103" t="s">
        <v>10</v>
      </c>
      <c r="C77" s="96"/>
      <c r="D77" s="97"/>
      <c r="E77" s="98"/>
      <c r="F77" s="99"/>
      <c r="G77" s="110"/>
      <c r="H77" s="111"/>
    </row>
    <row r="78" spans="1:8" x14ac:dyDescent="0.25">
      <c r="A78" s="102">
        <v>1</v>
      </c>
      <c r="B78" s="103" t="s">
        <v>6</v>
      </c>
      <c r="C78" s="96"/>
      <c r="D78" s="97"/>
      <c r="E78" s="98"/>
      <c r="F78" s="99"/>
      <c r="G78" s="110"/>
      <c r="H78" s="111"/>
    </row>
    <row r="79" spans="1:8" x14ac:dyDescent="0.25">
      <c r="A79" s="102">
        <v>1</v>
      </c>
      <c r="B79" s="103" t="s">
        <v>67</v>
      </c>
      <c r="C79" s="96"/>
      <c r="D79" s="97"/>
      <c r="E79" s="98"/>
      <c r="F79" s="99"/>
      <c r="G79" s="110"/>
      <c r="H79" s="111"/>
    </row>
    <row r="80" spans="1:8" x14ac:dyDescent="0.25">
      <c r="A80" s="102">
        <v>1</v>
      </c>
      <c r="B80" s="103" t="s">
        <v>109</v>
      </c>
      <c r="C80" s="96"/>
      <c r="D80" s="97"/>
      <c r="E80" s="98"/>
      <c r="F80" s="99"/>
      <c r="G80" s="110"/>
      <c r="H80" s="111"/>
    </row>
    <row r="81" spans="1:8" x14ac:dyDescent="0.25">
      <c r="A81" s="102">
        <v>1</v>
      </c>
      <c r="B81" s="103" t="s">
        <v>32</v>
      </c>
      <c r="C81" s="96"/>
      <c r="D81" s="97"/>
      <c r="E81" s="98"/>
      <c r="F81" s="99"/>
      <c r="G81" s="110"/>
      <c r="H81" s="111"/>
    </row>
    <row r="82" spans="1:8" x14ac:dyDescent="0.25">
      <c r="A82" s="102">
        <v>1</v>
      </c>
      <c r="B82" s="103" t="s">
        <v>54</v>
      </c>
      <c r="C82" s="96"/>
      <c r="D82" s="97"/>
      <c r="E82" s="98"/>
      <c r="F82" s="99"/>
      <c r="G82" s="110"/>
      <c r="H82" s="111"/>
    </row>
    <row r="83" spans="1:8" x14ac:dyDescent="0.25">
      <c r="A83" s="102">
        <v>1</v>
      </c>
      <c r="B83" s="103" t="s">
        <v>62</v>
      </c>
      <c r="C83" s="96"/>
      <c r="D83" s="97"/>
      <c r="E83" s="98"/>
      <c r="F83" s="99"/>
      <c r="G83" s="110"/>
      <c r="H83" s="111"/>
    </row>
    <row r="84" spans="1:8" x14ac:dyDescent="0.25">
      <c r="A84" s="102">
        <v>1</v>
      </c>
      <c r="B84" s="103" t="s">
        <v>74</v>
      </c>
      <c r="C84" s="96"/>
      <c r="D84" s="97"/>
      <c r="E84" s="98"/>
      <c r="F84" s="99"/>
      <c r="G84" s="110"/>
      <c r="H84" s="111"/>
    </row>
    <row r="85" spans="1:8" x14ac:dyDescent="0.25">
      <c r="A85" s="102">
        <v>1</v>
      </c>
      <c r="B85" s="103" t="s">
        <v>42</v>
      </c>
      <c r="C85" s="96"/>
      <c r="D85" s="97"/>
      <c r="E85" s="98"/>
      <c r="F85" s="99"/>
      <c r="G85" s="110"/>
      <c r="H85" s="111"/>
    </row>
    <row r="86" spans="1:8" x14ac:dyDescent="0.25">
      <c r="A86" s="102">
        <v>1</v>
      </c>
      <c r="B86" s="103" t="s">
        <v>31</v>
      </c>
      <c r="C86" s="96"/>
      <c r="D86" s="97"/>
      <c r="E86" s="98"/>
      <c r="F86" s="99"/>
      <c r="G86" s="110"/>
      <c r="H86" s="111"/>
    </row>
    <row r="87" spans="1:8" x14ac:dyDescent="0.25">
      <c r="A87" s="102">
        <v>1</v>
      </c>
      <c r="B87" s="103" t="s">
        <v>16</v>
      </c>
      <c r="C87" s="96"/>
      <c r="D87" s="97"/>
      <c r="E87" s="98"/>
      <c r="F87" s="99"/>
      <c r="G87" s="110"/>
      <c r="H87" s="111"/>
    </row>
    <row r="88" spans="1:8" x14ac:dyDescent="0.25">
      <c r="A88" s="102">
        <v>1</v>
      </c>
      <c r="B88" s="103" t="s">
        <v>72</v>
      </c>
      <c r="C88" s="96"/>
      <c r="D88" s="97"/>
      <c r="E88" s="98"/>
      <c r="F88" s="99"/>
      <c r="G88" s="110"/>
      <c r="H88" s="111"/>
    </row>
    <row r="89" spans="1:8" x14ac:dyDescent="0.25">
      <c r="A89" s="102">
        <v>1</v>
      </c>
      <c r="B89" s="103" t="s">
        <v>63</v>
      </c>
      <c r="C89" s="96"/>
      <c r="D89" s="97"/>
      <c r="E89" s="98"/>
      <c r="F89" s="99"/>
      <c r="G89" s="110"/>
      <c r="H89" s="111"/>
    </row>
    <row r="90" spans="1:8" x14ac:dyDescent="0.25">
      <c r="A90" s="102">
        <v>1</v>
      </c>
      <c r="B90" s="103" t="s">
        <v>52</v>
      </c>
      <c r="C90" s="96"/>
      <c r="D90" s="97"/>
      <c r="E90" s="98"/>
      <c r="F90" s="99"/>
      <c r="G90" s="110"/>
      <c r="H90" s="111"/>
    </row>
    <row r="91" spans="1:8" x14ac:dyDescent="0.25">
      <c r="A91" s="102">
        <v>1</v>
      </c>
      <c r="B91" s="103" t="s">
        <v>9</v>
      </c>
      <c r="C91" s="96"/>
      <c r="D91" s="97"/>
      <c r="E91" s="98"/>
      <c r="F91" s="99"/>
      <c r="G91" s="110"/>
      <c r="H91" s="111"/>
    </row>
    <row r="92" spans="1:8" x14ac:dyDescent="0.25">
      <c r="A92" s="102">
        <v>1</v>
      </c>
      <c r="B92" s="103" t="s">
        <v>83</v>
      </c>
      <c r="C92" s="96"/>
      <c r="D92" s="97"/>
      <c r="E92" s="98"/>
      <c r="F92" s="99"/>
      <c r="G92" s="110"/>
      <c r="H92" s="111"/>
    </row>
    <row r="93" spans="1:8" x14ac:dyDescent="0.25">
      <c r="A93" s="102">
        <v>1</v>
      </c>
      <c r="B93" s="103" t="s">
        <v>117</v>
      </c>
      <c r="C93" s="96"/>
      <c r="D93" s="97"/>
      <c r="E93" s="98"/>
      <c r="F93" s="99"/>
      <c r="G93" s="110"/>
      <c r="H93" s="111"/>
    </row>
    <row r="94" spans="1:8" x14ac:dyDescent="0.25">
      <c r="A94" s="102">
        <v>1</v>
      </c>
      <c r="B94" s="103" t="s">
        <v>45</v>
      </c>
      <c r="C94" s="96"/>
      <c r="D94" s="97"/>
      <c r="E94" s="98"/>
      <c r="F94" s="99"/>
      <c r="G94" s="110"/>
      <c r="H94" s="111"/>
    </row>
    <row r="95" spans="1:8" x14ac:dyDescent="0.25">
      <c r="A95" s="102">
        <v>1</v>
      </c>
      <c r="B95" s="103" t="s">
        <v>51</v>
      </c>
      <c r="C95" s="96"/>
      <c r="D95" s="97"/>
      <c r="E95" s="98"/>
      <c r="F95" s="99"/>
      <c r="G95" s="110"/>
      <c r="H95" s="111"/>
    </row>
    <row r="96" spans="1:8" x14ac:dyDescent="0.25">
      <c r="A96" s="102">
        <v>1</v>
      </c>
      <c r="B96" s="103" t="s">
        <v>8</v>
      </c>
      <c r="C96" s="96"/>
      <c r="D96" s="97"/>
      <c r="E96" s="98"/>
      <c r="F96" s="99"/>
      <c r="G96" s="110"/>
      <c r="H96" s="111"/>
    </row>
    <row r="97" spans="1:8" x14ac:dyDescent="0.25">
      <c r="A97" s="102">
        <v>1</v>
      </c>
      <c r="B97" s="103" t="s">
        <v>86</v>
      </c>
      <c r="C97" s="96"/>
      <c r="D97" s="97"/>
      <c r="E97" s="98"/>
      <c r="F97" s="99"/>
      <c r="G97" s="110"/>
      <c r="H97" s="111"/>
    </row>
    <row r="98" spans="1:8" x14ac:dyDescent="0.25">
      <c r="A98" s="102">
        <v>1</v>
      </c>
      <c r="B98" s="103" t="s">
        <v>100</v>
      </c>
      <c r="C98" s="96"/>
      <c r="D98" s="97"/>
      <c r="E98" s="98"/>
      <c r="F98" s="99"/>
      <c r="G98" s="110"/>
      <c r="H98" s="111"/>
    </row>
    <row r="99" spans="1:8" x14ac:dyDescent="0.25">
      <c r="A99" s="102">
        <v>1</v>
      </c>
      <c r="B99" s="103" t="s">
        <v>122</v>
      </c>
      <c r="C99" s="96"/>
      <c r="D99" s="97"/>
      <c r="E99" s="98"/>
      <c r="F99" s="99"/>
      <c r="G99" s="110"/>
      <c r="H99" s="111"/>
    </row>
    <row r="100" spans="1:8" x14ac:dyDescent="0.25">
      <c r="A100" s="102">
        <v>1</v>
      </c>
      <c r="B100" s="103" t="s">
        <v>103</v>
      </c>
      <c r="C100" s="96"/>
      <c r="D100" s="97"/>
      <c r="E100" s="98"/>
      <c r="F100" s="99"/>
      <c r="G100" s="110"/>
      <c r="H100" s="111"/>
    </row>
    <row r="101" spans="1:8" x14ac:dyDescent="0.25">
      <c r="A101" s="102">
        <v>1</v>
      </c>
      <c r="B101" s="103" t="s">
        <v>115</v>
      </c>
      <c r="C101" s="96"/>
      <c r="D101" s="97"/>
      <c r="E101" s="98"/>
      <c r="F101" s="99"/>
      <c r="G101" s="110"/>
      <c r="H101" s="111"/>
    </row>
    <row r="102" spans="1:8" x14ac:dyDescent="0.25">
      <c r="A102" s="102">
        <v>1</v>
      </c>
      <c r="B102" s="103" t="s">
        <v>14</v>
      </c>
      <c r="C102" s="96"/>
      <c r="D102" s="97"/>
      <c r="E102" s="98"/>
      <c r="F102" s="99"/>
      <c r="G102" s="110"/>
      <c r="H102" s="111"/>
    </row>
    <row r="103" spans="1:8" x14ac:dyDescent="0.25">
      <c r="A103" s="102">
        <v>1</v>
      </c>
      <c r="B103" s="103" t="s">
        <v>90</v>
      </c>
      <c r="C103" s="96"/>
      <c r="D103" s="97"/>
      <c r="E103" s="98"/>
      <c r="F103" s="99"/>
      <c r="G103" s="110"/>
      <c r="H103" s="111"/>
    </row>
    <row r="104" spans="1:8" x14ac:dyDescent="0.25">
      <c r="A104" s="102">
        <v>1</v>
      </c>
      <c r="B104" s="103" t="s">
        <v>84</v>
      </c>
      <c r="C104" s="96"/>
      <c r="D104" s="97"/>
      <c r="E104" s="98"/>
      <c r="F104" s="99"/>
      <c r="G104" s="110"/>
      <c r="H104" s="111"/>
    </row>
    <row r="105" spans="1:8" x14ac:dyDescent="0.25">
      <c r="A105" s="102">
        <v>1</v>
      </c>
      <c r="B105" s="103" t="s">
        <v>101</v>
      </c>
      <c r="C105" s="96"/>
      <c r="D105" s="97"/>
      <c r="E105" s="98"/>
      <c r="F105" s="99"/>
      <c r="G105" s="110"/>
      <c r="H105" s="111"/>
    </row>
    <row r="106" spans="1:8" x14ac:dyDescent="0.25">
      <c r="A106" s="102">
        <v>1</v>
      </c>
      <c r="B106" s="103" t="s">
        <v>55</v>
      </c>
      <c r="C106" s="96"/>
      <c r="D106" s="97"/>
      <c r="E106" s="98"/>
      <c r="F106" s="99"/>
      <c r="G106" s="110"/>
      <c r="H106" s="111"/>
    </row>
    <row r="107" spans="1:8" x14ac:dyDescent="0.25">
      <c r="A107" s="102">
        <v>1</v>
      </c>
      <c r="B107" s="103" t="s">
        <v>48</v>
      </c>
      <c r="C107" s="96"/>
      <c r="D107" s="97"/>
      <c r="E107" s="98"/>
      <c r="F107" s="99"/>
      <c r="G107" s="110"/>
      <c r="H107" s="111"/>
    </row>
    <row r="108" spans="1:8" x14ac:dyDescent="0.25">
      <c r="A108" s="102">
        <v>1</v>
      </c>
      <c r="B108" s="103" t="s">
        <v>12</v>
      </c>
      <c r="C108" s="96"/>
      <c r="D108" s="97"/>
      <c r="E108" s="98"/>
      <c r="F108" s="99"/>
      <c r="G108" s="110"/>
      <c r="H108" s="111"/>
    </row>
    <row r="109" spans="1:8" x14ac:dyDescent="0.25">
      <c r="A109" s="102">
        <v>1</v>
      </c>
      <c r="B109" s="103" t="s">
        <v>34</v>
      </c>
      <c r="C109" s="96"/>
      <c r="D109" s="97"/>
      <c r="E109" s="98"/>
      <c r="F109" s="99"/>
      <c r="G109" s="110"/>
      <c r="H109" s="111"/>
    </row>
    <row r="110" spans="1:8" x14ac:dyDescent="0.25">
      <c r="A110" s="102">
        <v>1</v>
      </c>
      <c r="B110" s="103" t="s">
        <v>120</v>
      </c>
      <c r="C110" s="96"/>
      <c r="D110" s="97"/>
      <c r="E110" s="98"/>
      <c r="F110" s="99"/>
      <c r="G110" s="110"/>
      <c r="H110" s="111"/>
    </row>
    <row r="111" spans="1:8" x14ac:dyDescent="0.25">
      <c r="A111" s="102">
        <v>1</v>
      </c>
      <c r="B111" s="103" t="s">
        <v>61</v>
      </c>
      <c r="C111" s="96"/>
      <c r="D111" s="97"/>
      <c r="E111" s="98"/>
      <c r="F111" s="99"/>
      <c r="G111" s="110"/>
      <c r="H111" s="111"/>
    </row>
    <row r="112" spans="1:8" x14ac:dyDescent="0.25">
      <c r="A112" s="102">
        <v>1</v>
      </c>
      <c r="B112" s="103" t="s">
        <v>20</v>
      </c>
      <c r="C112" s="96"/>
      <c r="D112" s="97"/>
      <c r="E112" s="98"/>
      <c r="F112" s="99"/>
      <c r="G112" s="110"/>
      <c r="H112" s="111"/>
    </row>
    <row r="113" spans="1:8" x14ac:dyDescent="0.25">
      <c r="A113" s="102">
        <v>1</v>
      </c>
      <c r="B113" s="103" t="s">
        <v>113</v>
      </c>
      <c r="C113" s="96"/>
      <c r="D113" s="97"/>
      <c r="E113" s="98"/>
      <c r="F113" s="99"/>
      <c r="G113" s="110"/>
      <c r="H113" s="111"/>
    </row>
    <row r="114" spans="1:8" x14ac:dyDescent="0.25">
      <c r="A114" s="102">
        <v>1</v>
      </c>
      <c r="B114" s="103" t="s">
        <v>13</v>
      </c>
      <c r="C114" s="96"/>
      <c r="D114" s="97"/>
      <c r="E114" s="98"/>
      <c r="F114" s="99"/>
      <c r="G114" s="110"/>
      <c r="H114" s="111"/>
    </row>
    <row r="115" spans="1:8" x14ac:dyDescent="0.25">
      <c r="A115" s="102">
        <v>1</v>
      </c>
      <c r="B115" s="103" t="s">
        <v>18</v>
      </c>
      <c r="C115" s="96"/>
      <c r="D115" s="97"/>
      <c r="E115" s="98"/>
      <c r="F115" s="99"/>
      <c r="G115" s="110"/>
      <c r="H115" s="111"/>
    </row>
    <row r="116" spans="1:8" x14ac:dyDescent="0.25">
      <c r="A116" s="102">
        <v>1</v>
      </c>
      <c r="B116" s="103" t="s">
        <v>66</v>
      </c>
      <c r="C116" s="96"/>
      <c r="D116" s="97"/>
      <c r="E116" s="98"/>
      <c r="F116" s="99"/>
      <c r="G116" s="110"/>
      <c r="H116" s="111"/>
    </row>
    <row r="117" spans="1:8" x14ac:dyDescent="0.25">
      <c r="A117" s="102">
        <v>1</v>
      </c>
      <c r="B117" s="103" t="s">
        <v>98</v>
      </c>
      <c r="C117" s="96"/>
      <c r="D117" s="97"/>
      <c r="E117" s="98"/>
      <c r="F117" s="99"/>
      <c r="G117" s="110"/>
      <c r="H117" s="111"/>
    </row>
    <row r="118" spans="1:8" x14ac:dyDescent="0.25">
      <c r="A118" s="102">
        <v>1</v>
      </c>
      <c r="B118" s="103" t="s">
        <v>75</v>
      </c>
      <c r="C118" s="96"/>
      <c r="D118" s="97"/>
      <c r="E118" s="98"/>
      <c r="F118" s="99"/>
      <c r="G118" s="110"/>
      <c r="H118" s="111"/>
    </row>
    <row r="119" spans="1:8" x14ac:dyDescent="0.25">
      <c r="A119" s="102">
        <v>1</v>
      </c>
      <c r="B119" s="103" t="s">
        <v>19</v>
      </c>
      <c r="C119" s="96"/>
      <c r="D119" s="97"/>
      <c r="E119" s="98"/>
      <c r="F119" s="99"/>
      <c r="G119" s="110"/>
      <c r="H119" s="111"/>
    </row>
    <row r="120" spans="1:8" x14ac:dyDescent="0.25">
      <c r="A120" s="102">
        <v>1</v>
      </c>
      <c r="B120" s="103" t="s">
        <v>81</v>
      </c>
      <c r="C120" s="96"/>
      <c r="D120" s="97"/>
      <c r="E120" s="98"/>
      <c r="F120" s="99"/>
      <c r="G120" s="110"/>
      <c r="H120" s="111"/>
    </row>
    <row r="121" spans="1:8" x14ac:dyDescent="0.25">
      <c r="A121" s="102">
        <v>1</v>
      </c>
      <c r="B121" s="103" t="s">
        <v>88</v>
      </c>
      <c r="C121" s="96"/>
      <c r="D121" s="97"/>
      <c r="E121" s="98"/>
      <c r="F121" s="99"/>
      <c r="G121" s="110"/>
      <c r="H121" s="111"/>
    </row>
    <row r="122" spans="1:8" x14ac:dyDescent="0.25">
      <c r="A122" s="102">
        <v>1</v>
      </c>
      <c r="B122" s="103" t="s">
        <v>41</v>
      </c>
      <c r="C122" s="96"/>
      <c r="D122" s="97"/>
      <c r="E122" s="98"/>
      <c r="F122" s="99"/>
      <c r="G122" s="110"/>
      <c r="H122" s="111"/>
    </row>
    <row r="123" spans="1:8" x14ac:dyDescent="0.25">
      <c r="A123" s="102">
        <v>1</v>
      </c>
      <c r="B123" s="103" t="s">
        <v>53</v>
      </c>
      <c r="C123" s="96"/>
      <c r="D123" s="97"/>
      <c r="E123" s="98"/>
      <c r="F123" s="99"/>
      <c r="G123" s="110"/>
      <c r="H123" s="111"/>
    </row>
    <row r="124" spans="1:8" x14ac:dyDescent="0.25">
      <c r="A124" s="102">
        <v>1</v>
      </c>
      <c r="B124" s="103" t="s">
        <v>1</v>
      </c>
      <c r="C124" s="96"/>
      <c r="D124" s="97"/>
      <c r="E124" s="98"/>
      <c r="F124" s="99"/>
      <c r="G124" s="110"/>
      <c r="H124" s="111"/>
    </row>
    <row r="125" spans="1:8" x14ac:dyDescent="0.25">
      <c r="A125" s="102">
        <v>1</v>
      </c>
      <c r="B125" s="103" t="s">
        <v>99</v>
      </c>
      <c r="C125" s="96"/>
      <c r="D125" s="97"/>
      <c r="E125" s="98"/>
      <c r="F125" s="99"/>
      <c r="G125" s="110"/>
      <c r="H125" s="111"/>
    </row>
    <row r="126" spans="1:8" x14ac:dyDescent="0.25">
      <c r="A126" s="102">
        <v>1</v>
      </c>
      <c r="B126" s="103" t="s">
        <v>25</v>
      </c>
      <c r="C126" s="96"/>
      <c r="D126" s="97"/>
      <c r="E126" s="98"/>
      <c r="F126" s="99"/>
      <c r="G126" s="110"/>
      <c r="H126" s="111"/>
    </row>
    <row r="127" spans="1:8" x14ac:dyDescent="0.25">
      <c r="A127" s="102">
        <v>1</v>
      </c>
      <c r="B127" s="103" t="s">
        <v>121</v>
      </c>
      <c r="C127" s="96"/>
      <c r="D127" s="97"/>
      <c r="E127" s="98"/>
      <c r="F127" s="99"/>
      <c r="G127" s="110"/>
      <c r="H127" s="111"/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FD5CD-20DF-0345-B78E-32434C300AAD}">
  <dimension ref="A1:H127"/>
  <sheetViews>
    <sheetView workbookViewId="0">
      <selection activeCell="I30" sqref="I30"/>
    </sheetView>
  </sheetViews>
  <sheetFormatPr defaultColWidth="10.85546875" defaultRowHeight="15.75" x14ac:dyDescent="0.25"/>
  <cols>
    <col min="1" max="1" width="10.85546875" style="47"/>
    <col min="2" max="2" width="32" style="47" customWidth="1"/>
    <col min="3" max="3" width="13.42578125" style="47" customWidth="1"/>
    <col min="4" max="16384" width="10.85546875" style="47"/>
  </cols>
  <sheetData>
    <row r="1" spans="1:8" x14ac:dyDescent="0.25">
      <c r="A1" s="135" t="s">
        <v>271</v>
      </c>
      <c r="B1" s="135"/>
      <c r="C1" s="135"/>
      <c r="D1" s="135"/>
      <c r="E1" s="135"/>
      <c r="F1" s="135"/>
      <c r="G1" s="135"/>
      <c r="H1" s="135"/>
    </row>
    <row r="2" spans="1:8" ht="60" customHeight="1" x14ac:dyDescent="0.25">
      <c r="A2" s="23" t="s">
        <v>129</v>
      </c>
      <c r="B2" s="107" t="s">
        <v>221</v>
      </c>
      <c r="C2" s="66" t="s">
        <v>266</v>
      </c>
      <c r="D2" s="66" t="s">
        <v>267</v>
      </c>
      <c r="E2" s="66" t="s">
        <v>268</v>
      </c>
      <c r="F2" s="66" t="s">
        <v>269</v>
      </c>
      <c r="G2" s="66" t="s">
        <v>205</v>
      </c>
      <c r="H2" s="24" t="s">
        <v>270</v>
      </c>
    </row>
    <row r="3" spans="1:8" x14ac:dyDescent="0.25">
      <c r="A3" s="57"/>
      <c r="B3" s="90" t="s">
        <v>124</v>
      </c>
      <c r="C3" s="91"/>
      <c r="D3" s="108"/>
      <c r="E3" s="106"/>
      <c r="F3" s="92"/>
      <c r="G3" s="92"/>
      <c r="H3" s="109"/>
    </row>
    <row r="4" spans="1:8" x14ac:dyDescent="0.25">
      <c r="A4" s="27">
        <v>1</v>
      </c>
      <c r="B4" s="95" t="s">
        <v>24</v>
      </c>
      <c r="C4" s="96"/>
      <c r="D4" s="97"/>
      <c r="E4" s="98"/>
      <c r="F4" s="99"/>
      <c r="G4" s="110"/>
      <c r="H4" s="111"/>
    </row>
    <row r="5" spans="1:8" x14ac:dyDescent="0.25">
      <c r="A5" s="102">
        <v>1</v>
      </c>
      <c r="B5" s="95" t="s">
        <v>17</v>
      </c>
      <c r="C5" s="96"/>
      <c r="D5" s="97"/>
      <c r="E5" s="98"/>
      <c r="F5" s="99"/>
      <c r="G5" s="110"/>
      <c r="H5" s="111"/>
    </row>
    <row r="6" spans="1:8" x14ac:dyDescent="0.25">
      <c r="A6" s="102">
        <v>1</v>
      </c>
      <c r="B6" s="95" t="s">
        <v>5</v>
      </c>
      <c r="C6" s="96"/>
      <c r="D6" s="97"/>
      <c r="E6" s="98"/>
      <c r="F6" s="99"/>
      <c r="G6" s="110"/>
      <c r="H6" s="111"/>
    </row>
    <row r="7" spans="1:8" x14ac:dyDescent="0.25">
      <c r="A7" s="102">
        <v>1</v>
      </c>
      <c r="B7" s="95" t="s">
        <v>2</v>
      </c>
      <c r="C7" s="96"/>
      <c r="D7" s="97"/>
      <c r="E7" s="98"/>
      <c r="F7" s="99"/>
      <c r="G7" s="110"/>
      <c r="H7" s="111"/>
    </row>
    <row r="8" spans="1:8" x14ac:dyDescent="0.25">
      <c r="A8" s="102">
        <v>1</v>
      </c>
      <c r="B8" s="95" t="s">
        <v>11</v>
      </c>
      <c r="C8" s="96"/>
      <c r="D8" s="97"/>
      <c r="E8" s="98"/>
      <c r="F8" s="99"/>
      <c r="G8" s="110"/>
      <c r="H8" s="111"/>
    </row>
    <row r="9" spans="1:8" x14ac:dyDescent="0.25">
      <c r="A9" s="102">
        <v>1</v>
      </c>
      <c r="B9" s="95" t="s">
        <v>59</v>
      </c>
      <c r="C9" s="96"/>
      <c r="D9" s="97"/>
      <c r="E9" s="98"/>
      <c r="F9" s="99"/>
      <c r="G9" s="110"/>
      <c r="H9" s="111"/>
    </row>
    <row r="10" spans="1:8" x14ac:dyDescent="0.25">
      <c r="A10" s="102">
        <v>1</v>
      </c>
      <c r="B10" s="95" t="s">
        <v>37</v>
      </c>
      <c r="C10" s="96"/>
      <c r="D10" s="97"/>
      <c r="E10" s="98"/>
      <c r="F10" s="99"/>
      <c r="G10" s="110"/>
      <c r="H10" s="111"/>
    </row>
    <row r="11" spans="1:8" x14ac:dyDescent="0.25">
      <c r="A11" s="102">
        <v>1</v>
      </c>
      <c r="B11" s="103" t="s">
        <v>15</v>
      </c>
      <c r="C11" s="96"/>
      <c r="D11" s="97"/>
      <c r="E11" s="98"/>
      <c r="F11" s="99"/>
      <c r="G11" s="110"/>
      <c r="H11" s="111"/>
    </row>
    <row r="12" spans="1:8" x14ac:dyDescent="0.25">
      <c r="A12" s="102">
        <v>1</v>
      </c>
      <c r="B12" s="103" t="s">
        <v>50</v>
      </c>
      <c r="C12" s="96"/>
      <c r="D12" s="97"/>
      <c r="E12" s="98"/>
      <c r="F12" s="99"/>
      <c r="G12" s="110"/>
      <c r="H12" s="111"/>
    </row>
    <row r="13" spans="1:8" x14ac:dyDescent="0.25">
      <c r="A13" s="102">
        <v>1</v>
      </c>
      <c r="B13" s="103" t="s">
        <v>57</v>
      </c>
      <c r="C13" s="96"/>
      <c r="D13" s="97"/>
      <c r="E13" s="98"/>
      <c r="F13" s="99"/>
      <c r="G13" s="110"/>
      <c r="H13" s="111"/>
    </row>
    <row r="14" spans="1:8" x14ac:dyDescent="0.25">
      <c r="A14" s="102">
        <v>1</v>
      </c>
      <c r="B14" s="103" t="s">
        <v>94</v>
      </c>
      <c r="C14" s="96"/>
      <c r="D14" s="97"/>
      <c r="E14" s="98"/>
      <c r="F14" s="99"/>
      <c r="G14" s="110"/>
      <c r="H14" s="111"/>
    </row>
    <row r="15" spans="1:8" x14ac:dyDescent="0.25">
      <c r="A15" s="102">
        <v>1</v>
      </c>
      <c r="B15" s="103" t="s">
        <v>40</v>
      </c>
      <c r="C15" s="96"/>
      <c r="D15" s="97"/>
      <c r="E15" s="98"/>
      <c r="F15" s="99"/>
      <c r="G15" s="110"/>
      <c r="H15" s="111"/>
    </row>
    <row r="16" spans="1:8" x14ac:dyDescent="0.25">
      <c r="A16" s="102">
        <v>1</v>
      </c>
      <c r="B16" s="103" t="s">
        <v>111</v>
      </c>
      <c r="C16" s="96"/>
      <c r="D16" s="97"/>
      <c r="E16" s="98"/>
      <c r="F16" s="99"/>
      <c r="G16" s="110"/>
      <c r="H16" s="111"/>
    </row>
    <row r="17" spans="1:8" x14ac:dyDescent="0.25">
      <c r="A17" s="102">
        <v>1</v>
      </c>
      <c r="B17" s="103" t="s">
        <v>87</v>
      </c>
      <c r="C17" s="96"/>
      <c r="D17" s="97"/>
      <c r="E17" s="98"/>
      <c r="F17" s="99"/>
      <c r="G17" s="110"/>
      <c r="H17" s="111"/>
    </row>
    <row r="18" spans="1:8" x14ac:dyDescent="0.25">
      <c r="A18" s="102">
        <v>1</v>
      </c>
      <c r="B18" s="103" t="s">
        <v>77</v>
      </c>
      <c r="C18" s="96"/>
      <c r="D18" s="97"/>
      <c r="E18" s="98"/>
      <c r="F18" s="99"/>
      <c r="G18" s="110"/>
      <c r="H18" s="111"/>
    </row>
    <row r="19" spans="1:8" x14ac:dyDescent="0.25">
      <c r="A19" s="102">
        <v>1</v>
      </c>
      <c r="B19" s="103" t="s">
        <v>46</v>
      </c>
      <c r="C19" s="96"/>
      <c r="D19" s="97"/>
      <c r="E19" s="98"/>
      <c r="F19" s="99"/>
      <c r="G19" s="110"/>
      <c r="H19" s="111"/>
    </row>
    <row r="20" spans="1:8" x14ac:dyDescent="0.25">
      <c r="A20" s="102">
        <v>1</v>
      </c>
      <c r="B20" s="103" t="s">
        <v>64</v>
      </c>
      <c r="C20" s="96"/>
      <c r="D20" s="97"/>
      <c r="E20" s="98"/>
      <c r="F20" s="99"/>
      <c r="G20" s="110"/>
      <c r="H20" s="111"/>
    </row>
    <row r="21" spans="1:8" x14ac:dyDescent="0.25">
      <c r="A21" s="102">
        <v>1</v>
      </c>
      <c r="B21" s="103" t="s">
        <v>27</v>
      </c>
      <c r="C21" s="96"/>
      <c r="D21" s="97"/>
      <c r="E21" s="98"/>
      <c r="F21" s="99"/>
      <c r="G21" s="110"/>
      <c r="H21" s="111"/>
    </row>
    <row r="22" spans="1:8" x14ac:dyDescent="0.25">
      <c r="A22" s="102">
        <v>1</v>
      </c>
      <c r="B22" s="103" t="s">
        <v>110</v>
      </c>
      <c r="C22" s="96"/>
      <c r="D22" s="97"/>
      <c r="E22" s="98"/>
      <c r="F22" s="99"/>
      <c r="G22" s="110"/>
      <c r="H22" s="111"/>
    </row>
    <row r="23" spans="1:8" x14ac:dyDescent="0.25">
      <c r="A23" s="102">
        <v>1</v>
      </c>
      <c r="B23" s="103" t="s">
        <v>92</v>
      </c>
      <c r="C23" s="96"/>
      <c r="D23" s="97"/>
      <c r="E23" s="98"/>
      <c r="F23" s="99"/>
      <c r="G23" s="110"/>
      <c r="H23" s="111"/>
    </row>
    <row r="24" spans="1:8" x14ac:dyDescent="0.25">
      <c r="A24" s="102">
        <v>1</v>
      </c>
      <c r="B24" s="103" t="s">
        <v>22</v>
      </c>
      <c r="C24" s="96"/>
      <c r="D24" s="97"/>
      <c r="E24" s="98"/>
      <c r="F24" s="99"/>
      <c r="G24" s="110"/>
      <c r="H24" s="111"/>
    </row>
    <row r="25" spans="1:8" x14ac:dyDescent="0.25">
      <c r="A25" s="102">
        <v>1</v>
      </c>
      <c r="B25" s="103" t="s">
        <v>70</v>
      </c>
      <c r="C25" s="96"/>
      <c r="D25" s="97"/>
      <c r="E25" s="98"/>
      <c r="F25" s="99"/>
      <c r="G25" s="110"/>
      <c r="H25" s="111"/>
    </row>
    <row r="26" spans="1:8" x14ac:dyDescent="0.25">
      <c r="A26" s="102">
        <v>1</v>
      </c>
      <c r="B26" s="103" t="s">
        <v>116</v>
      </c>
      <c r="C26" s="96"/>
      <c r="D26" s="97"/>
      <c r="E26" s="98"/>
      <c r="F26" s="99"/>
      <c r="G26" s="110"/>
      <c r="H26" s="111"/>
    </row>
    <row r="27" spans="1:8" x14ac:dyDescent="0.25">
      <c r="A27" s="102">
        <v>1</v>
      </c>
      <c r="B27" s="103" t="s">
        <v>4</v>
      </c>
      <c r="C27" s="96"/>
      <c r="D27" s="97"/>
      <c r="E27" s="98"/>
      <c r="F27" s="99"/>
      <c r="G27" s="110"/>
      <c r="H27" s="111"/>
    </row>
    <row r="28" spans="1:8" x14ac:dyDescent="0.25">
      <c r="A28" s="102">
        <v>1</v>
      </c>
      <c r="B28" s="103" t="s">
        <v>58</v>
      </c>
      <c r="C28" s="96"/>
      <c r="D28" s="97"/>
      <c r="E28" s="98"/>
      <c r="F28" s="99"/>
      <c r="G28" s="110"/>
      <c r="H28" s="111"/>
    </row>
    <row r="29" spans="1:8" x14ac:dyDescent="0.25">
      <c r="A29" s="102">
        <v>1</v>
      </c>
      <c r="B29" s="103" t="s">
        <v>36</v>
      </c>
      <c r="C29" s="96"/>
      <c r="D29" s="97"/>
      <c r="E29" s="98"/>
      <c r="F29" s="99"/>
      <c r="G29" s="110"/>
      <c r="H29" s="111"/>
    </row>
    <row r="30" spans="1:8" x14ac:dyDescent="0.25">
      <c r="A30" s="102">
        <v>1</v>
      </c>
      <c r="B30" s="103" t="s">
        <v>78</v>
      </c>
      <c r="C30" s="96"/>
      <c r="D30" s="97"/>
      <c r="E30" s="98"/>
      <c r="F30" s="99"/>
      <c r="G30" s="110"/>
      <c r="H30" s="111"/>
    </row>
    <row r="31" spans="1:8" x14ac:dyDescent="0.25">
      <c r="A31" s="102">
        <v>1</v>
      </c>
      <c r="B31" s="103" t="s">
        <v>119</v>
      </c>
      <c r="C31" s="96"/>
      <c r="D31" s="97"/>
      <c r="E31" s="98"/>
      <c r="F31" s="99"/>
      <c r="G31" s="110"/>
      <c r="H31" s="111"/>
    </row>
    <row r="32" spans="1:8" x14ac:dyDescent="0.25">
      <c r="A32" s="102">
        <v>1</v>
      </c>
      <c r="B32" s="103" t="s">
        <v>68</v>
      </c>
      <c r="C32" s="96"/>
      <c r="D32" s="97"/>
      <c r="E32" s="98"/>
      <c r="F32" s="99"/>
      <c r="G32" s="110"/>
      <c r="H32" s="111"/>
    </row>
    <row r="33" spans="1:8" x14ac:dyDescent="0.25">
      <c r="A33" s="102">
        <v>1</v>
      </c>
      <c r="B33" s="103" t="s">
        <v>0</v>
      </c>
      <c r="C33" s="96"/>
      <c r="D33" s="97"/>
      <c r="E33" s="98"/>
      <c r="F33" s="99"/>
      <c r="G33" s="110"/>
      <c r="H33" s="111"/>
    </row>
    <row r="34" spans="1:8" x14ac:dyDescent="0.25">
      <c r="A34" s="102">
        <v>1</v>
      </c>
      <c r="B34" s="103" t="s">
        <v>21</v>
      </c>
      <c r="C34" s="96"/>
      <c r="D34" s="97"/>
      <c r="E34" s="98"/>
      <c r="F34" s="99"/>
      <c r="G34" s="110"/>
      <c r="H34" s="111"/>
    </row>
    <row r="35" spans="1:8" x14ac:dyDescent="0.25">
      <c r="A35" s="102">
        <v>1</v>
      </c>
      <c r="B35" s="103" t="s">
        <v>102</v>
      </c>
      <c r="C35" s="96"/>
      <c r="D35" s="97"/>
      <c r="E35" s="98"/>
      <c r="F35" s="99"/>
      <c r="G35" s="110"/>
      <c r="H35" s="111"/>
    </row>
    <row r="36" spans="1:8" x14ac:dyDescent="0.25">
      <c r="A36" s="102">
        <v>1</v>
      </c>
      <c r="B36" s="103" t="s">
        <v>29</v>
      </c>
      <c r="C36" s="96"/>
      <c r="D36" s="97"/>
      <c r="E36" s="98"/>
      <c r="F36" s="99"/>
      <c r="G36" s="110"/>
      <c r="H36" s="111"/>
    </row>
    <row r="37" spans="1:8" x14ac:dyDescent="0.25">
      <c r="A37" s="102">
        <v>1</v>
      </c>
      <c r="B37" s="103" t="s">
        <v>38</v>
      </c>
      <c r="C37" s="96"/>
      <c r="D37" s="97"/>
      <c r="E37" s="98"/>
      <c r="F37" s="99"/>
      <c r="G37" s="110"/>
      <c r="H37" s="111"/>
    </row>
    <row r="38" spans="1:8" x14ac:dyDescent="0.25">
      <c r="A38" s="102">
        <v>1</v>
      </c>
      <c r="B38" s="103" t="s">
        <v>69</v>
      </c>
      <c r="C38" s="96"/>
      <c r="D38" s="97"/>
      <c r="E38" s="98"/>
      <c r="F38" s="99"/>
      <c r="G38" s="110"/>
      <c r="H38" s="111"/>
    </row>
    <row r="39" spans="1:8" x14ac:dyDescent="0.25">
      <c r="A39" s="102">
        <v>1</v>
      </c>
      <c r="B39" s="103" t="s">
        <v>93</v>
      </c>
      <c r="C39" s="96"/>
      <c r="D39" s="97"/>
      <c r="E39" s="98"/>
      <c r="F39" s="99"/>
      <c r="G39" s="110"/>
      <c r="H39" s="111"/>
    </row>
    <row r="40" spans="1:8" x14ac:dyDescent="0.25">
      <c r="A40" s="102">
        <v>1</v>
      </c>
      <c r="B40" s="103" t="s">
        <v>65</v>
      </c>
      <c r="C40" s="96"/>
      <c r="D40" s="97"/>
      <c r="E40" s="98"/>
      <c r="F40" s="99"/>
      <c r="G40" s="110"/>
      <c r="H40" s="111"/>
    </row>
    <row r="41" spans="1:8" x14ac:dyDescent="0.25">
      <c r="A41" s="102">
        <v>1</v>
      </c>
      <c r="B41" s="103" t="s">
        <v>35</v>
      </c>
      <c r="C41" s="96"/>
      <c r="D41" s="97"/>
      <c r="E41" s="98"/>
      <c r="F41" s="99"/>
      <c r="G41" s="110"/>
      <c r="H41" s="111"/>
    </row>
    <row r="42" spans="1:8" x14ac:dyDescent="0.25">
      <c r="A42" s="102">
        <v>1</v>
      </c>
      <c r="B42" s="103" t="s">
        <v>39</v>
      </c>
      <c r="C42" s="96"/>
      <c r="D42" s="97"/>
      <c r="E42" s="98"/>
      <c r="F42" s="99"/>
      <c r="G42" s="110"/>
      <c r="H42" s="111"/>
    </row>
    <row r="43" spans="1:8" x14ac:dyDescent="0.25">
      <c r="A43" s="102">
        <v>1</v>
      </c>
      <c r="B43" s="103" t="s">
        <v>49</v>
      </c>
      <c r="C43" s="96"/>
      <c r="D43" s="97"/>
      <c r="E43" s="98"/>
      <c r="F43" s="99"/>
      <c r="G43" s="110"/>
      <c r="H43" s="111"/>
    </row>
    <row r="44" spans="1:8" x14ac:dyDescent="0.25">
      <c r="A44" s="102">
        <v>1</v>
      </c>
      <c r="B44" s="103" t="s">
        <v>71</v>
      </c>
      <c r="C44" s="96"/>
      <c r="D44" s="97"/>
      <c r="E44" s="98"/>
      <c r="F44" s="99"/>
      <c r="G44" s="110"/>
      <c r="H44" s="111"/>
    </row>
    <row r="45" spans="1:8" x14ac:dyDescent="0.25">
      <c r="A45" s="102">
        <v>1</v>
      </c>
      <c r="B45" s="103" t="s">
        <v>3</v>
      </c>
      <c r="C45" s="96"/>
      <c r="D45" s="97"/>
      <c r="E45" s="98"/>
      <c r="F45" s="99"/>
      <c r="G45" s="110"/>
      <c r="H45" s="111"/>
    </row>
    <row r="46" spans="1:8" x14ac:dyDescent="0.25">
      <c r="A46" s="102">
        <v>1</v>
      </c>
      <c r="B46" s="103" t="s">
        <v>56</v>
      </c>
      <c r="C46" s="96"/>
      <c r="D46" s="97"/>
      <c r="E46" s="98"/>
      <c r="F46" s="99"/>
      <c r="G46" s="110"/>
      <c r="H46" s="111"/>
    </row>
    <row r="47" spans="1:8" x14ac:dyDescent="0.25">
      <c r="A47" s="102">
        <v>1</v>
      </c>
      <c r="B47" s="103" t="s">
        <v>26</v>
      </c>
      <c r="C47" s="96"/>
      <c r="D47" s="97"/>
      <c r="E47" s="98"/>
      <c r="F47" s="99"/>
      <c r="G47" s="110"/>
      <c r="H47" s="111"/>
    </row>
    <row r="48" spans="1:8" x14ac:dyDescent="0.25">
      <c r="A48" s="102">
        <v>1</v>
      </c>
      <c r="B48" s="103" t="s">
        <v>33</v>
      </c>
      <c r="C48" s="96"/>
      <c r="D48" s="97"/>
      <c r="E48" s="98"/>
      <c r="F48" s="99"/>
      <c r="G48" s="110"/>
      <c r="H48" s="111"/>
    </row>
    <row r="49" spans="1:8" x14ac:dyDescent="0.25">
      <c r="A49" s="102">
        <v>1</v>
      </c>
      <c r="B49" s="103" t="s">
        <v>89</v>
      </c>
      <c r="C49" s="96"/>
      <c r="D49" s="97"/>
      <c r="E49" s="98"/>
      <c r="F49" s="99"/>
      <c r="G49" s="110"/>
      <c r="H49" s="111"/>
    </row>
    <row r="50" spans="1:8" x14ac:dyDescent="0.25">
      <c r="A50" s="102">
        <v>1</v>
      </c>
      <c r="B50" s="103" t="s">
        <v>112</v>
      </c>
      <c r="C50" s="96"/>
      <c r="D50" s="97"/>
      <c r="E50" s="98"/>
      <c r="F50" s="99"/>
      <c r="G50" s="110"/>
      <c r="H50" s="111"/>
    </row>
    <row r="51" spans="1:8" x14ac:dyDescent="0.25">
      <c r="A51" s="102">
        <v>1</v>
      </c>
      <c r="B51" s="103" t="s">
        <v>123</v>
      </c>
      <c r="C51" s="96"/>
      <c r="D51" s="97"/>
      <c r="E51" s="98"/>
      <c r="F51" s="99"/>
      <c r="G51" s="110"/>
      <c r="H51" s="111"/>
    </row>
    <row r="52" spans="1:8" x14ac:dyDescent="0.25">
      <c r="A52" s="102">
        <v>1</v>
      </c>
      <c r="B52" s="103" t="s">
        <v>79</v>
      </c>
      <c r="C52" s="96"/>
      <c r="D52" s="97"/>
      <c r="E52" s="98"/>
      <c r="F52" s="99"/>
      <c r="G52" s="110"/>
      <c r="H52" s="111"/>
    </row>
    <row r="53" spans="1:8" x14ac:dyDescent="0.25">
      <c r="A53" s="102">
        <v>1</v>
      </c>
      <c r="B53" s="103" t="s">
        <v>96</v>
      </c>
      <c r="C53" s="96"/>
      <c r="D53" s="97"/>
      <c r="E53" s="98"/>
      <c r="F53" s="99"/>
      <c r="G53" s="110"/>
      <c r="H53" s="111"/>
    </row>
    <row r="54" spans="1:8" x14ac:dyDescent="0.25">
      <c r="A54" s="102">
        <v>1</v>
      </c>
      <c r="B54" s="103" t="s">
        <v>108</v>
      </c>
      <c r="C54" s="96"/>
      <c r="D54" s="97"/>
      <c r="E54" s="98"/>
      <c r="F54" s="99"/>
      <c r="G54" s="110"/>
      <c r="H54" s="111"/>
    </row>
    <row r="55" spans="1:8" x14ac:dyDescent="0.25">
      <c r="A55" s="102">
        <v>1</v>
      </c>
      <c r="B55" s="103" t="s">
        <v>104</v>
      </c>
      <c r="C55" s="96"/>
      <c r="D55" s="97"/>
      <c r="E55" s="98"/>
      <c r="F55" s="99"/>
      <c r="G55" s="110"/>
      <c r="H55" s="111"/>
    </row>
    <row r="56" spans="1:8" x14ac:dyDescent="0.25">
      <c r="A56" s="102">
        <v>1</v>
      </c>
      <c r="B56" s="103" t="s">
        <v>106</v>
      </c>
      <c r="C56" s="96"/>
      <c r="D56" s="97"/>
      <c r="E56" s="98"/>
      <c r="F56" s="99"/>
      <c r="G56" s="110"/>
      <c r="H56" s="111"/>
    </row>
    <row r="57" spans="1:8" x14ac:dyDescent="0.25">
      <c r="A57" s="102">
        <v>1</v>
      </c>
      <c r="B57" s="103" t="s">
        <v>7</v>
      </c>
      <c r="C57" s="96"/>
      <c r="D57" s="97"/>
      <c r="E57" s="98"/>
      <c r="F57" s="99"/>
      <c r="G57" s="110"/>
      <c r="H57" s="111"/>
    </row>
    <row r="58" spans="1:8" x14ac:dyDescent="0.25">
      <c r="A58" s="102">
        <v>1</v>
      </c>
      <c r="B58" s="103" t="s">
        <v>95</v>
      </c>
      <c r="C58" s="96"/>
      <c r="D58" s="97"/>
      <c r="E58" s="98"/>
      <c r="F58" s="99"/>
      <c r="G58" s="110"/>
      <c r="H58" s="111"/>
    </row>
    <row r="59" spans="1:8" x14ac:dyDescent="0.25">
      <c r="A59" s="102">
        <v>1</v>
      </c>
      <c r="B59" s="103" t="s">
        <v>30</v>
      </c>
      <c r="C59" s="96"/>
      <c r="D59" s="97"/>
      <c r="E59" s="98"/>
      <c r="F59" s="99"/>
      <c r="G59" s="110"/>
      <c r="H59" s="111"/>
    </row>
    <row r="60" spans="1:8" x14ac:dyDescent="0.25">
      <c r="A60" s="102">
        <v>1</v>
      </c>
      <c r="B60" s="103" t="s">
        <v>80</v>
      </c>
      <c r="C60" s="96"/>
      <c r="D60" s="97"/>
      <c r="E60" s="98"/>
      <c r="F60" s="99"/>
      <c r="G60" s="110"/>
      <c r="H60" s="111"/>
    </row>
    <row r="61" spans="1:8" x14ac:dyDescent="0.25">
      <c r="A61" s="102">
        <v>1</v>
      </c>
      <c r="B61" s="103" t="s">
        <v>82</v>
      </c>
      <c r="C61" s="96"/>
      <c r="D61" s="97"/>
      <c r="E61" s="98"/>
      <c r="F61" s="99"/>
      <c r="G61" s="110"/>
      <c r="H61" s="111"/>
    </row>
    <row r="62" spans="1:8" x14ac:dyDescent="0.25">
      <c r="A62" s="102">
        <v>1</v>
      </c>
      <c r="B62" s="103" t="s">
        <v>47</v>
      </c>
      <c r="C62" s="96"/>
      <c r="D62" s="97"/>
      <c r="E62" s="98"/>
      <c r="F62" s="99"/>
      <c r="G62" s="110"/>
      <c r="H62" s="111"/>
    </row>
    <row r="63" spans="1:8" x14ac:dyDescent="0.25">
      <c r="A63" s="102">
        <v>1</v>
      </c>
      <c r="B63" s="103" t="s">
        <v>28</v>
      </c>
      <c r="C63" s="96"/>
      <c r="D63" s="97"/>
      <c r="E63" s="98"/>
      <c r="F63" s="99"/>
      <c r="G63" s="110"/>
      <c r="H63" s="111"/>
    </row>
    <row r="64" spans="1:8" x14ac:dyDescent="0.25">
      <c r="A64" s="102">
        <v>1</v>
      </c>
      <c r="B64" s="103" t="s">
        <v>107</v>
      </c>
      <c r="C64" s="96"/>
      <c r="D64" s="97"/>
      <c r="E64" s="98"/>
      <c r="F64" s="99"/>
      <c r="G64" s="110"/>
      <c r="H64" s="111"/>
    </row>
    <row r="65" spans="1:8" x14ac:dyDescent="0.25">
      <c r="A65" s="102">
        <v>1</v>
      </c>
      <c r="B65" s="103" t="s">
        <v>105</v>
      </c>
      <c r="C65" s="96"/>
      <c r="D65" s="97"/>
      <c r="E65" s="98"/>
      <c r="F65" s="99"/>
      <c r="G65" s="110"/>
      <c r="H65" s="111"/>
    </row>
    <row r="66" spans="1:8" x14ac:dyDescent="0.25">
      <c r="A66" s="102">
        <v>1</v>
      </c>
      <c r="B66" s="103" t="s">
        <v>97</v>
      </c>
      <c r="C66" s="96"/>
      <c r="D66" s="97"/>
      <c r="E66" s="98"/>
      <c r="F66" s="99"/>
      <c r="G66" s="110"/>
      <c r="H66" s="111"/>
    </row>
    <row r="67" spans="1:8" x14ac:dyDescent="0.25">
      <c r="A67" s="102">
        <v>1</v>
      </c>
      <c r="B67" s="103" t="s">
        <v>76</v>
      </c>
      <c r="C67" s="96"/>
      <c r="D67" s="97"/>
      <c r="E67" s="98"/>
      <c r="F67" s="99"/>
      <c r="G67" s="110"/>
      <c r="H67" s="111"/>
    </row>
    <row r="68" spans="1:8" x14ac:dyDescent="0.25">
      <c r="A68" s="102">
        <v>1</v>
      </c>
      <c r="B68" s="103" t="s">
        <v>118</v>
      </c>
      <c r="C68" s="96"/>
      <c r="D68" s="97"/>
      <c r="E68" s="98"/>
      <c r="F68" s="99"/>
      <c r="G68" s="110"/>
      <c r="H68" s="111"/>
    </row>
    <row r="69" spans="1:8" x14ac:dyDescent="0.25">
      <c r="A69" s="102">
        <v>1</v>
      </c>
      <c r="B69" s="103" t="s">
        <v>43</v>
      </c>
      <c r="C69" s="96"/>
      <c r="D69" s="97"/>
      <c r="E69" s="98"/>
      <c r="F69" s="99"/>
      <c r="G69" s="110"/>
      <c r="H69" s="111"/>
    </row>
    <row r="70" spans="1:8" x14ac:dyDescent="0.25">
      <c r="A70" s="102">
        <v>1</v>
      </c>
      <c r="B70" s="103" t="s">
        <v>73</v>
      </c>
      <c r="C70" s="96"/>
      <c r="D70" s="97"/>
      <c r="E70" s="98"/>
      <c r="F70" s="99"/>
      <c r="G70" s="110"/>
      <c r="H70" s="111"/>
    </row>
    <row r="71" spans="1:8" x14ac:dyDescent="0.25">
      <c r="A71" s="102">
        <v>1</v>
      </c>
      <c r="B71" s="103" t="s">
        <v>23</v>
      </c>
      <c r="C71" s="96"/>
      <c r="D71" s="97"/>
      <c r="E71" s="98"/>
      <c r="F71" s="99"/>
      <c r="G71" s="110"/>
      <c r="H71" s="111"/>
    </row>
    <row r="72" spans="1:8" x14ac:dyDescent="0.25">
      <c r="A72" s="102">
        <v>1</v>
      </c>
      <c r="B72" s="103" t="s">
        <v>114</v>
      </c>
      <c r="C72" s="96"/>
      <c r="D72" s="97"/>
      <c r="E72" s="98"/>
      <c r="F72" s="99"/>
      <c r="G72" s="110"/>
      <c r="H72" s="111"/>
    </row>
    <row r="73" spans="1:8" x14ac:dyDescent="0.25">
      <c r="A73" s="102">
        <v>1</v>
      </c>
      <c r="B73" s="103" t="s">
        <v>85</v>
      </c>
      <c r="C73" s="96"/>
      <c r="D73" s="97"/>
      <c r="E73" s="98"/>
      <c r="F73" s="99"/>
      <c r="G73" s="110"/>
      <c r="H73" s="111"/>
    </row>
    <row r="74" spans="1:8" x14ac:dyDescent="0.25">
      <c r="A74" s="102">
        <v>1</v>
      </c>
      <c r="B74" s="103" t="s">
        <v>60</v>
      </c>
      <c r="C74" s="96"/>
      <c r="D74" s="97"/>
      <c r="E74" s="98"/>
      <c r="F74" s="99"/>
      <c r="G74" s="110"/>
      <c r="H74" s="111"/>
    </row>
    <row r="75" spans="1:8" x14ac:dyDescent="0.25">
      <c r="A75" s="102">
        <v>1</v>
      </c>
      <c r="B75" s="103" t="s">
        <v>44</v>
      </c>
      <c r="C75" s="96"/>
      <c r="D75" s="97"/>
      <c r="E75" s="98"/>
      <c r="F75" s="99"/>
      <c r="G75" s="110"/>
      <c r="H75" s="111"/>
    </row>
    <row r="76" spans="1:8" x14ac:dyDescent="0.25">
      <c r="A76" s="102">
        <v>1</v>
      </c>
      <c r="B76" s="103" t="s">
        <v>91</v>
      </c>
      <c r="C76" s="96"/>
      <c r="D76" s="97"/>
      <c r="E76" s="98"/>
      <c r="F76" s="99"/>
      <c r="G76" s="110"/>
      <c r="H76" s="111"/>
    </row>
    <row r="77" spans="1:8" x14ac:dyDescent="0.25">
      <c r="A77" s="102">
        <v>1</v>
      </c>
      <c r="B77" s="103" t="s">
        <v>10</v>
      </c>
      <c r="C77" s="96"/>
      <c r="D77" s="97"/>
      <c r="E77" s="98"/>
      <c r="F77" s="99"/>
      <c r="G77" s="110"/>
      <c r="H77" s="111"/>
    </row>
    <row r="78" spans="1:8" x14ac:dyDescent="0.25">
      <c r="A78" s="102">
        <v>1</v>
      </c>
      <c r="B78" s="103" t="s">
        <v>6</v>
      </c>
      <c r="C78" s="96"/>
      <c r="D78" s="97"/>
      <c r="E78" s="98"/>
      <c r="F78" s="99"/>
      <c r="G78" s="110"/>
      <c r="H78" s="111"/>
    </row>
    <row r="79" spans="1:8" x14ac:dyDescent="0.25">
      <c r="A79" s="102">
        <v>1</v>
      </c>
      <c r="B79" s="103" t="s">
        <v>67</v>
      </c>
      <c r="C79" s="96"/>
      <c r="D79" s="97"/>
      <c r="E79" s="98"/>
      <c r="F79" s="99"/>
      <c r="G79" s="110"/>
      <c r="H79" s="111"/>
    </row>
    <row r="80" spans="1:8" x14ac:dyDescent="0.25">
      <c r="A80" s="102">
        <v>1</v>
      </c>
      <c r="B80" s="103" t="s">
        <v>109</v>
      </c>
      <c r="C80" s="96"/>
      <c r="D80" s="97"/>
      <c r="E80" s="98"/>
      <c r="F80" s="99"/>
      <c r="G80" s="110"/>
      <c r="H80" s="111"/>
    </row>
    <row r="81" spans="1:8" x14ac:dyDescent="0.25">
      <c r="A81" s="102">
        <v>1</v>
      </c>
      <c r="B81" s="103" t="s">
        <v>32</v>
      </c>
      <c r="C81" s="96"/>
      <c r="D81" s="97"/>
      <c r="E81" s="98"/>
      <c r="F81" s="99"/>
      <c r="G81" s="110"/>
      <c r="H81" s="111"/>
    </row>
    <row r="82" spans="1:8" x14ac:dyDescent="0.25">
      <c r="A82" s="102">
        <v>1</v>
      </c>
      <c r="B82" s="103" t="s">
        <v>54</v>
      </c>
      <c r="C82" s="96"/>
      <c r="D82" s="97"/>
      <c r="E82" s="98"/>
      <c r="F82" s="99"/>
      <c r="G82" s="110"/>
      <c r="H82" s="111"/>
    </row>
    <row r="83" spans="1:8" x14ac:dyDescent="0.25">
      <c r="A83" s="102">
        <v>1</v>
      </c>
      <c r="B83" s="103" t="s">
        <v>62</v>
      </c>
      <c r="C83" s="96"/>
      <c r="D83" s="97"/>
      <c r="E83" s="98"/>
      <c r="F83" s="99"/>
      <c r="G83" s="110"/>
      <c r="H83" s="111"/>
    </row>
    <row r="84" spans="1:8" x14ac:dyDescent="0.25">
      <c r="A84" s="102">
        <v>1</v>
      </c>
      <c r="B84" s="103" t="s">
        <v>74</v>
      </c>
      <c r="C84" s="96"/>
      <c r="D84" s="97"/>
      <c r="E84" s="98"/>
      <c r="F84" s="99"/>
      <c r="G84" s="110"/>
      <c r="H84" s="111"/>
    </row>
    <row r="85" spans="1:8" x14ac:dyDescent="0.25">
      <c r="A85" s="102">
        <v>1</v>
      </c>
      <c r="B85" s="103" t="s">
        <v>42</v>
      </c>
      <c r="C85" s="96"/>
      <c r="D85" s="97"/>
      <c r="E85" s="98"/>
      <c r="F85" s="99"/>
      <c r="G85" s="110"/>
      <c r="H85" s="111"/>
    </row>
    <row r="86" spans="1:8" x14ac:dyDescent="0.25">
      <c r="A86" s="102">
        <v>1</v>
      </c>
      <c r="B86" s="103" t="s">
        <v>31</v>
      </c>
      <c r="C86" s="96"/>
      <c r="D86" s="97"/>
      <c r="E86" s="98"/>
      <c r="F86" s="99"/>
      <c r="G86" s="110"/>
      <c r="H86" s="111"/>
    </row>
    <row r="87" spans="1:8" x14ac:dyDescent="0.25">
      <c r="A87" s="102">
        <v>1</v>
      </c>
      <c r="B87" s="103" t="s">
        <v>16</v>
      </c>
      <c r="C87" s="96"/>
      <c r="D87" s="97"/>
      <c r="E87" s="98"/>
      <c r="F87" s="99"/>
      <c r="G87" s="110"/>
      <c r="H87" s="111"/>
    </row>
    <row r="88" spans="1:8" x14ac:dyDescent="0.25">
      <c r="A88" s="102">
        <v>1</v>
      </c>
      <c r="B88" s="103" t="s">
        <v>72</v>
      </c>
      <c r="C88" s="96"/>
      <c r="D88" s="97"/>
      <c r="E88" s="98"/>
      <c r="F88" s="99"/>
      <c r="G88" s="110"/>
      <c r="H88" s="111"/>
    </row>
    <row r="89" spans="1:8" x14ac:dyDescent="0.25">
      <c r="A89" s="102">
        <v>1</v>
      </c>
      <c r="B89" s="103" t="s">
        <v>63</v>
      </c>
      <c r="C89" s="96"/>
      <c r="D89" s="97"/>
      <c r="E89" s="98"/>
      <c r="F89" s="99"/>
      <c r="G89" s="110"/>
      <c r="H89" s="111"/>
    </row>
    <row r="90" spans="1:8" x14ac:dyDescent="0.25">
      <c r="A90" s="102">
        <v>1</v>
      </c>
      <c r="B90" s="103" t="s">
        <v>52</v>
      </c>
      <c r="C90" s="96"/>
      <c r="D90" s="97"/>
      <c r="E90" s="98"/>
      <c r="F90" s="99"/>
      <c r="G90" s="110"/>
      <c r="H90" s="111"/>
    </row>
    <row r="91" spans="1:8" x14ac:dyDescent="0.25">
      <c r="A91" s="102">
        <v>1</v>
      </c>
      <c r="B91" s="103" t="s">
        <v>9</v>
      </c>
      <c r="C91" s="96"/>
      <c r="D91" s="97"/>
      <c r="E91" s="98"/>
      <c r="F91" s="99"/>
      <c r="G91" s="110"/>
      <c r="H91" s="111"/>
    </row>
    <row r="92" spans="1:8" x14ac:dyDescent="0.25">
      <c r="A92" s="102">
        <v>1</v>
      </c>
      <c r="B92" s="103" t="s">
        <v>83</v>
      </c>
      <c r="C92" s="96"/>
      <c r="D92" s="97"/>
      <c r="E92" s="98"/>
      <c r="F92" s="99"/>
      <c r="G92" s="110"/>
      <c r="H92" s="111"/>
    </row>
    <row r="93" spans="1:8" x14ac:dyDescent="0.25">
      <c r="A93" s="102">
        <v>1</v>
      </c>
      <c r="B93" s="103" t="s">
        <v>117</v>
      </c>
      <c r="C93" s="96"/>
      <c r="D93" s="97"/>
      <c r="E93" s="98"/>
      <c r="F93" s="99"/>
      <c r="G93" s="110"/>
      <c r="H93" s="111"/>
    </row>
    <row r="94" spans="1:8" x14ac:dyDescent="0.25">
      <c r="A94" s="102">
        <v>1</v>
      </c>
      <c r="B94" s="103" t="s">
        <v>45</v>
      </c>
      <c r="C94" s="96"/>
      <c r="D94" s="97"/>
      <c r="E94" s="98"/>
      <c r="F94" s="99"/>
      <c r="G94" s="110"/>
      <c r="H94" s="111"/>
    </row>
    <row r="95" spans="1:8" x14ac:dyDescent="0.25">
      <c r="A95" s="102">
        <v>1</v>
      </c>
      <c r="B95" s="103" t="s">
        <v>51</v>
      </c>
      <c r="C95" s="96"/>
      <c r="D95" s="97"/>
      <c r="E95" s="98"/>
      <c r="F95" s="99"/>
      <c r="G95" s="110"/>
      <c r="H95" s="111"/>
    </row>
    <row r="96" spans="1:8" x14ac:dyDescent="0.25">
      <c r="A96" s="102">
        <v>1</v>
      </c>
      <c r="B96" s="103" t="s">
        <v>8</v>
      </c>
      <c r="C96" s="96"/>
      <c r="D96" s="97"/>
      <c r="E96" s="98"/>
      <c r="F96" s="99"/>
      <c r="G96" s="110"/>
      <c r="H96" s="111"/>
    </row>
    <row r="97" spans="1:8" x14ac:dyDescent="0.25">
      <c r="A97" s="102">
        <v>1</v>
      </c>
      <c r="B97" s="103" t="s">
        <v>86</v>
      </c>
      <c r="C97" s="96"/>
      <c r="D97" s="97"/>
      <c r="E97" s="98"/>
      <c r="F97" s="99"/>
      <c r="G97" s="110"/>
      <c r="H97" s="111"/>
    </row>
    <row r="98" spans="1:8" x14ac:dyDescent="0.25">
      <c r="A98" s="102">
        <v>1</v>
      </c>
      <c r="B98" s="103" t="s">
        <v>100</v>
      </c>
      <c r="C98" s="96"/>
      <c r="D98" s="97"/>
      <c r="E98" s="98"/>
      <c r="F98" s="99"/>
      <c r="G98" s="110"/>
      <c r="H98" s="111"/>
    </row>
    <row r="99" spans="1:8" x14ac:dyDescent="0.25">
      <c r="A99" s="102">
        <v>1</v>
      </c>
      <c r="B99" s="103" t="s">
        <v>122</v>
      </c>
      <c r="C99" s="96"/>
      <c r="D99" s="97"/>
      <c r="E99" s="98"/>
      <c r="F99" s="99"/>
      <c r="G99" s="110"/>
      <c r="H99" s="111"/>
    </row>
    <row r="100" spans="1:8" x14ac:dyDescent="0.25">
      <c r="A100" s="102">
        <v>1</v>
      </c>
      <c r="B100" s="103" t="s">
        <v>103</v>
      </c>
      <c r="C100" s="96"/>
      <c r="D100" s="97"/>
      <c r="E100" s="98"/>
      <c r="F100" s="99"/>
      <c r="G100" s="110"/>
      <c r="H100" s="111"/>
    </row>
    <row r="101" spans="1:8" x14ac:dyDescent="0.25">
      <c r="A101" s="102">
        <v>1</v>
      </c>
      <c r="B101" s="103" t="s">
        <v>115</v>
      </c>
      <c r="C101" s="96"/>
      <c r="D101" s="97"/>
      <c r="E101" s="98"/>
      <c r="F101" s="99"/>
      <c r="G101" s="110"/>
      <c r="H101" s="111"/>
    </row>
    <row r="102" spans="1:8" x14ac:dyDescent="0.25">
      <c r="A102" s="102">
        <v>1</v>
      </c>
      <c r="B102" s="103" t="s">
        <v>14</v>
      </c>
      <c r="C102" s="96"/>
      <c r="D102" s="97"/>
      <c r="E102" s="98"/>
      <c r="F102" s="99"/>
      <c r="G102" s="110"/>
      <c r="H102" s="111"/>
    </row>
    <row r="103" spans="1:8" x14ac:dyDescent="0.25">
      <c r="A103" s="102">
        <v>1</v>
      </c>
      <c r="B103" s="103" t="s">
        <v>90</v>
      </c>
      <c r="C103" s="96"/>
      <c r="D103" s="97"/>
      <c r="E103" s="98"/>
      <c r="F103" s="99"/>
      <c r="G103" s="110"/>
      <c r="H103" s="111"/>
    </row>
    <row r="104" spans="1:8" x14ac:dyDescent="0.25">
      <c r="A104" s="102">
        <v>1</v>
      </c>
      <c r="B104" s="103" t="s">
        <v>84</v>
      </c>
      <c r="C104" s="96"/>
      <c r="D104" s="97"/>
      <c r="E104" s="98"/>
      <c r="F104" s="99"/>
      <c r="G104" s="110"/>
      <c r="H104" s="111"/>
    </row>
    <row r="105" spans="1:8" x14ac:dyDescent="0.25">
      <c r="A105" s="102">
        <v>1</v>
      </c>
      <c r="B105" s="103" t="s">
        <v>101</v>
      </c>
      <c r="C105" s="96"/>
      <c r="D105" s="97"/>
      <c r="E105" s="98"/>
      <c r="F105" s="99"/>
      <c r="G105" s="110"/>
      <c r="H105" s="111"/>
    </row>
    <row r="106" spans="1:8" x14ac:dyDescent="0.25">
      <c r="A106" s="102">
        <v>1</v>
      </c>
      <c r="B106" s="103" t="s">
        <v>55</v>
      </c>
      <c r="C106" s="96"/>
      <c r="D106" s="97"/>
      <c r="E106" s="98"/>
      <c r="F106" s="99"/>
      <c r="G106" s="110"/>
      <c r="H106" s="111"/>
    </row>
    <row r="107" spans="1:8" x14ac:dyDescent="0.25">
      <c r="A107" s="102">
        <v>1</v>
      </c>
      <c r="B107" s="103" t="s">
        <v>48</v>
      </c>
      <c r="C107" s="96"/>
      <c r="D107" s="97"/>
      <c r="E107" s="98"/>
      <c r="F107" s="99"/>
      <c r="G107" s="110"/>
      <c r="H107" s="111"/>
    </row>
    <row r="108" spans="1:8" x14ac:dyDescent="0.25">
      <c r="A108" s="102">
        <v>1</v>
      </c>
      <c r="B108" s="103" t="s">
        <v>12</v>
      </c>
      <c r="C108" s="96"/>
      <c r="D108" s="97"/>
      <c r="E108" s="98"/>
      <c r="F108" s="99"/>
      <c r="G108" s="110"/>
      <c r="H108" s="111"/>
    </row>
    <row r="109" spans="1:8" x14ac:dyDescent="0.25">
      <c r="A109" s="102">
        <v>1</v>
      </c>
      <c r="B109" s="103" t="s">
        <v>34</v>
      </c>
      <c r="C109" s="96"/>
      <c r="D109" s="97"/>
      <c r="E109" s="98"/>
      <c r="F109" s="99"/>
      <c r="G109" s="110"/>
      <c r="H109" s="111"/>
    </row>
    <row r="110" spans="1:8" x14ac:dyDescent="0.25">
      <c r="A110" s="102">
        <v>1</v>
      </c>
      <c r="B110" s="103" t="s">
        <v>120</v>
      </c>
      <c r="C110" s="96"/>
      <c r="D110" s="97"/>
      <c r="E110" s="98"/>
      <c r="F110" s="99"/>
      <c r="G110" s="110"/>
      <c r="H110" s="111"/>
    </row>
    <row r="111" spans="1:8" x14ac:dyDescent="0.25">
      <c r="A111" s="102">
        <v>1</v>
      </c>
      <c r="B111" s="103" t="s">
        <v>61</v>
      </c>
      <c r="C111" s="96"/>
      <c r="D111" s="97"/>
      <c r="E111" s="98"/>
      <c r="F111" s="99"/>
      <c r="G111" s="110"/>
      <c r="H111" s="111"/>
    </row>
    <row r="112" spans="1:8" x14ac:dyDescent="0.25">
      <c r="A112" s="102">
        <v>1</v>
      </c>
      <c r="B112" s="103" t="s">
        <v>20</v>
      </c>
      <c r="C112" s="96"/>
      <c r="D112" s="97"/>
      <c r="E112" s="98"/>
      <c r="F112" s="99"/>
      <c r="G112" s="110"/>
      <c r="H112" s="111"/>
    </row>
    <row r="113" spans="1:8" x14ac:dyDescent="0.25">
      <c r="A113" s="102">
        <v>1</v>
      </c>
      <c r="B113" s="103" t="s">
        <v>113</v>
      </c>
      <c r="C113" s="96"/>
      <c r="D113" s="97"/>
      <c r="E113" s="98"/>
      <c r="F113" s="99"/>
      <c r="G113" s="110"/>
      <c r="H113" s="111"/>
    </row>
    <row r="114" spans="1:8" x14ac:dyDescent="0.25">
      <c r="A114" s="102">
        <v>1</v>
      </c>
      <c r="B114" s="103" t="s">
        <v>13</v>
      </c>
      <c r="C114" s="96"/>
      <c r="D114" s="97"/>
      <c r="E114" s="98"/>
      <c r="F114" s="99"/>
      <c r="G114" s="110"/>
      <c r="H114" s="111"/>
    </row>
    <row r="115" spans="1:8" x14ac:dyDescent="0.25">
      <c r="A115" s="102">
        <v>1</v>
      </c>
      <c r="B115" s="103" t="s">
        <v>18</v>
      </c>
      <c r="C115" s="96"/>
      <c r="D115" s="97"/>
      <c r="E115" s="98"/>
      <c r="F115" s="99"/>
      <c r="G115" s="110"/>
      <c r="H115" s="111"/>
    </row>
    <row r="116" spans="1:8" x14ac:dyDescent="0.25">
      <c r="A116" s="102">
        <v>1</v>
      </c>
      <c r="B116" s="103" t="s">
        <v>66</v>
      </c>
      <c r="C116" s="96"/>
      <c r="D116" s="97"/>
      <c r="E116" s="98"/>
      <c r="F116" s="99"/>
      <c r="G116" s="110"/>
      <c r="H116" s="111"/>
    </row>
    <row r="117" spans="1:8" x14ac:dyDescent="0.25">
      <c r="A117" s="102">
        <v>1</v>
      </c>
      <c r="B117" s="103" t="s">
        <v>98</v>
      </c>
      <c r="C117" s="96"/>
      <c r="D117" s="97"/>
      <c r="E117" s="98"/>
      <c r="F117" s="99"/>
      <c r="G117" s="110"/>
      <c r="H117" s="111"/>
    </row>
    <row r="118" spans="1:8" x14ac:dyDescent="0.25">
      <c r="A118" s="102">
        <v>1</v>
      </c>
      <c r="B118" s="103" t="s">
        <v>75</v>
      </c>
      <c r="C118" s="96"/>
      <c r="D118" s="97"/>
      <c r="E118" s="98"/>
      <c r="F118" s="99"/>
      <c r="G118" s="110"/>
      <c r="H118" s="111"/>
    </row>
    <row r="119" spans="1:8" x14ac:dyDescent="0.25">
      <c r="A119" s="102">
        <v>1</v>
      </c>
      <c r="B119" s="103" t="s">
        <v>19</v>
      </c>
      <c r="C119" s="96"/>
      <c r="D119" s="97"/>
      <c r="E119" s="98"/>
      <c r="F119" s="99"/>
      <c r="G119" s="110"/>
      <c r="H119" s="111"/>
    </row>
    <row r="120" spans="1:8" x14ac:dyDescent="0.25">
      <c r="A120" s="102">
        <v>1</v>
      </c>
      <c r="B120" s="103" t="s">
        <v>81</v>
      </c>
      <c r="C120" s="96"/>
      <c r="D120" s="97"/>
      <c r="E120" s="98"/>
      <c r="F120" s="99"/>
      <c r="G120" s="110"/>
      <c r="H120" s="111"/>
    </row>
    <row r="121" spans="1:8" x14ac:dyDescent="0.25">
      <c r="A121" s="102">
        <v>1</v>
      </c>
      <c r="B121" s="103" t="s">
        <v>88</v>
      </c>
      <c r="C121" s="96"/>
      <c r="D121" s="97"/>
      <c r="E121" s="98"/>
      <c r="F121" s="99"/>
      <c r="G121" s="110"/>
      <c r="H121" s="111"/>
    </row>
    <row r="122" spans="1:8" x14ac:dyDescent="0.25">
      <c r="A122" s="102">
        <v>1</v>
      </c>
      <c r="B122" s="103" t="s">
        <v>41</v>
      </c>
      <c r="C122" s="96"/>
      <c r="D122" s="97"/>
      <c r="E122" s="98"/>
      <c r="F122" s="99"/>
      <c r="G122" s="110"/>
      <c r="H122" s="111"/>
    </row>
    <row r="123" spans="1:8" x14ac:dyDescent="0.25">
      <c r="A123" s="102">
        <v>1</v>
      </c>
      <c r="B123" s="103" t="s">
        <v>53</v>
      </c>
      <c r="C123" s="96"/>
      <c r="D123" s="97"/>
      <c r="E123" s="98"/>
      <c r="F123" s="99"/>
      <c r="G123" s="110"/>
      <c r="H123" s="111"/>
    </row>
    <row r="124" spans="1:8" x14ac:dyDescent="0.25">
      <c r="A124" s="102">
        <v>1</v>
      </c>
      <c r="B124" s="103" t="s">
        <v>1</v>
      </c>
      <c r="C124" s="96"/>
      <c r="D124" s="97"/>
      <c r="E124" s="98"/>
      <c r="F124" s="99"/>
      <c r="G124" s="110"/>
      <c r="H124" s="111"/>
    </row>
    <row r="125" spans="1:8" x14ac:dyDescent="0.25">
      <c r="A125" s="102">
        <v>1</v>
      </c>
      <c r="B125" s="103" t="s">
        <v>99</v>
      </c>
      <c r="C125" s="96"/>
      <c r="D125" s="97"/>
      <c r="E125" s="98"/>
      <c r="F125" s="99"/>
      <c r="G125" s="110"/>
      <c r="H125" s="111"/>
    </row>
    <row r="126" spans="1:8" x14ac:dyDescent="0.25">
      <c r="A126" s="102">
        <v>1</v>
      </c>
      <c r="B126" s="103" t="s">
        <v>25</v>
      </c>
      <c r="C126" s="96"/>
      <c r="D126" s="97"/>
      <c r="E126" s="98"/>
      <c r="F126" s="99"/>
      <c r="G126" s="110"/>
      <c r="H126" s="111"/>
    </row>
    <row r="127" spans="1:8" x14ac:dyDescent="0.25">
      <c r="A127" s="102">
        <v>1</v>
      </c>
      <c r="B127" s="103" t="s">
        <v>121</v>
      </c>
      <c r="C127" s="96"/>
      <c r="D127" s="97"/>
      <c r="E127" s="98"/>
      <c r="F127" s="99"/>
      <c r="G127" s="110"/>
      <c r="H127" s="111"/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D8BB-7DB3-D945-B793-3B38D9E5DE59}">
  <sheetPr>
    <pageSetUpPr fitToPage="1"/>
  </sheetPr>
  <dimension ref="A1:AH128"/>
  <sheetViews>
    <sheetView workbookViewId="0">
      <selection activeCell="A2" sqref="A2:XFD2"/>
    </sheetView>
  </sheetViews>
  <sheetFormatPr defaultColWidth="10.85546875" defaultRowHeight="15" x14ac:dyDescent="0.25"/>
  <cols>
    <col min="1" max="1" width="11.28515625" style="76" customWidth="1"/>
    <col min="2" max="2" width="22" style="81" customWidth="1"/>
    <col min="3" max="3" width="12.140625" style="77" customWidth="1"/>
    <col min="4" max="22" width="5.85546875" style="86" customWidth="1"/>
    <col min="23" max="25" width="6" style="86" customWidth="1"/>
    <col min="26" max="34" width="6.140625" style="86" customWidth="1"/>
    <col min="35" max="16384" width="10.85546875" style="81"/>
  </cols>
  <sheetData>
    <row r="1" spans="1:34" s="77" customFormat="1" ht="27" customHeight="1" x14ac:dyDescent="0.2">
      <c r="A1" s="136" t="s">
        <v>144</v>
      </c>
      <c r="B1" s="136"/>
      <c r="C1" s="136"/>
      <c r="D1" s="137" t="s">
        <v>228</v>
      </c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 t="s">
        <v>227</v>
      </c>
      <c r="AA1" s="137"/>
      <c r="AB1" s="137"/>
      <c r="AC1" s="137"/>
      <c r="AD1" s="137"/>
      <c r="AE1" s="137"/>
      <c r="AF1" s="137"/>
      <c r="AG1" s="137"/>
      <c r="AH1" s="137"/>
    </row>
    <row r="2" spans="1:34" ht="56.1" customHeight="1" x14ac:dyDescent="0.25">
      <c r="A2" s="78" t="s">
        <v>129</v>
      </c>
      <c r="B2" s="79" t="s">
        <v>128</v>
      </c>
      <c r="C2" s="80" t="s">
        <v>173</v>
      </c>
      <c r="D2" s="79" t="s">
        <v>174</v>
      </c>
      <c r="E2" s="79" t="s">
        <v>175</v>
      </c>
      <c r="F2" s="79" t="s">
        <v>176</v>
      </c>
      <c r="G2" s="79" t="s">
        <v>177</v>
      </c>
      <c r="H2" s="79" t="s">
        <v>178</v>
      </c>
      <c r="I2" s="79" t="s">
        <v>179</v>
      </c>
      <c r="J2" s="79" t="s">
        <v>180</v>
      </c>
      <c r="K2" s="79" t="s">
        <v>181</v>
      </c>
      <c r="L2" s="79" t="s">
        <v>182</v>
      </c>
      <c r="M2" s="79" t="s">
        <v>183</v>
      </c>
      <c r="N2" s="79" t="s">
        <v>184</v>
      </c>
      <c r="O2" s="79" t="s">
        <v>185</v>
      </c>
      <c r="P2" s="79" t="s">
        <v>186</v>
      </c>
      <c r="Q2" s="79" t="s">
        <v>187</v>
      </c>
      <c r="R2" s="79" t="s">
        <v>188</v>
      </c>
      <c r="S2" s="79" t="s">
        <v>189</v>
      </c>
      <c r="T2" s="79" t="s">
        <v>190</v>
      </c>
      <c r="U2" s="79" t="s">
        <v>191</v>
      </c>
      <c r="V2" s="79" t="s">
        <v>192</v>
      </c>
      <c r="W2" s="79" t="s">
        <v>193</v>
      </c>
      <c r="X2" s="79" t="s">
        <v>194</v>
      </c>
      <c r="Y2" s="79" t="s">
        <v>195</v>
      </c>
      <c r="Z2" s="79" t="s">
        <v>196</v>
      </c>
      <c r="AA2" s="79" t="s">
        <v>197</v>
      </c>
      <c r="AB2" s="79" t="s">
        <v>198</v>
      </c>
      <c r="AC2" s="79" t="s">
        <v>199</v>
      </c>
      <c r="AD2" s="79" t="s">
        <v>200</v>
      </c>
      <c r="AE2" s="79" t="s">
        <v>201</v>
      </c>
      <c r="AF2" s="79" t="s">
        <v>202</v>
      </c>
      <c r="AG2" s="79" t="s">
        <v>203</v>
      </c>
      <c r="AH2" s="79" t="s">
        <v>204</v>
      </c>
    </row>
    <row r="3" spans="1:34" ht="21.95" customHeight="1" x14ac:dyDescent="0.25">
      <c r="A3" s="78"/>
      <c r="B3" s="79" t="s">
        <v>132</v>
      </c>
      <c r="C3" s="80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</row>
    <row r="4" spans="1:34" x14ac:dyDescent="0.25">
      <c r="A4" s="82" cm="1">
        <f t="array" ref="A4">1+COUNT(_xlfn.UNIQUE(_xlfn._xlws.FILTER($C$4:$C$127, $C$4:$C$127 &lt; C4)))</f>
        <v>1</v>
      </c>
      <c r="B4" s="83" t="s">
        <v>24</v>
      </c>
      <c r="C4" s="82">
        <f t="shared" ref="C4:C35" si="0">SUM(D4:AH4)</f>
        <v>0</v>
      </c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</row>
    <row r="5" spans="1:34" x14ac:dyDescent="0.25">
      <c r="A5" s="82" cm="1">
        <f t="array" ref="A5">1+COUNT(_xlfn.UNIQUE(_xlfn._xlws.FILTER($C$4:$C$127, $C$4:$C$127 &lt; C5)))</f>
        <v>1</v>
      </c>
      <c r="B5" s="83" t="s">
        <v>17</v>
      </c>
      <c r="C5" s="82">
        <f t="shared" si="0"/>
        <v>0</v>
      </c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</row>
    <row r="6" spans="1:34" x14ac:dyDescent="0.25">
      <c r="A6" s="82" cm="1">
        <f t="array" ref="A6">1+COUNT(_xlfn.UNIQUE(_xlfn._xlws.FILTER($C$4:$C$127, $C$4:$C$127 &lt; C6)))</f>
        <v>1</v>
      </c>
      <c r="B6" s="83" t="s">
        <v>5</v>
      </c>
      <c r="C6" s="82">
        <f t="shared" si="0"/>
        <v>0</v>
      </c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</row>
    <row r="7" spans="1:34" x14ac:dyDescent="0.25">
      <c r="A7" s="82" cm="1">
        <f t="array" ref="A7">1+COUNT(_xlfn.UNIQUE(_xlfn._xlws.FILTER($C$4:$C$127, $C$4:$C$127 &lt; C7)))</f>
        <v>1</v>
      </c>
      <c r="B7" s="83" t="s">
        <v>2</v>
      </c>
      <c r="C7" s="82">
        <f t="shared" si="0"/>
        <v>0</v>
      </c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</row>
    <row r="8" spans="1:34" x14ac:dyDescent="0.25">
      <c r="A8" s="82" cm="1">
        <f t="array" ref="A8">1+COUNT(_xlfn.UNIQUE(_xlfn._xlws.FILTER($C$4:$C$127, $C$4:$C$127 &lt; C8)))</f>
        <v>1</v>
      </c>
      <c r="B8" s="83" t="s">
        <v>11</v>
      </c>
      <c r="C8" s="82">
        <f t="shared" si="0"/>
        <v>0</v>
      </c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</row>
    <row r="9" spans="1:34" x14ac:dyDescent="0.25">
      <c r="A9" s="82" cm="1">
        <f t="array" ref="A9">1+COUNT(_xlfn.UNIQUE(_xlfn._xlws.FILTER($C$4:$C$127, $C$4:$C$127 &lt; C9)))</f>
        <v>1</v>
      </c>
      <c r="B9" s="83" t="s">
        <v>59</v>
      </c>
      <c r="C9" s="82">
        <f t="shared" si="0"/>
        <v>0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</row>
    <row r="10" spans="1:34" x14ac:dyDescent="0.25">
      <c r="A10" s="82" cm="1">
        <f t="array" ref="A10">1+COUNT(_xlfn.UNIQUE(_xlfn._xlws.FILTER($C$4:$C$127, $C$4:$C$127 &lt; C10)))</f>
        <v>1</v>
      </c>
      <c r="B10" s="83" t="s">
        <v>37</v>
      </c>
      <c r="C10" s="82">
        <f t="shared" si="0"/>
        <v>0</v>
      </c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</row>
    <row r="11" spans="1:34" x14ac:dyDescent="0.25">
      <c r="A11" s="82" cm="1">
        <f t="array" ref="A11">1+COUNT(_xlfn.UNIQUE(_xlfn._xlws.FILTER($C$4:$C$127, $C$4:$C$127 &lt; C11)))</f>
        <v>1</v>
      </c>
      <c r="B11" s="83" t="s">
        <v>15</v>
      </c>
      <c r="C11" s="82">
        <f t="shared" si="0"/>
        <v>0</v>
      </c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</row>
    <row r="12" spans="1:34" x14ac:dyDescent="0.25">
      <c r="A12" s="82" cm="1">
        <f t="array" ref="A12">1+COUNT(_xlfn.UNIQUE(_xlfn._xlws.FILTER($C$4:$C$127, $C$4:$C$127 &lt; C12)))</f>
        <v>1</v>
      </c>
      <c r="B12" s="83" t="s">
        <v>50</v>
      </c>
      <c r="C12" s="82">
        <f t="shared" si="0"/>
        <v>0</v>
      </c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</row>
    <row r="13" spans="1:34" x14ac:dyDescent="0.25">
      <c r="A13" s="82" cm="1">
        <f t="array" ref="A13">1+COUNT(_xlfn.UNIQUE(_xlfn._xlws.FILTER($C$4:$C$127, $C$4:$C$127 &lt; C13)))</f>
        <v>1</v>
      </c>
      <c r="B13" s="83" t="s">
        <v>57</v>
      </c>
      <c r="C13" s="82">
        <f t="shared" si="0"/>
        <v>0</v>
      </c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</row>
    <row r="14" spans="1:34" x14ac:dyDescent="0.25">
      <c r="A14" s="82" cm="1">
        <f t="array" ref="A14">1+COUNT(_xlfn.UNIQUE(_xlfn._xlws.FILTER($C$4:$C$127, $C$4:$C$127 &lt; C14)))</f>
        <v>1</v>
      </c>
      <c r="B14" s="83" t="s">
        <v>94</v>
      </c>
      <c r="C14" s="82">
        <f t="shared" si="0"/>
        <v>0</v>
      </c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</row>
    <row r="15" spans="1:34" x14ac:dyDescent="0.25">
      <c r="A15" s="82" cm="1">
        <f t="array" ref="A15">1+COUNT(_xlfn.UNIQUE(_xlfn._xlws.FILTER($C$4:$C$127, $C$4:$C$127 &lt; C15)))</f>
        <v>1</v>
      </c>
      <c r="B15" s="83" t="s">
        <v>40</v>
      </c>
      <c r="C15" s="82">
        <f t="shared" si="0"/>
        <v>0</v>
      </c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</row>
    <row r="16" spans="1:34" x14ac:dyDescent="0.25">
      <c r="A16" s="82" cm="1">
        <f t="array" ref="A16">1+COUNT(_xlfn.UNIQUE(_xlfn._xlws.FILTER($C$4:$C$127, $C$4:$C$127 &lt; C16)))</f>
        <v>1</v>
      </c>
      <c r="B16" s="83" t="s">
        <v>111</v>
      </c>
      <c r="C16" s="82">
        <f t="shared" si="0"/>
        <v>0</v>
      </c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</row>
    <row r="17" spans="1:34" x14ac:dyDescent="0.25">
      <c r="A17" s="82" cm="1">
        <f t="array" ref="A17">1+COUNT(_xlfn.UNIQUE(_xlfn._xlws.FILTER($C$4:$C$127, $C$4:$C$127 &lt; C17)))</f>
        <v>1</v>
      </c>
      <c r="B17" s="83" t="s">
        <v>87</v>
      </c>
      <c r="C17" s="82">
        <f t="shared" si="0"/>
        <v>0</v>
      </c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</row>
    <row r="18" spans="1:34" x14ac:dyDescent="0.25">
      <c r="A18" s="82" cm="1">
        <f t="array" ref="A18">1+COUNT(_xlfn.UNIQUE(_xlfn._xlws.FILTER($C$4:$C$127, $C$4:$C$127 &lt; C18)))</f>
        <v>1</v>
      </c>
      <c r="B18" s="83" t="s">
        <v>77</v>
      </c>
      <c r="C18" s="82">
        <f t="shared" si="0"/>
        <v>0</v>
      </c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</row>
    <row r="19" spans="1:34" x14ac:dyDescent="0.25">
      <c r="A19" s="82" cm="1">
        <f t="array" ref="A19">1+COUNT(_xlfn.UNIQUE(_xlfn._xlws.FILTER($C$4:$C$127, $C$4:$C$127 &lt; C19)))</f>
        <v>1</v>
      </c>
      <c r="B19" s="83" t="s">
        <v>46</v>
      </c>
      <c r="C19" s="82">
        <f t="shared" si="0"/>
        <v>0</v>
      </c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</row>
    <row r="20" spans="1:34" x14ac:dyDescent="0.25">
      <c r="A20" s="82" cm="1">
        <f t="array" ref="A20">1+COUNT(_xlfn.UNIQUE(_xlfn._xlws.FILTER($C$4:$C$127, $C$4:$C$127 &lt; C20)))</f>
        <v>1</v>
      </c>
      <c r="B20" s="83" t="s">
        <v>64</v>
      </c>
      <c r="C20" s="82">
        <f t="shared" si="0"/>
        <v>0</v>
      </c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</row>
    <row r="21" spans="1:34" x14ac:dyDescent="0.25">
      <c r="A21" s="82" cm="1">
        <f t="array" ref="A21">1+COUNT(_xlfn.UNIQUE(_xlfn._xlws.FILTER($C$4:$C$127, $C$4:$C$127 &lt; C21)))</f>
        <v>1</v>
      </c>
      <c r="B21" s="83" t="s">
        <v>27</v>
      </c>
      <c r="C21" s="82">
        <f t="shared" si="0"/>
        <v>0</v>
      </c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</row>
    <row r="22" spans="1:34" x14ac:dyDescent="0.25">
      <c r="A22" s="82" cm="1">
        <f t="array" ref="A22">1+COUNT(_xlfn.UNIQUE(_xlfn._xlws.FILTER($C$4:$C$127, $C$4:$C$127 &lt; C22)))</f>
        <v>1</v>
      </c>
      <c r="B22" s="83" t="s">
        <v>110</v>
      </c>
      <c r="C22" s="82">
        <f t="shared" si="0"/>
        <v>0</v>
      </c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</row>
    <row r="23" spans="1:34" x14ac:dyDescent="0.25">
      <c r="A23" s="82" cm="1">
        <f t="array" ref="A23">1+COUNT(_xlfn.UNIQUE(_xlfn._xlws.FILTER($C$4:$C$127, $C$4:$C$127 &lt; C23)))</f>
        <v>1</v>
      </c>
      <c r="B23" s="83" t="s">
        <v>92</v>
      </c>
      <c r="C23" s="82">
        <f t="shared" si="0"/>
        <v>0</v>
      </c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</row>
    <row r="24" spans="1:34" x14ac:dyDescent="0.25">
      <c r="A24" s="82" cm="1">
        <f t="array" ref="A24">1+COUNT(_xlfn.UNIQUE(_xlfn._xlws.FILTER($C$4:$C$127, $C$4:$C$127 &lt; C24)))</f>
        <v>1</v>
      </c>
      <c r="B24" s="83" t="s">
        <v>22</v>
      </c>
      <c r="C24" s="82">
        <f t="shared" si="0"/>
        <v>0</v>
      </c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</row>
    <row r="25" spans="1:34" x14ac:dyDescent="0.25">
      <c r="A25" s="82" cm="1">
        <f t="array" ref="A25">1+COUNT(_xlfn.UNIQUE(_xlfn._xlws.FILTER($C$4:$C$127, $C$4:$C$127 &lt; C25)))</f>
        <v>1</v>
      </c>
      <c r="B25" s="83" t="s">
        <v>70</v>
      </c>
      <c r="C25" s="82">
        <f t="shared" si="0"/>
        <v>0</v>
      </c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</row>
    <row r="26" spans="1:34" x14ac:dyDescent="0.25">
      <c r="A26" s="82" cm="1">
        <f t="array" ref="A26">1+COUNT(_xlfn.UNIQUE(_xlfn._xlws.FILTER($C$4:$C$127, $C$4:$C$127 &lt; C26)))</f>
        <v>1</v>
      </c>
      <c r="B26" s="83" t="s">
        <v>116</v>
      </c>
      <c r="C26" s="82">
        <f t="shared" si="0"/>
        <v>0</v>
      </c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</row>
    <row r="27" spans="1:34" x14ac:dyDescent="0.25">
      <c r="A27" s="82" cm="1">
        <f t="array" ref="A27">1+COUNT(_xlfn.UNIQUE(_xlfn._xlws.FILTER($C$4:$C$127, $C$4:$C$127 &lt; C27)))</f>
        <v>1</v>
      </c>
      <c r="B27" s="83" t="s">
        <v>4</v>
      </c>
      <c r="C27" s="82">
        <f t="shared" si="0"/>
        <v>0</v>
      </c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</row>
    <row r="28" spans="1:34" x14ac:dyDescent="0.25">
      <c r="A28" s="82" cm="1">
        <f t="array" ref="A28">1+COUNT(_xlfn.UNIQUE(_xlfn._xlws.FILTER($C$4:$C$127, $C$4:$C$127 &lt; C28)))</f>
        <v>1</v>
      </c>
      <c r="B28" s="83" t="s">
        <v>58</v>
      </c>
      <c r="C28" s="82">
        <f t="shared" si="0"/>
        <v>0</v>
      </c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</row>
    <row r="29" spans="1:34" x14ac:dyDescent="0.25">
      <c r="A29" s="82" cm="1">
        <f t="array" ref="A29">1+COUNT(_xlfn.UNIQUE(_xlfn._xlws.FILTER($C$4:$C$127, $C$4:$C$127 &lt; C29)))</f>
        <v>1</v>
      </c>
      <c r="B29" s="83" t="s">
        <v>36</v>
      </c>
      <c r="C29" s="82">
        <f t="shared" si="0"/>
        <v>0</v>
      </c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</row>
    <row r="30" spans="1:34" x14ac:dyDescent="0.25">
      <c r="A30" s="82" cm="1">
        <f t="array" ref="A30">1+COUNT(_xlfn.UNIQUE(_xlfn._xlws.FILTER($C$4:$C$127, $C$4:$C$127 &lt; C30)))</f>
        <v>1</v>
      </c>
      <c r="B30" s="83" t="s">
        <v>78</v>
      </c>
      <c r="C30" s="82">
        <f t="shared" si="0"/>
        <v>0</v>
      </c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</row>
    <row r="31" spans="1:34" x14ac:dyDescent="0.25">
      <c r="A31" s="82" cm="1">
        <f t="array" ref="A31">1+COUNT(_xlfn.UNIQUE(_xlfn._xlws.FILTER($C$4:$C$127, $C$4:$C$127 &lt; C31)))</f>
        <v>1</v>
      </c>
      <c r="B31" s="83" t="s">
        <v>119</v>
      </c>
      <c r="C31" s="82">
        <f t="shared" si="0"/>
        <v>0</v>
      </c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</row>
    <row r="32" spans="1:34" x14ac:dyDescent="0.25">
      <c r="A32" s="82" cm="1">
        <f t="array" ref="A32">1+COUNT(_xlfn.UNIQUE(_xlfn._xlws.FILTER($C$4:$C$127, $C$4:$C$127 &lt; C32)))</f>
        <v>1</v>
      </c>
      <c r="B32" s="83" t="s">
        <v>68</v>
      </c>
      <c r="C32" s="82">
        <f t="shared" si="0"/>
        <v>0</v>
      </c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</row>
    <row r="33" spans="1:34" x14ac:dyDescent="0.25">
      <c r="A33" s="82" cm="1">
        <f t="array" ref="A33">1+COUNT(_xlfn.UNIQUE(_xlfn._xlws.FILTER($C$4:$C$127, $C$4:$C$127 &lt; C33)))</f>
        <v>1</v>
      </c>
      <c r="B33" s="83" t="s">
        <v>0</v>
      </c>
      <c r="C33" s="82">
        <f t="shared" si="0"/>
        <v>0</v>
      </c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</row>
    <row r="34" spans="1:34" x14ac:dyDescent="0.25">
      <c r="A34" s="82" cm="1">
        <f t="array" ref="A34">1+COUNT(_xlfn.UNIQUE(_xlfn._xlws.FILTER($C$4:$C$127, $C$4:$C$127 &lt; C34)))</f>
        <v>1</v>
      </c>
      <c r="B34" s="83" t="s">
        <v>21</v>
      </c>
      <c r="C34" s="82">
        <f t="shared" si="0"/>
        <v>0</v>
      </c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</row>
    <row r="35" spans="1:34" x14ac:dyDescent="0.25">
      <c r="A35" s="82" cm="1">
        <f t="array" ref="A35">1+COUNT(_xlfn.UNIQUE(_xlfn._xlws.FILTER($C$4:$C$127, $C$4:$C$127 &lt; C35)))</f>
        <v>1</v>
      </c>
      <c r="B35" s="83" t="s">
        <v>102</v>
      </c>
      <c r="C35" s="82">
        <f t="shared" si="0"/>
        <v>0</v>
      </c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</row>
    <row r="36" spans="1:34" x14ac:dyDescent="0.25">
      <c r="A36" s="82" cm="1">
        <f t="array" ref="A36">1+COUNT(_xlfn.UNIQUE(_xlfn._xlws.FILTER($C$4:$C$127, $C$4:$C$127 &lt; C36)))</f>
        <v>1</v>
      </c>
      <c r="B36" s="83" t="s">
        <v>29</v>
      </c>
      <c r="C36" s="82">
        <f t="shared" ref="C36:C67" si="1">SUM(D36:AH36)</f>
        <v>0</v>
      </c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</row>
    <row r="37" spans="1:34" x14ac:dyDescent="0.25">
      <c r="A37" s="82" cm="1">
        <f t="array" ref="A37">1+COUNT(_xlfn.UNIQUE(_xlfn._xlws.FILTER($C$4:$C$127, $C$4:$C$127 &lt; C37)))</f>
        <v>1</v>
      </c>
      <c r="B37" s="83" t="s">
        <v>38</v>
      </c>
      <c r="C37" s="82">
        <f t="shared" si="1"/>
        <v>0</v>
      </c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</row>
    <row r="38" spans="1:34" x14ac:dyDescent="0.25">
      <c r="A38" s="82" cm="1">
        <f t="array" ref="A38">1+COUNT(_xlfn.UNIQUE(_xlfn._xlws.FILTER($C$4:$C$127, $C$4:$C$127 &lt; C38)))</f>
        <v>1</v>
      </c>
      <c r="B38" s="83" t="s">
        <v>69</v>
      </c>
      <c r="C38" s="82">
        <f t="shared" si="1"/>
        <v>0</v>
      </c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</row>
    <row r="39" spans="1:34" x14ac:dyDescent="0.25">
      <c r="A39" s="82" cm="1">
        <f t="array" ref="A39">1+COUNT(_xlfn.UNIQUE(_xlfn._xlws.FILTER($C$4:$C$127, $C$4:$C$127 &lt; C39)))</f>
        <v>1</v>
      </c>
      <c r="B39" s="83" t="s">
        <v>93</v>
      </c>
      <c r="C39" s="82">
        <f t="shared" si="1"/>
        <v>0</v>
      </c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</row>
    <row r="40" spans="1:34" x14ac:dyDescent="0.25">
      <c r="A40" s="82" cm="1">
        <f t="array" ref="A40">1+COUNT(_xlfn.UNIQUE(_xlfn._xlws.FILTER($C$4:$C$127, $C$4:$C$127 &lt; C40)))</f>
        <v>1</v>
      </c>
      <c r="B40" s="83" t="s">
        <v>65</v>
      </c>
      <c r="C40" s="82">
        <f t="shared" si="1"/>
        <v>0</v>
      </c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</row>
    <row r="41" spans="1:34" x14ac:dyDescent="0.25">
      <c r="A41" s="82" cm="1">
        <f t="array" ref="A41">1+COUNT(_xlfn.UNIQUE(_xlfn._xlws.FILTER($C$4:$C$127, $C$4:$C$127 &lt; C41)))</f>
        <v>1</v>
      </c>
      <c r="B41" s="83" t="s">
        <v>35</v>
      </c>
      <c r="C41" s="82">
        <f t="shared" si="1"/>
        <v>0</v>
      </c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</row>
    <row r="42" spans="1:34" x14ac:dyDescent="0.25">
      <c r="A42" s="82" cm="1">
        <f t="array" ref="A42">1+COUNT(_xlfn.UNIQUE(_xlfn._xlws.FILTER($C$4:$C$127, $C$4:$C$127 &lt; C42)))</f>
        <v>1</v>
      </c>
      <c r="B42" s="83" t="s">
        <v>39</v>
      </c>
      <c r="C42" s="82">
        <f t="shared" si="1"/>
        <v>0</v>
      </c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</row>
    <row r="43" spans="1:34" x14ac:dyDescent="0.25">
      <c r="A43" s="82" cm="1">
        <f t="array" ref="A43">1+COUNT(_xlfn.UNIQUE(_xlfn._xlws.FILTER($C$4:$C$127, $C$4:$C$127 &lt; C43)))</f>
        <v>1</v>
      </c>
      <c r="B43" s="83" t="s">
        <v>49</v>
      </c>
      <c r="C43" s="82">
        <f t="shared" si="1"/>
        <v>0</v>
      </c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</row>
    <row r="44" spans="1:34" x14ac:dyDescent="0.25">
      <c r="A44" s="82" cm="1">
        <f t="array" ref="A44">1+COUNT(_xlfn.UNIQUE(_xlfn._xlws.FILTER($C$4:$C$127, $C$4:$C$127 &lt; C44)))</f>
        <v>1</v>
      </c>
      <c r="B44" s="83" t="s">
        <v>71</v>
      </c>
      <c r="C44" s="82">
        <f t="shared" si="1"/>
        <v>0</v>
      </c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</row>
    <row r="45" spans="1:34" x14ac:dyDescent="0.25">
      <c r="A45" s="82" cm="1">
        <f t="array" ref="A45">1+COUNT(_xlfn.UNIQUE(_xlfn._xlws.FILTER($C$4:$C$127, $C$4:$C$127 &lt; C45)))</f>
        <v>1</v>
      </c>
      <c r="B45" s="83" t="s">
        <v>3</v>
      </c>
      <c r="C45" s="82">
        <f t="shared" si="1"/>
        <v>0</v>
      </c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</row>
    <row r="46" spans="1:34" x14ac:dyDescent="0.25">
      <c r="A46" s="82" cm="1">
        <f t="array" ref="A46">1+COUNT(_xlfn.UNIQUE(_xlfn._xlws.FILTER($C$4:$C$127, $C$4:$C$127 &lt; C46)))</f>
        <v>1</v>
      </c>
      <c r="B46" s="83" t="s">
        <v>56</v>
      </c>
      <c r="C46" s="82">
        <f t="shared" si="1"/>
        <v>0</v>
      </c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</row>
    <row r="47" spans="1:34" x14ac:dyDescent="0.25">
      <c r="A47" s="82" cm="1">
        <f t="array" ref="A47">1+COUNT(_xlfn.UNIQUE(_xlfn._xlws.FILTER($C$4:$C$127, $C$4:$C$127 &lt; C47)))</f>
        <v>1</v>
      </c>
      <c r="B47" s="83" t="s">
        <v>26</v>
      </c>
      <c r="C47" s="82">
        <f t="shared" si="1"/>
        <v>0</v>
      </c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</row>
    <row r="48" spans="1:34" x14ac:dyDescent="0.25">
      <c r="A48" s="82" cm="1">
        <f t="array" ref="A48">1+COUNT(_xlfn.UNIQUE(_xlfn._xlws.FILTER($C$4:$C$127, $C$4:$C$127 &lt; C48)))</f>
        <v>1</v>
      </c>
      <c r="B48" s="83" t="s">
        <v>33</v>
      </c>
      <c r="C48" s="82">
        <f t="shared" si="1"/>
        <v>0</v>
      </c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</row>
    <row r="49" spans="1:34" x14ac:dyDescent="0.25">
      <c r="A49" s="82" cm="1">
        <f t="array" ref="A49">1+COUNT(_xlfn.UNIQUE(_xlfn._xlws.FILTER($C$4:$C$127, $C$4:$C$127 &lt; C49)))</f>
        <v>1</v>
      </c>
      <c r="B49" s="83" t="s">
        <v>89</v>
      </c>
      <c r="C49" s="82">
        <f t="shared" si="1"/>
        <v>0</v>
      </c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</row>
    <row r="50" spans="1:34" x14ac:dyDescent="0.25">
      <c r="A50" s="82" cm="1">
        <f t="array" ref="A50">1+COUNT(_xlfn.UNIQUE(_xlfn._xlws.FILTER($C$4:$C$127, $C$4:$C$127 &lt; C50)))</f>
        <v>1</v>
      </c>
      <c r="B50" s="83" t="s">
        <v>112</v>
      </c>
      <c r="C50" s="82">
        <f t="shared" si="1"/>
        <v>0</v>
      </c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</row>
    <row r="51" spans="1:34" x14ac:dyDescent="0.25">
      <c r="A51" s="82" cm="1">
        <f t="array" ref="A51">1+COUNT(_xlfn.UNIQUE(_xlfn._xlws.FILTER($C$4:$C$127, $C$4:$C$127 &lt; C51)))</f>
        <v>1</v>
      </c>
      <c r="B51" s="83" t="s">
        <v>123</v>
      </c>
      <c r="C51" s="82">
        <f t="shared" si="1"/>
        <v>0</v>
      </c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</row>
    <row r="52" spans="1:34" x14ac:dyDescent="0.25">
      <c r="A52" s="82" cm="1">
        <f t="array" ref="A52">1+COUNT(_xlfn.UNIQUE(_xlfn._xlws.FILTER($C$4:$C$127, $C$4:$C$127 &lt; C52)))</f>
        <v>1</v>
      </c>
      <c r="B52" s="83" t="s">
        <v>79</v>
      </c>
      <c r="C52" s="82">
        <f t="shared" si="1"/>
        <v>0</v>
      </c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</row>
    <row r="53" spans="1:34" x14ac:dyDescent="0.25">
      <c r="A53" s="82" cm="1">
        <f t="array" ref="A53">1+COUNT(_xlfn.UNIQUE(_xlfn._xlws.FILTER($C$4:$C$127, $C$4:$C$127 &lt; C53)))</f>
        <v>1</v>
      </c>
      <c r="B53" s="83" t="s">
        <v>131</v>
      </c>
      <c r="C53" s="82">
        <f t="shared" si="1"/>
        <v>0</v>
      </c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</row>
    <row r="54" spans="1:34" x14ac:dyDescent="0.25">
      <c r="A54" s="82" cm="1">
        <f t="array" ref="A54">1+COUNT(_xlfn.UNIQUE(_xlfn._xlws.FILTER($C$4:$C$127, $C$4:$C$127 &lt; C54)))</f>
        <v>1</v>
      </c>
      <c r="B54" s="83" t="s">
        <v>108</v>
      </c>
      <c r="C54" s="82">
        <f t="shared" si="1"/>
        <v>0</v>
      </c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</row>
    <row r="55" spans="1:34" x14ac:dyDescent="0.25">
      <c r="A55" s="82" cm="1">
        <f t="array" ref="A55">1+COUNT(_xlfn.UNIQUE(_xlfn._xlws.FILTER($C$4:$C$127, $C$4:$C$127 &lt; C55)))</f>
        <v>1</v>
      </c>
      <c r="B55" s="83" t="s">
        <v>104</v>
      </c>
      <c r="C55" s="82">
        <f t="shared" si="1"/>
        <v>0</v>
      </c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</row>
    <row r="56" spans="1:34" x14ac:dyDescent="0.25">
      <c r="A56" s="82" cm="1">
        <f t="array" ref="A56">1+COUNT(_xlfn.UNIQUE(_xlfn._xlws.FILTER($C$4:$C$127, $C$4:$C$127 &lt; C56)))</f>
        <v>1</v>
      </c>
      <c r="B56" s="83" t="s">
        <v>106</v>
      </c>
      <c r="C56" s="82">
        <f t="shared" si="1"/>
        <v>0</v>
      </c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</row>
    <row r="57" spans="1:34" x14ac:dyDescent="0.25">
      <c r="A57" s="82" cm="1">
        <f t="array" ref="A57">1+COUNT(_xlfn.UNIQUE(_xlfn._xlws.FILTER($C$4:$C$127, $C$4:$C$127 &lt; C57)))</f>
        <v>1</v>
      </c>
      <c r="B57" s="83" t="s">
        <v>7</v>
      </c>
      <c r="C57" s="82">
        <f t="shared" si="1"/>
        <v>0</v>
      </c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</row>
    <row r="58" spans="1:34" x14ac:dyDescent="0.25">
      <c r="A58" s="82" cm="1">
        <f t="array" ref="A58">1+COUNT(_xlfn.UNIQUE(_xlfn._xlws.FILTER($C$4:$C$127, $C$4:$C$127 &lt; C58)))</f>
        <v>1</v>
      </c>
      <c r="B58" s="83" t="s">
        <v>95</v>
      </c>
      <c r="C58" s="82">
        <f t="shared" si="1"/>
        <v>0</v>
      </c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</row>
    <row r="59" spans="1:34" x14ac:dyDescent="0.25">
      <c r="A59" s="82" cm="1">
        <f t="array" ref="A59">1+COUNT(_xlfn.UNIQUE(_xlfn._xlws.FILTER($C$4:$C$127, $C$4:$C$127 &lt; C59)))</f>
        <v>1</v>
      </c>
      <c r="B59" s="83" t="s">
        <v>30</v>
      </c>
      <c r="C59" s="82">
        <f t="shared" si="1"/>
        <v>0</v>
      </c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</row>
    <row r="60" spans="1:34" x14ac:dyDescent="0.25">
      <c r="A60" s="82" cm="1">
        <f t="array" ref="A60">1+COUNT(_xlfn.UNIQUE(_xlfn._xlws.FILTER($C$4:$C$127, $C$4:$C$127 &lt; C60)))</f>
        <v>1</v>
      </c>
      <c r="B60" s="83" t="s">
        <v>80</v>
      </c>
      <c r="C60" s="82">
        <f t="shared" si="1"/>
        <v>0</v>
      </c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</row>
    <row r="61" spans="1:34" x14ac:dyDescent="0.25">
      <c r="A61" s="82" cm="1">
        <f t="array" ref="A61">1+COUNT(_xlfn.UNIQUE(_xlfn._xlws.FILTER($C$4:$C$127, $C$4:$C$127 &lt; C61)))</f>
        <v>1</v>
      </c>
      <c r="B61" s="83" t="s">
        <v>130</v>
      </c>
      <c r="C61" s="82">
        <f t="shared" si="1"/>
        <v>0</v>
      </c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</row>
    <row r="62" spans="1:34" x14ac:dyDescent="0.25">
      <c r="A62" s="82" cm="1">
        <f t="array" ref="A62">1+COUNT(_xlfn.UNIQUE(_xlfn._xlws.FILTER($C$4:$C$127, $C$4:$C$127 &lt; C62)))</f>
        <v>1</v>
      </c>
      <c r="B62" s="83" t="s">
        <v>47</v>
      </c>
      <c r="C62" s="82">
        <f t="shared" si="1"/>
        <v>0</v>
      </c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</row>
    <row r="63" spans="1:34" x14ac:dyDescent="0.25">
      <c r="A63" s="82" cm="1">
        <f t="array" ref="A63">1+COUNT(_xlfn.UNIQUE(_xlfn._xlws.FILTER($C$4:$C$127, $C$4:$C$127 &lt; C63)))</f>
        <v>1</v>
      </c>
      <c r="B63" s="83" t="s">
        <v>28</v>
      </c>
      <c r="C63" s="82">
        <f t="shared" si="1"/>
        <v>0</v>
      </c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</row>
    <row r="64" spans="1:34" x14ac:dyDescent="0.25">
      <c r="A64" s="82" cm="1">
        <f t="array" ref="A64">1+COUNT(_xlfn.UNIQUE(_xlfn._xlws.FILTER($C$4:$C$127, $C$4:$C$127 &lt; C64)))</f>
        <v>1</v>
      </c>
      <c r="B64" s="83" t="s">
        <v>107</v>
      </c>
      <c r="C64" s="82">
        <f t="shared" si="1"/>
        <v>0</v>
      </c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</row>
    <row r="65" spans="1:34" x14ac:dyDescent="0.25">
      <c r="A65" s="82" cm="1">
        <f t="array" ref="A65">1+COUNT(_xlfn.UNIQUE(_xlfn._xlws.FILTER($C$4:$C$127, $C$4:$C$127 &lt; C65)))</f>
        <v>1</v>
      </c>
      <c r="B65" s="83" t="s">
        <v>105</v>
      </c>
      <c r="C65" s="82">
        <f t="shared" si="1"/>
        <v>0</v>
      </c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</row>
    <row r="66" spans="1:34" x14ac:dyDescent="0.25">
      <c r="A66" s="82" cm="1">
        <f t="array" ref="A66">1+COUNT(_xlfn.UNIQUE(_xlfn._xlws.FILTER($C$4:$C$127, $C$4:$C$127 &lt; C66)))</f>
        <v>1</v>
      </c>
      <c r="B66" s="83" t="s">
        <v>97</v>
      </c>
      <c r="C66" s="82">
        <f t="shared" si="1"/>
        <v>0</v>
      </c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</row>
    <row r="67" spans="1:34" x14ac:dyDescent="0.25">
      <c r="A67" s="82" cm="1">
        <f t="array" ref="A67">1+COUNT(_xlfn.UNIQUE(_xlfn._xlws.FILTER($C$4:$C$127, $C$4:$C$127 &lt; C67)))</f>
        <v>1</v>
      </c>
      <c r="B67" s="83" t="s">
        <v>76</v>
      </c>
      <c r="C67" s="82">
        <f t="shared" si="1"/>
        <v>0</v>
      </c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</row>
    <row r="68" spans="1:34" x14ac:dyDescent="0.25">
      <c r="A68" s="82" cm="1">
        <f t="array" ref="A68">1+COUNT(_xlfn.UNIQUE(_xlfn._xlws.FILTER($C$4:$C$127, $C$4:$C$127 &lt; C68)))</f>
        <v>1</v>
      </c>
      <c r="B68" s="83" t="s">
        <v>118</v>
      </c>
      <c r="C68" s="82">
        <f t="shared" ref="C68:C99" si="2">SUM(D68:AH68)</f>
        <v>0</v>
      </c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</row>
    <row r="69" spans="1:34" x14ac:dyDescent="0.25">
      <c r="A69" s="82" cm="1">
        <f t="array" ref="A69">1+COUNT(_xlfn.UNIQUE(_xlfn._xlws.FILTER($C$4:$C$127, $C$4:$C$127 &lt; C69)))</f>
        <v>1</v>
      </c>
      <c r="B69" s="83" t="s">
        <v>43</v>
      </c>
      <c r="C69" s="82">
        <f t="shared" si="2"/>
        <v>0</v>
      </c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</row>
    <row r="70" spans="1:34" x14ac:dyDescent="0.25">
      <c r="A70" s="82" cm="1">
        <f t="array" ref="A70">1+COUNT(_xlfn.UNIQUE(_xlfn._xlws.FILTER($C$4:$C$127, $C$4:$C$127 &lt; C70)))</f>
        <v>1</v>
      </c>
      <c r="B70" s="83" t="s">
        <v>73</v>
      </c>
      <c r="C70" s="82">
        <f t="shared" si="2"/>
        <v>0</v>
      </c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</row>
    <row r="71" spans="1:34" x14ac:dyDescent="0.25">
      <c r="A71" s="82" cm="1">
        <f t="array" ref="A71">1+COUNT(_xlfn.UNIQUE(_xlfn._xlws.FILTER($C$4:$C$127, $C$4:$C$127 &lt; C71)))</f>
        <v>1</v>
      </c>
      <c r="B71" s="83" t="s">
        <v>23</v>
      </c>
      <c r="C71" s="82">
        <f t="shared" si="2"/>
        <v>0</v>
      </c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</row>
    <row r="72" spans="1:34" x14ac:dyDescent="0.25">
      <c r="A72" s="82" cm="1">
        <f t="array" ref="A72">1+COUNT(_xlfn.UNIQUE(_xlfn._xlws.FILTER($C$4:$C$127, $C$4:$C$127 &lt; C72)))</f>
        <v>1</v>
      </c>
      <c r="B72" s="83" t="s">
        <v>114</v>
      </c>
      <c r="C72" s="82">
        <f t="shared" si="2"/>
        <v>0</v>
      </c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</row>
    <row r="73" spans="1:34" x14ac:dyDescent="0.25">
      <c r="A73" s="82" cm="1">
        <f t="array" ref="A73">1+COUNT(_xlfn.UNIQUE(_xlfn._xlws.FILTER($C$4:$C$127, $C$4:$C$127 &lt; C73)))</f>
        <v>1</v>
      </c>
      <c r="B73" s="83" t="s">
        <v>85</v>
      </c>
      <c r="C73" s="82">
        <f t="shared" si="2"/>
        <v>0</v>
      </c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</row>
    <row r="74" spans="1:34" x14ac:dyDescent="0.25">
      <c r="A74" s="82" cm="1">
        <f t="array" ref="A74">1+COUNT(_xlfn.UNIQUE(_xlfn._xlws.FILTER($C$4:$C$127, $C$4:$C$127 &lt; C74)))</f>
        <v>1</v>
      </c>
      <c r="B74" s="83" t="s">
        <v>60</v>
      </c>
      <c r="C74" s="82">
        <f t="shared" si="2"/>
        <v>0</v>
      </c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</row>
    <row r="75" spans="1:34" x14ac:dyDescent="0.25">
      <c r="A75" s="82" cm="1">
        <f t="array" ref="A75">1+COUNT(_xlfn.UNIQUE(_xlfn._xlws.FILTER($C$4:$C$127, $C$4:$C$127 &lt; C75)))</f>
        <v>1</v>
      </c>
      <c r="B75" s="83" t="s">
        <v>44</v>
      </c>
      <c r="C75" s="82">
        <f t="shared" si="2"/>
        <v>0</v>
      </c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</row>
    <row r="76" spans="1:34" x14ac:dyDescent="0.25">
      <c r="A76" s="82" cm="1">
        <f t="array" ref="A76">1+COUNT(_xlfn.UNIQUE(_xlfn._xlws.FILTER($C$4:$C$127, $C$4:$C$127 &lt; C76)))</f>
        <v>1</v>
      </c>
      <c r="B76" s="83" t="s">
        <v>91</v>
      </c>
      <c r="C76" s="82">
        <f t="shared" si="2"/>
        <v>0</v>
      </c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</row>
    <row r="77" spans="1:34" x14ac:dyDescent="0.25">
      <c r="A77" s="82" cm="1">
        <f t="array" ref="A77">1+COUNT(_xlfn.UNIQUE(_xlfn._xlws.FILTER($C$4:$C$127, $C$4:$C$127 &lt; C77)))</f>
        <v>1</v>
      </c>
      <c r="B77" s="83" t="s">
        <v>10</v>
      </c>
      <c r="C77" s="82">
        <f t="shared" si="2"/>
        <v>0</v>
      </c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</row>
    <row r="78" spans="1:34" x14ac:dyDescent="0.25">
      <c r="A78" s="82" cm="1">
        <f t="array" ref="A78">1+COUNT(_xlfn.UNIQUE(_xlfn._xlws.FILTER($C$4:$C$127, $C$4:$C$127 &lt; C78)))</f>
        <v>1</v>
      </c>
      <c r="B78" s="83" t="s">
        <v>6</v>
      </c>
      <c r="C78" s="82">
        <f t="shared" si="2"/>
        <v>0</v>
      </c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</row>
    <row r="79" spans="1:34" x14ac:dyDescent="0.25">
      <c r="A79" s="82" cm="1">
        <f t="array" ref="A79">1+COUNT(_xlfn.UNIQUE(_xlfn._xlws.FILTER($C$4:$C$127, $C$4:$C$127 &lt; C79)))</f>
        <v>1</v>
      </c>
      <c r="B79" s="83" t="s">
        <v>67</v>
      </c>
      <c r="C79" s="82">
        <f t="shared" si="2"/>
        <v>0</v>
      </c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</row>
    <row r="80" spans="1:34" x14ac:dyDescent="0.25">
      <c r="A80" s="82" cm="1">
        <f t="array" ref="A80">1+COUNT(_xlfn.UNIQUE(_xlfn._xlws.FILTER($C$4:$C$127, $C$4:$C$127 &lt; C80)))</f>
        <v>1</v>
      </c>
      <c r="B80" s="83" t="s">
        <v>109</v>
      </c>
      <c r="C80" s="82">
        <f t="shared" si="2"/>
        <v>0</v>
      </c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</row>
    <row r="81" spans="1:34" x14ac:dyDescent="0.25">
      <c r="A81" s="82" cm="1">
        <f t="array" ref="A81">1+COUNT(_xlfn.UNIQUE(_xlfn._xlws.FILTER($C$4:$C$127, $C$4:$C$127 &lt; C81)))</f>
        <v>1</v>
      </c>
      <c r="B81" s="83" t="s">
        <v>32</v>
      </c>
      <c r="C81" s="82">
        <f t="shared" si="2"/>
        <v>0</v>
      </c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</row>
    <row r="82" spans="1:34" x14ac:dyDescent="0.25">
      <c r="A82" s="82" cm="1">
        <f t="array" ref="A82">1+COUNT(_xlfn.UNIQUE(_xlfn._xlws.FILTER($C$4:$C$127, $C$4:$C$127 &lt; C82)))</f>
        <v>1</v>
      </c>
      <c r="B82" s="83" t="s">
        <v>54</v>
      </c>
      <c r="C82" s="82">
        <f t="shared" si="2"/>
        <v>0</v>
      </c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</row>
    <row r="83" spans="1:34" x14ac:dyDescent="0.25">
      <c r="A83" s="82" cm="1">
        <f t="array" ref="A83">1+COUNT(_xlfn.UNIQUE(_xlfn._xlws.FILTER($C$4:$C$127, $C$4:$C$127 &lt; C83)))</f>
        <v>1</v>
      </c>
      <c r="B83" s="83" t="s">
        <v>62</v>
      </c>
      <c r="C83" s="82">
        <f t="shared" si="2"/>
        <v>0</v>
      </c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</row>
    <row r="84" spans="1:34" x14ac:dyDescent="0.25">
      <c r="A84" s="82" cm="1">
        <f t="array" ref="A84">1+COUNT(_xlfn.UNIQUE(_xlfn._xlws.FILTER($C$4:$C$127, $C$4:$C$127 &lt; C84)))</f>
        <v>1</v>
      </c>
      <c r="B84" s="83" t="s">
        <v>74</v>
      </c>
      <c r="C84" s="82">
        <f t="shared" si="2"/>
        <v>0</v>
      </c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</row>
    <row r="85" spans="1:34" x14ac:dyDescent="0.25">
      <c r="A85" s="82" cm="1">
        <f t="array" ref="A85">1+COUNT(_xlfn.UNIQUE(_xlfn._xlws.FILTER($C$4:$C$127, $C$4:$C$127 &lt; C85)))</f>
        <v>1</v>
      </c>
      <c r="B85" s="83" t="s">
        <v>42</v>
      </c>
      <c r="C85" s="82">
        <f t="shared" si="2"/>
        <v>0</v>
      </c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</row>
    <row r="86" spans="1:34" x14ac:dyDescent="0.25">
      <c r="A86" s="82" cm="1">
        <f t="array" ref="A86">1+COUNT(_xlfn.UNIQUE(_xlfn._xlws.FILTER($C$4:$C$127, $C$4:$C$127 &lt; C86)))</f>
        <v>1</v>
      </c>
      <c r="B86" s="83" t="s">
        <v>31</v>
      </c>
      <c r="C86" s="82">
        <f t="shared" si="2"/>
        <v>0</v>
      </c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</row>
    <row r="87" spans="1:34" x14ac:dyDescent="0.25">
      <c r="A87" s="82" cm="1">
        <f t="array" ref="A87">1+COUNT(_xlfn.UNIQUE(_xlfn._xlws.FILTER($C$4:$C$127, $C$4:$C$127 &lt; C87)))</f>
        <v>1</v>
      </c>
      <c r="B87" s="83" t="s">
        <v>16</v>
      </c>
      <c r="C87" s="82">
        <f t="shared" si="2"/>
        <v>0</v>
      </c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</row>
    <row r="88" spans="1:34" x14ac:dyDescent="0.25">
      <c r="A88" s="82" cm="1">
        <f t="array" ref="A88">1+COUNT(_xlfn.UNIQUE(_xlfn._xlws.FILTER($C$4:$C$127, $C$4:$C$127 &lt; C88)))</f>
        <v>1</v>
      </c>
      <c r="B88" s="83" t="s">
        <v>72</v>
      </c>
      <c r="C88" s="82">
        <f t="shared" si="2"/>
        <v>0</v>
      </c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</row>
    <row r="89" spans="1:34" x14ac:dyDescent="0.25">
      <c r="A89" s="82" cm="1">
        <f t="array" ref="A89">1+COUNT(_xlfn.UNIQUE(_xlfn._xlws.FILTER($C$4:$C$127, $C$4:$C$127 &lt; C89)))</f>
        <v>1</v>
      </c>
      <c r="B89" s="83" t="s">
        <v>63</v>
      </c>
      <c r="C89" s="82">
        <f t="shared" si="2"/>
        <v>0</v>
      </c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</row>
    <row r="90" spans="1:34" x14ac:dyDescent="0.25">
      <c r="A90" s="82" cm="1">
        <f t="array" ref="A90">1+COUNT(_xlfn.UNIQUE(_xlfn._xlws.FILTER($C$4:$C$127, $C$4:$C$127 &lt; C90)))</f>
        <v>1</v>
      </c>
      <c r="B90" s="83" t="s">
        <v>52</v>
      </c>
      <c r="C90" s="82">
        <f t="shared" si="2"/>
        <v>0</v>
      </c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</row>
    <row r="91" spans="1:34" x14ac:dyDescent="0.25">
      <c r="A91" s="82" cm="1">
        <f t="array" ref="A91">1+COUNT(_xlfn.UNIQUE(_xlfn._xlws.FILTER($C$4:$C$127, $C$4:$C$127 &lt; C91)))</f>
        <v>1</v>
      </c>
      <c r="B91" s="83" t="s">
        <v>9</v>
      </c>
      <c r="C91" s="82">
        <f t="shared" si="2"/>
        <v>0</v>
      </c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</row>
    <row r="92" spans="1:34" x14ac:dyDescent="0.25">
      <c r="A92" s="82" cm="1">
        <f t="array" ref="A92">1+COUNT(_xlfn.UNIQUE(_xlfn._xlws.FILTER($C$4:$C$127, $C$4:$C$127 &lt; C92)))</f>
        <v>1</v>
      </c>
      <c r="B92" s="83" t="s">
        <v>83</v>
      </c>
      <c r="C92" s="82">
        <f t="shared" si="2"/>
        <v>0</v>
      </c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</row>
    <row r="93" spans="1:34" x14ac:dyDescent="0.25">
      <c r="A93" s="82" cm="1">
        <f t="array" ref="A93">1+COUNT(_xlfn.UNIQUE(_xlfn._xlws.FILTER($C$4:$C$127, $C$4:$C$127 &lt; C93)))</f>
        <v>1</v>
      </c>
      <c r="B93" s="83" t="s">
        <v>117</v>
      </c>
      <c r="C93" s="82">
        <f t="shared" si="2"/>
        <v>0</v>
      </c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</row>
    <row r="94" spans="1:34" x14ac:dyDescent="0.25">
      <c r="A94" s="82" cm="1">
        <f t="array" ref="A94">1+COUNT(_xlfn.UNIQUE(_xlfn._xlws.FILTER($C$4:$C$127, $C$4:$C$127 &lt; C94)))</f>
        <v>1</v>
      </c>
      <c r="B94" s="83" t="s">
        <v>45</v>
      </c>
      <c r="C94" s="82">
        <f t="shared" si="2"/>
        <v>0</v>
      </c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</row>
    <row r="95" spans="1:34" x14ac:dyDescent="0.25">
      <c r="A95" s="82" cm="1">
        <f t="array" ref="A95">1+COUNT(_xlfn.UNIQUE(_xlfn._xlws.FILTER($C$4:$C$127, $C$4:$C$127 &lt; C95)))</f>
        <v>1</v>
      </c>
      <c r="B95" s="83" t="s">
        <v>51</v>
      </c>
      <c r="C95" s="82">
        <f t="shared" si="2"/>
        <v>0</v>
      </c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</row>
    <row r="96" spans="1:34" x14ac:dyDescent="0.25">
      <c r="A96" s="82" cm="1">
        <f t="array" ref="A96">1+COUNT(_xlfn.UNIQUE(_xlfn._xlws.FILTER($C$4:$C$127, $C$4:$C$127 &lt; C96)))</f>
        <v>1</v>
      </c>
      <c r="B96" s="83" t="s">
        <v>8</v>
      </c>
      <c r="C96" s="82">
        <f t="shared" si="2"/>
        <v>0</v>
      </c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</row>
    <row r="97" spans="1:34" x14ac:dyDescent="0.25">
      <c r="A97" s="82" cm="1">
        <f t="array" ref="A97">1+COUNT(_xlfn.UNIQUE(_xlfn._xlws.FILTER($C$4:$C$127, $C$4:$C$127 &lt; C97)))</f>
        <v>1</v>
      </c>
      <c r="B97" s="83" t="s">
        <v>86</v>
      </c>
      <c r="C97" s="82">
        <f t="shared" si="2"/>
        <v>0</v>
      </c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</row>
    <row r="98" spans="1:34" x14ac:dyDescent="0.25">
      <c r="A98" s="82" cm="1">
        <f t="array" ref="A98">1+COUNT(_xlfn.UNIQUE(_xlfn._xlws.FILTER($C$4:$C$127, $C$4:$C$127 &lt; C98)))</f>
        <v>1</v>
      </c>
      <c r="B98" s="83" t="s">
        <v>100</v>
      </c>
      <c r="C98" s="82">
        <f t="shared" si="2"/>
        <v>0</v>
      </c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</row>
    <row r="99" spans="1:34" x14ac:dyDescent="0.25">
      <c r="A99" s="82" cm="1">
        <f t="array" ref="A99">1+COUNT(_xlfn.UNIQUE(_xlfn._xlws.FILTER($C$4:$C$127, $C$4:$C$127 &lt; C99)))</f>
        <v>1</v>
      </c>
      <c r="B99" s="83" t="s">
        <v>122</v>
      </c>
      <c r="C99" s="82">
        <f t="shared" si="2"/>
        <v>0</v>
      </c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</row>
    <row r="100" spans="1:34" x14ac:dyDescent="0.25">
      <c r="A100" s="82" cm="1">
        <f t="array" ref="A100">1+COUNT(_xlfn.UNIQUE(_xlfn._xlws.FILTER($C$4:$C$127, $C$4:$C$127 &lt; C100)))</f>
        <v>1</v>
      </c>
      <c r="B100" s="83" t="s">
        <v>103</v>
      </c>
      <c r="C100" s="82">
        <f t="shared" ref="C100:C128" si="3">SUM(D100:AH100)</f>
        <v>0</v>
      </c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</row>
    <row r="101" spans="1:34" x14ac:dyDescent="0.25">
      <c r="A101" s="82" cm="1">
        <f t="array" ref="A101">1+COUNT(_xlfn.UNIQUE(_xlfn._xlws.FILTER($C$4:$C$127, $C$4:$C$127 &lt; C101)))</f>
        <v>1</v>
      </c>
      <c r="B101" s="83" t="s">
        <v>115</v>
      </c>
      <c r="C101" s="82">
        <f t="shared" si="3"/>
        <v>0</v>
      </c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</row>
    <row r="102" spans="1:34" x14ac:dyDescent="0.25">
      <c r="A102" s="82" cm="1">
        <f t="array" ref="A102">1+COUNT(_xlfn.UNIQUE(_xlfn._xlws.FILTER($C$4:$C$127, $C$4:$C$127 &lt; C102)))</f>
        <v>1</v>
      </c>
      <c r="B102" s="83" t="s">
        <v>14</v>
      </c>
      <c r="C102" s="82">
        <f t="shared" si="3"/>
        <v>0</v>
      </c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</row>
    <row r="103" spans="1:34" x14ac:dyDescent="0.25">
      <c r="A103" s="82" cm="1">
        <f t="array" ref="A103">1+COUNT(_xlfn.UNIQUE(_xlfn._xlws.FILTER($C$4:$C$127, $C$4:$C$127 &lt; C103)))</f>
        <v>1</v>
      </c>
      <c r="B103" s="83" t="s">
        <v>90</v>
      </c>
      <c r="C103" s="82">
        <f t="shared" si="3"/>
        <v>0</v>
      </c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</row>
    <row r="104" spans="1:34" x14ac:dyDescent="0.25">
      <c r="A104" s="82" cm="1">
        <f t="array" ref="A104">1+COUNT(_xlfn.UNIQUE(_xlfn._xlws.FILTER($C$4:$C$127, $C$4:$C$127 &lt; C104)))</f>
        <v>1</v>
      </c>
      <c r="B104" s="83" t="s">
        <v>84</v>
      </c>
      <c r="C104" s="82">
        <f t="shared" si="3"/>
        <v>0</v>
      </c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</row>
    <row r="105" spans="1:34" x14ac:dyDescent="0.25">
      <c r="A105" s="82" cm="1">
        <f t="array" ref="A105">1+COUNT(_xlfn.UNIQUE(_xlfn._xlws.FILTER($C$4:$C$127, $C$4:$C$127 &lt; C105)))</f>
        <v>1</v>
      </c>
      <c r="B105" s="83" t="s">
        <v>101</v>
      </c>
      <c r="C105" s="82">
        <f t="shared" si="3"/>
        <v>0</v>
      </c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</row>
    <row r="106" spans="1:34" x14ac:dyDescent="0.25">
      <c r="A106" s="82" cm="1">
        <f t="array" ref="A106">1+COUNT(_xlfn.UNIQUE(_xlfn._xlws.FILTER($C$4:$C$127, $C$4:$C$127 &lt; C106)))</f>
        <v>1</v>
      </c>
      <c r="B106" s="83" t="s">
        <v>55</v>
      </c>
      <c r="C106" s="82">
        <f t="shared" si="3"/>
        <v>0</v>
      </c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</row>
    <row r="107" spans="1:34" x14ac:dyDescent="0.25">
      <c r="A107" s="82" cm="1">
        <f t="array" ref="A107">1+COUNT(_xlfn.UNIQUE(_xlfn._xlws.FILTER($C$4:$C$127, $C$4:$C$127 &lt; C107)))</f>
        <v>1</v>
      </c>
      <c r="B107" s="83" t="s">
        <v>48</v>
      </c>
      <c r="C107" s="82">
        <f t="shared" si="3"/>
        <v>0</v>
      </c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</row>
    <row r="108" spans="1:34" x14ac:dyDescent="0.25">
      <c r="A108" s="82" cm="1">
        <f t="array" ref="A108">1+COUNT(_xlfn.UNIQUE(_xlfn._xlws.FILTER($C$4:$C$127, $C$4:$C$127 &lt; C108)))</f>
        <v>1</v>
      </c>
      <c r="B108" s="83" t="s">
        <v>12</v>
      </c>
      <c r="C108" s="82">
        <f t="shared" si="3"/>
        <v>0</v>
      </c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</row>
    <row r="109" spans="1:34" x14ac:dyDescent="0.25">
      <c r="A109" s="82" cm="1">
        <f t="array" ref="A109">1+COUNT(_xlfn.UNIQUE(_xlfn._xlws.FILTER($C$4:$C$127, $C$4:$C$127 &lt; C109)))</f>
        <v>1</v>
      </c>
      <c r="B109" s="83" t="s">
        <v>34</v>
      </c>
      <c r="C109" s="82">
        <f t="shared" si="3"/>
        <v>0</v>
      </c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</row>
    <row r="110" spans="1:34" x14ac:dyDescent="0.25">
      <c r="A110" s="82" cm="1">
        <f t="array" ref="A110">1+COUNT(_xlfn.UNIQUE(_xlfn._xlws.FILTER($C$4:$C$127, $C$4:$C$127 &lt; C110)))</f>
        <v>1</v>
      </c>
      <c r="B110" s="83" t="s">
        <v>120</v>
      </c>
      <c r="C110" s="82">
        <f t="shared" si="3"/>
        <v>0</v>
      </c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</row>
    <row r="111" spans="1:34" x14ac:dyDescent="0.25">
      <c r="A111" s="82" cm="1">
        <f t="array" ref="A111">1+COUNT(_xlfn.UNIQUE(_xlfn._xlws.FILTER($C$4:$C$127, $C$4:$C$127 &lt; C111)))</f>
        <v>1</v>
      </c>
      <c r="B111" s="83" t="s">
        <v>61</v>
      </c>
      <c r="C111" s="82">
        <f t="shared" si="3"/>
        <v>0</v>
      </c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</row>
    <row r="112" spans="1:34" x14ac:dyDescent="0.25">
      <c r="A112" s="82" cm="1">
        <f t="array" ref="A112">1+COUNT(_xlfn.UNIQUE(_xlfn._xlws.FILTER($C$4:$C$127, $C$4:$C$127 &lt; C112)))</f>
        <v>1</v>
      </c>
      <c r="B112" s="83" t="s">
        <v>20</v>
      </c>
      <c r="C112" s="82">
        <f t="shared" si="3"/>
        <v>0</v>
      </c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</row>
    <row r="113" spans="1:34" x14ac:dyDescent="0.25">
      <c r="A113" s="82" cm="1">
        <f t="array" ref="A113">1+COUNT(_xlfn.UNIQUE(_xlfn._xlws.FILTER($C$4:$C$127, $C$4:$C$127 &lt; C113)))</f>
        <v>1</v>
      </c>
      <c r="B113" s="83" t="s">
        <v>113</v>
      </c>
      <c r="C113" s="82">
        <f t="shared" si="3"/>
        <v>0</v>
      </c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</row>
    <row r="114" spans="1:34" x14ac:dyDescent="0.25">
      <c r="A114" s="82" cm="1">
        <f t="array" ref="A114">1+COUNT(_xlfn.UNIQUE(_xlfn._xlws.FILTER($C$4:$C$127, $C$4:$C$127 &lt; C114)))</f>
        <v>1</v>
      </c>
      <c r="B114" s="83" t="s">
        <v>13</v>
      </c>
      <c r="C114" s="82">
        <f t="shared" si="3"/>
        <v>0</v>
      </c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</row>
    <row r="115" spans="1:34" x14ac:dyDescent="0.25">
      <c r="A115" s="82" cm="1">
        <f t="array" ref="A115">1+COUNT(_xlfn.UNIQUE(_xlfn._xlws.FILTER($C$4:$C$127, $C$4:$C$127 &lt; C115)))</f>
        <v>1</v>
      </c>
      <c r="B115" s="83" t="s">
        <v>18</v>
      </c>
      <c r="C115" s="82">
        <f t="shared" si="3"/>
        <v>0</v>
      </c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</row>
    <row r="116" spans="1:34" x14ac:dyDescent="0.25">
      <c r="A116" s="82" cm="1">
        <f t="array" ref="A116">1+COUNT(_xlfn.UNIQUE(_xlfn._xlws.FILTER($C$4:$C$127, $C$4:$C$127 &lt; C116)))</f>
        <v>1</v>
      </c>
      <c r="B116" s="83" t="s">
        <v>66</v>
      </c>
      <c r="C116" s="82">
        <f t="shared" si="3"/>
        <v>0</v>
      </c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</row>
    <row r="117" spans="1:34" x14ac:dyDescent="0.25">
      <c r="A117" s="82" cm="1">
        <f t="array" ref="A117">1+COUNT(_xlfn.UNIQUE(_xlfn._xlws.FILTER($C$4:$C$127, $C$4:$C$127 &lt; C117)))</f>
        <v>1</v>
      </c>
      <c r="B117" s="83" t="s">
        <v>98</v>
      </c>
      <c r="C117" s="82">
        <f t="shared" si="3"/>
        <v>0</v>
      </c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</row>
    <row r="118" spans="1:34" x14ac:dyDescent="0.25">
      <c r="A118" s="82" cm="1">
        <f t="array" ref="A118">1+COUNT(_xlfn.UNIQUE(_xlfn._xlws.FILTER($C$4:$C$127, $C$4:$C$127 &lt; C118)))</f>
        <v>1</v>
      </c>
      <c r="B118" s="83" t="s">
        <v>75</v>
      </c>
      <c r="C118" s="82">
        <f t="shared" si="3"/>
        <v>0</v>
      </c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</row>
    <row r="119" spans="1:34" x14ac:dyDescent="0.25">
      <c r="A119" s="82" cm="1">
        <f t="array" ref="A119">1+COUNT(_xlfn.UNIQUE(_xlfn._xlws.FILTER($C$4:$C$127, $C$4:$C$127 &lt; C119)))</f>
        <v>1</v>
      </c>
      <c r="B119" s="83" t="s">
        <v>19</v>
      </c>
      <c r="C119" s="82">
        <f t="shared" si="3"/>
        <v>0</v>
      </c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</row>
    <row r="120" spans="1:34" x14ac:dyDescent="0.25">
      <c r="A120" s="82" cm="1">
        <f t="array" ref="A120">1+COUNT(_xlfn.UNIQUE(_xlfn._xlws.FILTER($C$4:$C$127, $C$4:$C$127 &lt; C120)))</f>
        <v>1</v>
      </c>
      <c r="B120" s="83" t="s">
        <v>81</v>
      </c>
      <c r="C120" s="82">
        <f t="shared" si="3"/>
        <v>0</v>
      </c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</row>
    <row r="121" spans="1:34" x14ac:dyDescent="0.25">
      <c r="A121" s="82" cm="1">
        <f t="array" ref="A121">1+COUNT(_xlfn.UNIQUE(_xlfn._xlws.FILTER($C$4:$C$127, $C$4:$C$127 &lt; C121)))</f>
        <v>1</v>
      </c>
      <c r="B121" s="83" t="s">
        <v>88</v>
      </c>
      <c r="C121" s="82">
        <f t="shared" si="3"/>
        <v>0</v>
      </c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</row>
    <row r="122" spans="1:34" x14ac:dyDescent="0.25">
      <c r="A122" s="82" cm="1">
        <f t="array" ref="A122">1+COUNT(_xlfn.UNIQUE(_xlfn._xlws.FILTER($C$4:$C$127, $C$4:$C$127 &lt; C122)))</f>
        <v>1</v>
      </c>
      <c r="B122" s="83" t="s">
        <v>41</v>
      </c>
      <c r="C122" s="82">
        <f t="shared" si="3"/>
        <v>0</v>
      </c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</row>
    <row r="123" spans="1:34" x14ac:dyDescent="0.25">
      <c r="A123" s="82" cm="1">
        <f t="array" ref="A123">1+COUNT(_xlfn.UNIQUE(_xlfn._xlws.FILTER($C$4:$C$127, $C$4:$C$127 &lt; C123)))</f>
        <v>1</v>
      </c>
      <c r="B123" s="83" t="s">
        <v>53</v>
      </c>
      <c r="C123" s="82">
        <f t="shared" si="3"/>
        <v>0</v>
      </c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</row>
    <row r="124" spans="1:34" x14ac:dyDescent="0.25">
      <c r="A124" s="82" cm="1">
        <f t="array" ref="A124">1+COUNT(_xlfn.UNIQUE(_xlfn._xlws.FILTER($C$4:$C$127, $C$4:$C$127 &lt; C124)))</f>
        <v>1</v>
      </c>
      <c r="B124" s="83" t="s">
        <v>1</v>
      </c>
      <c r="C124" s="82">
        <f t="shared" si="3"/>
        <v>0</v>
      </c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</row>
    <row r="125" spans="1:34" x14ac:dyDescent="0.25">
      <c r="A125" s="82" cm="1">
        <f t="array" ref="A125">1+COUNT(_xlfn.UNIQUE(_xlfn._xlws.FILTER($C$4:$C$127, $C$4:$C$127 &lt; C125)))</f>
        <v>1</v>
      </c>
      <c r="B125" s="83" t="s">
        <v>99</v>
      </c>
      <c r="C125" s="82">
        <f t="shared" si="3"/>
        <v>0</v>
      </c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</row>
    <row r="126" spans="1:34" x14ac:dyDescent="0.25">
      <c r="A126" s="82" cm="1">
        <f t="array" ref="A126">1+COUNT(_xlfn.UNIQUE(_xlfn._xlws.FILTER($C$4:$C$127, $C$4:$C$127 &lt; C126)))</f>
        <v>1</v>
      </c>
      <c r="B126" s="83" t="s">
        <v>25</v>
      </c>
      <c r="C126" s="82">
        <f t="shared" si="3"/>
        <v>0</v>
      </c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</row>
    <row r="127" spans="1:34" x14ac:dyDescent="0.25">
      <c r="A127" s="82" cm="1">
        <f t="array" ref="A127">1+COUNT(_xlfn.UNIQUE(_xlfn._xlws.FILTER($C$4:$C$127, $C$4:$C$127 &lt; C127)))</f>
        <v>1</v>
      </c>
      <c r="B127" s="83" t="s">
        <v>24</v>
      </c>
      <c r="C127" s="82">
        <f t="shared" si="3"/>
        <v>0</v>
      </c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</row>
    <row r="128" spans="1:34" x14ac:dyDescent="0.25">
      <c r="A128" s="82" cm="1">
        <f t="array" ref="A128">1+COUNT(_xlfn.UNIQUE(_xlfn._xlws.FILTER($C$4:$C$127, $C$4:$C$127 &lt; C128)))</f>
        <v>1</v>
      </c>
      <c r="B128" s="84" t="s">
        <v>121</v>
      </c>
      <c r="C128" s="82">
        <f t="shared" si="3"/>
        <v>0</v>
      </c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</row>
  </sheetData>
  <mergeCells count="3">
    <mergeCell ref="A1:C1"/>
    <mergeCell ref="D1:Y1"/>
    <mergeCell ref="Z1:AH1"/>
  </mergeCells>
  <phoneticPr fontId="8" type="noConversion"/>
  <pageMargins left="0.7" right="0.7" top="0.75" bottom="0.75" header="0.3" footer="0.3"/>
  <pageSetup paperSize="9" scale="53" fitToHeight="4" orientation="landscape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B2B37-D93C-7746-88A9-B5AAFA9F5875}">
  <dimension ref="A1:AH127"/>
  <sheetViews>
    <sheetView workbookViewId="0">
      <selection activeCell="C3" sqref="C3"/>
    </sheetView>
  </sheetViews>
  <sheetFormatPr defaultColWidth="10.85546875" defaultRowHeight="15.75" x14ac:dyDescent="0.2"/>
  <cols>
    <col min="1" max="1" width="9.28515625" style="74" bestFit="1" customWidth="1"/>
    <col min="2" max="2" width="21.28515625" style="75" customWidth="1"/>
    <col min="3" max="3" width="16" style="57" customWidth="1"/>
    <col min="4" max="34" width="5.85546875" style="68" customWidth="1"/>
    <col min="35" max="16384" width="10.85546875" style="68"/>
  </cols>
  <sheetData>
    <row r="1" spans="1:34" x14ac:dyDescent="0.2">
      <c r="A1" s="138" t="s">
        <v>229</v>
      </c>
      <c r="B1" s="138"/>
      <c r="C1" s="138"/>
      <c r="D1" s="137" t="s">
        <v>228</v>
      </c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 t="s">
        <v>227</v>
      </c>
      <c r="AA1" s="137"/>
      <c r="AB1" s="137"/>
      <c r="AC1" s="137"/>
      <c r="AD1" s="137"/>
      <c r="AE1" s="137"/>
      <c r="AF1" s="137"/>
      <c r="AG1" s="137"/>
      <c r="AH1" s="137"/>
    </row>
    <row r="2" spans="1:34" s="71" customFormat="1" ht="63.95" customHeight="1" x14ac:dyDescent="0.2">
      <c r="A2" s="69" t="s">
        <v>129</v>
      </c>
      <c r="B2" s="66" t="s">
        <v>128</v>
      </c>
      <c r="C2" s="70" t="s">
        <v>138</v>
      </c>
      <c r="D2" s="66" t="s">
        <v>174</v>
      </c>
      <c r="E2" s="66" t="s">
        <v>175</v>
      </c>
      <c r="F2" s="66" t="s">
        <v>176</v>
      </c>
      <c r="G2" s="66" t="s">
        <v>177</v>
      </c>
      <c r="H2" s="66" t="s">
        <v>178</v>
      </c>
      <c r="I2" s="66" t="s">
        <v>179</v>
      </c>
      <c r="J2" s="66" t="s">
        <v>180</v>
      </c>
      <c r="K2" s="66" t="s">
        <v>181</v>
      </c>
      <c r="L2" s="66" t="s">
        <v>182</v>
      </c>
      <c r="M2" s="66" t="s">
        <v>183</v>
      </c>
      <c r="N2" s="66" t="s">
        <v>184</v>
      </c>
      <c r="O2" s="66" t="s">
        <v>185</v>
      </c>
      <c r="P2" s="66" t="s">
        <v>186</v>
      </c>
      <c r="Q2" s="66" t="s">
        <v>187</v>
      </c>
      <c r="R2" s="66" t="s">
        <v>188</v>
      </c>
      <c r="S2" s="66" t="s">
        <v>189</v>
      </c>
      <c r="T2" s="66" t="s">
        <v>190</v>
      </c>
      <c r="U2" s="66" t="s">
        <v>191</v>
      </c>
      <c r="V2" s="66" t="s">
        <v>192</v>
      </c>
      <c r="W2" s="66" t="s">
        <v>193</v>
      </c>
      <c r="X2" s="66" t="s">
        <v>194</v>
      </c>
      <c r="Y2" s="66" t="s">
        <v>195</v>
      </c>
      <c r="Z2" s="66" t="s">
        <v>196</v>
      </c>
      <c r="AA2" s="66" t="s">
        <v>197</v>
      </c>
      <c r="AB2" s="66" t="s">
        <v>198</v>
      </c>
      <c r="AC2" s="66" t="s">
        <v>199</v>
      </c>
      <c r="AD2" s="66" t="s">
        <v>200</v>
      </c>
      <c r="AE2" s="66" t="s">
        <v>201</v>
      </c>
      <c r="AF2" s="66" t="s">
        <v>202</v>
      </c>
      <c r="AG2" s="66" t="s">
        <v>203</v>
      </c>
      <c r="AH2" s="66" t="s">
        <v>204</v>
      </c>
    </row>
    <row r="3" spans="1:34" s="71" customFormat="1" ht="21.95" customHeight="1" x14ac:dyDescent="0.2">
      <c r="A3" s="69"/>
      <c r="B3" s="66" t="s">
        <v>132</v>
      </c>
      <c r="C3" s="70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</row>
    <row r="4" spans="1:34" x14ac:dyDescent="0.2">
      <c r="A4" s="69" cm="1">
        <f t="array" ref="A4">1+COUNT(_xlfn.UNIQUE(_xlfn._xlws.FILTER($C$4:$C$127,$C$4:$C$127&lt;C4)))</f>
        <v>1</v>
      </c>
      <c r="B4" s="72" t="s">
        <v>114</v>
      </c>
      <c r="C4" s="70">
        <f t="shared" ref="C4:C67" si="0">SUM(D4:AH4)</f>
        <v>0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</row>
    <row r="5" spans="1:34" x14ac:dyDescent="0.2">
      <c r="A5" s="69" cm="1">
        <f t="array" ref="A5">1+COUNT(_xlfn.UNIQUE(_xlfn._xlws.FILTER($C$4:$C$127,$C$4:$C$127&lt;C5)))</f>
        <v>1</v>
      </c>
      <c r="B5" s="72" t="s">
        <v>83</v>
      </c>
      <c r="C5" s="70">
        <f t="shared" si="0"/>
        <v>0</v>
      </c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</row>
    <row r="6" spans="1:34" x14ac:dyDescent="0.2">
      <c r="A6" s="69" cm="1">
        <f t="array" ref="A6">1+COUNT(_xlfn.UNIQUE(_xlfn._xlws.FILTER($C$4:$C$127,$C$4:$C$127&lt;C6)))</f>
        <v>1</v>
      </c>
      <c r="B6" s="72" t="s">
        <v>11</v>
      </c>
      <c r="C6" s="70">
        <f t="shared" si="0"/>
        <v>0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</row>
    <row r="7" spans="1:34" x14ac:dyDescent="0.2">
      <c r="A7" s="69" cm="1">
        <f t="array" ref="A7">1+COUNT(_xlfn.UNIQUE(_xlfn._xlws.FILTER($C$4:$C$127,$C$4:$C$127&lt;C7)))</f>
        <v>1</v>
      </c>
      <c r="B7" s="72" t="s">
        <v>108</v>
      </c>
      <c r="C7" s="70">
        <f t="shared" si="0"/>
        <v>0</v>
      </c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</row>
    <row r="8" spans="1:34" x14ac:dyDescent="0.2">
      <c r="A8" s="69" cm="1">
        <f t="array" ref="A8">1+COUNT(_xlfn.UNIQUE(_xlfn._xlws.FILTER($C$4:$C$127,$C$4:$C$127&lt;C8)))</f>
        <v>1</v>
      </c>
      <c r="B8" s="72" t="s">
        <v>5</v>
      </c>
      <c r="C8" s="70">
        <f t="shared" si="0"/>
        <v>0</v>
      </c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</row>
    <row r="9" spans="1:34" x14ac:dyDescent="0.2">
      <c r="A9" s="69" cm="1">
        <f t="array" ref="A9">1+COUNT(_xlfn.UNIQUE(_xlfn._xlws.FILTER($C$4:$C$127,$C$4:$C$127&lt;C9)))</f>
        <v>1</v>
      </c>
      <c r="B9" s="72" t="s">
        <v>59</v>
      </c>
      <c r="C9" s="70">
        <f t="shared" si="0"/>
        <v>0</v>
      </c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</row>
    <row r="10" spans="1:34" x14ac:dyDescent="0.2">
      <c r="A10" s="69" cm="1">
        <f t="array" ref="A10">1+COUNT(_xlfn.UNIQUE(_xlfn._xlws.FILTER($C$4:$C$127,$C$4:$C$127&lt;C10)))</f>
        <v>1</v>
      </c>
      <c r="B10" s="72" t="s">
        <v>69</v>
      </c>
      <c r="C10" s="70">
        <f t="shared" si="0"/>
        <v>0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</row>
    <row r="11" spans="1:34" x14ac:dyDescent="0.2">
      <c r="A11" s="69" cm="1">
        <f t="array" ref="A11">1+COUNT(_xlfn.UNIQUE(_xlfn._xlws.FILTER($C$4:$C$127,$C$4:$C$127&lt;C11)))</f>
        <v>1</v>
      </c>
      <c r="B11" s="72" t="s">
        <v>118</v>
      </c>
      <c r="C11" s="70">
        <f t="shared" si="0"/>
        <v>0</v>
      </c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</row>
    <row r="12" spans="1:34" x14ac:dyDescent="0.2">
      <c r="A12" s="69" cm="1">
        <f t="array" ref="A12">1+COUNT(_xlfn.UNIQUE(_xlfn._xlws.FILTER($C$4:$C$127,$C$4:$C$127&lt;C12)))</f>
        <v>1</v>
      </c>
      <c r="B12" s="72" t="s">
        <v>19</v>
      </c>
      <c r="C12" s="70">
        <f t="shared" si="0"/>
        <v>0</v>
      </c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</row>
    <row r="13" spans="1:34" x14ac:dyDescent="0.2">
      <c r="A13" s="69" cm="1">
        <f t="array" ref="A13">1+COUNT(_xlfn.UNIQUE(_xlfn._xlws.FILTER($C$4:$C$127,$C$4:$C$127&lt;C13)))</f>
        <v>1</v>
      </c>
      <c r="B13" s="72" t="s">
        <v>68</v>
      </c>
      <c r="C13" s="70">
        <f t="shared" si="0"/>
        <v>0</v>
      </c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</row>
    <row r="14" spans="1:34" x14ac:dyDescent="0.2">
      <c r="A14" s="69" cm="1">
        <f t="array" ref="A14">1+COUNT(_xlfn.UNIQUE(_xlfn._xlws.FILTER($C$4:$C$127,$C$4:$C$127&lt;C14)))</f>
        <v>1</v>
      </c>
      <c r="B14" s="72" t="s">
        <v>6</v>
      </c>
      <c r="C14" s="70">
        <f t="shared" si="0"/>
        <v>0</v>
      </c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</row>
    <row r="15" spans="1:34" x14ac:dyDescent="0.2">
      <c r="A15" s="69" cm="1">
        <f t="array" ref="A15">1+COUNT(_xlfn.UNIQUE(_xlfn._xlws.FILTER($C$4:$C$127,$C$4:$C$127&lt;C15)))</f>
        <v>1</v>
      </c>
      <c r="B15" s="72" t="s">
        <v>62</v>
      </c>
      <c r="C15" s="70">
        <f t="shared" si="0"/>
        <v>0</v>
      </c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</row>
    <row r="16" spans="1:34" x14ac:dyDescent="0.2">
      <c r="A16" s="69" cm="1">
        <f t="array" ref="A16">1+COUNT(_xlfn.UNIQUE(_xlfn._xlws.FILTER($C$4:$C$127,$C$4:$C$127&lt;C16)))</f>
        <v>1</v>
      </c>
      <c r="B16" s="72" t="s">
        <v>29</v>
      </c>
      <c r="C16" s="70">
        <f t="shared" si="0"/>
        <v>0</v>
      </c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</row>
    <row r="17" spans="1:34" x14ac:dyDescent="0.2">
      <c r="A17" s="69" cm="1">
        <f t="array" ref="A17">1+COUNT(_xlfn.UNIQUE(_xlfn._xlws.FILTER($C$4:$C$127,$C$4:$C$127&lt;C17)))</f>
        <v>1</v>
      </c>
      <c r="B17" s="72" t="s">
        <v>85</v>
      </c>
      <c r="C17" s="70">
        <f t="shared" si="0"/>
        <v>0</v>
      </c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</row>
    <row r="18" spans="1:34" x14ac:dyDescent="0.2">
      <c r="A18" s="69" cm="1">
        <f t="array" ref="A18">1+COUNT(_xlfn.UNIQUE(_xlfn._xlws.FILTER($C$4:$C$127,$C$4:$C$127&lt;C18)))</f>
        <v>1</v>
      </c>
      <c r="B18" s="72" t="s">
        <v>63</v>
      </c>
      <c r="C18" s="70">
        <f t="shared" si="0"/>
        <v>0</v>
      </c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</row>
    <row r="19" spans="1:34" x14ac:dyDescent="0.2">
      <c r="A19" s="69" cm="1">
        <f t="array" ref="A19">1+COUNT(_xlfn.UNIQUE(_xlfn._xlws.FILTER($C$4:$C$127,$C$4:$C$127&lt;C19)))</f>
        <v>1</v>
      </c>
      <c r="B19" s="72" t="s">
        <v>122</v>
      </c>
      <c r="C19" s="70">
        <f t="shared" si="0"/>
        <v>0</v>
      </c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</row>
    <row r="20" spans="1:34" x14ac:dyDescent="0.2">
      <c r="A20" s="69" cm="1">
        <f t="array" ref="A20">1+COUNT(_xlfn.UNIQUE(_xlfn._xlws.FILTER($C$4:$C$127,$C$4:$C$127&lt;C20)))</f>
        <v>1</v>
      </c>
      <c r="B20" s="72" t="s">
        <v>90</v>
      </c>
      <c r="C20" s="70">
        <f t="shared" si="0"/>
        <v>0</v>
      </c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</row>
    <row r="21" spans="1:34" x14ac:dyDescent="0.2">
      <c r="A21" s="69" cm="1">
        <f t="array" ref="A21">1+COUNT(_xlfn.UNIQUE(_xlfn._xlws.FILTER($C$4:$C$127,$C$4:$C$127&lt;C21)))</f>
        <v>1</v>
      </c>
      <c r="B21" s="72" t="s">
        <v>120</v>
      </c>
      <c r="C21" s="70">
        <f t="shared" si="0"/>
        <v>0</v>
      </c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</row>
    <row r="22" spans="1:34" x14ac:dyDescent="0.2">
      <c r="A22" s="69" cm="1">
        <f t="array" ref="A22">1+COUNT(_xlfn.UNIQUE(_xlfn._xlws.FILTER($C$4:$C$127,$C$4:$C$127&lt;C22)))</f>
        <v>1</v>
      </c>
      <c r="B22" s="72" t="s">
        <v>81</v>
      </c>
      <c r="C22" s="70">
        <f t="shared" si="0"/>
        <v>0</v>
      </c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</row>
    <row r="23" spans="1:34" x14ac:dyDescent="0.2">
      <c r="A23" s="69" cm="1">
        <f t="array" ref="A23">1+COUNT(_xlfn.UNIQUE(_xlfn._xlws.FILTER($C$4:$C$127,$C$4:$C$127&lt;C23)))</f>
        <v>1</v>
      </c>
      <c r="B23" s="72" t="s">
        <v>17</v>
      </c>
      <c r="C23" s="70">
        <f t="shared" si="0"/>
        <v>0</v>
      </c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</row>
    <row r="24" spans="1:34" x14ac:dyDescent="0.2">
      <c r="A24" s="69" cm="1">
        <f t="array" ref="A24">1+COUNT(_xlfn.UNIQUE(_xlfn._xlws.FILTER($C$4:$C$127,$C$4:$C$127&lt;C24)))</f>
        <v>1</v>
      </c>
      <c r="B24" s="72" t="s">
        <v>2</v>
      </c>
      <c r="C24" s="70">
        <f t="shared" si="0"/>
        <v>0</v>
      </c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</row>
    <row r="25" spans="1:34" x14ac:dyDescent="0.2">
      <c r="A25" s="69" cm="1">
        <f t="array" ref="A25">1+COUNT(_xlfn.UNIQUE(_xlfn._xlws.FILTER($C$4:$C$127,$C$4:$C$127&lt;C25)))</f>
        <v>1</v>
      </c>
      <c r="B25" s="72" t="s">
        <v>15</v>
      </c>
      <c r="C25" s="70">
        <f t="shared" si="0"/>
        <v>0</v>
      </c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</row>
    <row r="26" spans="1:34" x14ac:dyDescent="0.2">
      <c r="A26" s="69" cm="1">
        <f t="array" ref="A26">1+COUNT(_xlfn.UNIQUE(_xlfn._xlws.FILTER($C$4:$C$127,$C$4:$C$127&lt;C26)))</f>
        <v>1</v>
      </c>
      <c r="B26" s="72" t="s">
        <v>57</v>
      </c>
      <c r="C26" s="70">
        <f t="shared" si="0"/>
        <v>0</v>
      </c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</row>
    <row r="27" spans="1:34" x14ac:dyDescent="0.2">
      <c r="A27" s="69" cm="1">
        <f t="array" ref="A27">1+COUNT(_xlfn.UNIQUE(_xlfn._xlws.FILTER($C$4:$C$127,$C$4:$C$127&lt;C27)))</f>
        <v>1</v>
      </c>
      <c r="B27" s="72" t="s">
        <v>87</v>
      </c>
      <c r="C27" s="70">
        <f t="shared" si="0"/>
        <v>0</v>
      </c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</row>
    <row r="28" spans="1:34" x14ac:dyDescent="0.2">
      <c r="A28" s="69" cm="1">
        <f t="array" ref="A28">1+COUNT(_xlfn.UNIQUE(_xlfn._xlws.FILTER($C$4:$C$127,$C$4:$C$127&lt;C28)))</f>
        <v>1</v>
      </c>
      <c r="B28" s="72" t="s">
        <v>27</v>
      </c>
      <c r="C28" s="70">
        <f t="shared" si="0"/>
        <v>0</v>
      </c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</row>
    <row r="29" spans="1:34" x14ac:dyDescent="0.2">
      <c r="A29" s="69" cm="1">
        <f t="array" ref="A29">1+COUNT(_xlfn.UNIQUE(_xlfn._xlws.FILTER($C$4:$C$127,$C$4:$C$127&lt;C29)))</f>
        <v>1</v>
      </c>
      <c r="B29" s="72" t="s">
        <v>22</v>
      </c>
      <c r="C29" s="70">
        <f t="shared" si="0"/>
        <v>0</v>
      </c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</row>
    <row r="30" spans="1:34" x14ac:dyDescent="0.2">
      <c r="A30" s="69" cm="1">
        <f t="array" ref="A30">1+COUNT(_xlfn.UNIQUE(_xlfn._xlws.FILTER($C$4:$C$127,$C$4:$C$127&lt;C30)))</f>
        <v>1</v>
      </c>
      <c r="B30" s="72" t="s">
        <v>4</v>
      </c>
      <c r="C30" s="70">
        <f t="shared" si="0"/>
        <v>0</v>
      </c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</row>
    <row r="31" spans="1:34" x14ac:dyDescent="0.2">
      <c r="A31" s="69" cm="1">
        <f t="array" ref="A31">1+COUNT(_xlfn.UNIQUE(_xlfn._xlws.FILTER($C$4:$C$127,$C$4:$C$127&lt;C31)))</f>
        <v>1</v>
      </c>
      <c r="B31" s="72" t="s">
        <v>58</v>
      </c>
      <c r="C31" s="70">
        <f t="shared" si="0"/>
        <v>0</v>
      </c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</row>
    <row r="32" spans="1:34" x14ac:dyDescent="0.2">
      <c r="A32" s="69" cm="1">
        <f t="array" ref="A32">1+COUNT(_xlfn.UNIQUE(_xlfn._xlws.FILTER($C$4:$C$127,$C$4:$C$127&lt;C32)))</f>
        <v>1</v>
      </c>
      <c r="B32" s="72" t="s">
        <v>96</v>
      </c>
      <c r="C32" s="70">
        <f t="shared" si="0"/>
        <v>0</v>
      </c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</row>
    <row r="33" spans="1:34" x14ac:dyDescent="0.2">
      <c r="A33" s="69" cm="1">
        <f t="array" ref="A33">1+COUNT(_xlfn.UNIQUE(_xlfn._xlws.FILTER($C$4:$C$127,$C$4:$C$127&lt;C33)))</f>
        <v>1</v>
      </c>
      <c r="B33" s="72" t="s">
        <v>30</v>
      </c>
      <c r="C33" s="70">
        <f t="shared" si="0"/>
        <v>0</v>
      </c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</row>
    <row r="34" spans="1:34" x14ac:dyDescent="0.2">
      <c r="A34" s="69" cm="1">
        <f t="array" ref="A34">1+COUNT(_xlfn.UNIQUE(_xlfn._xlws.FILTER($C$4:$C$127,$C$4:$C$127&lt;C34)))</f>
        <v>1</v>
      </c>
      <c r="B34" s="72" t="s">
        <v>107</v>
      </c>
      <c r="C34" s="70">
        <f t="shared" si="0"/>
        <v>0</v>
      </c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</row>
    <row r="35" spans="1:34" x14ac:dyDescent="0.2">
      <c r="A35" s="69" cm="1">
        <f t="array" ref="A35">1+COUNT(_xlfn.UNIQUE(_xlfn._xlws.FILTER($C$4:$C$127,$C$4:$C$127&lt;C35)))</f>
        <v>1</v>
      </c>
      <c r="B35" s="72" t="s">
        <v>105</v>
      </c>
      <c r="C35" s="70">
        <f t="shared" si="0"/>
        <v>0</v>
      </c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</row>
    <row r="36" spans="1:34" x14ac:dyDescent="0.2">
      <c r="A36" s="69" cm="1">
        <f t="array" ref="A36">1+COUNT(_xlfn.UNIQUE(_xlfn._xlws.FILTER($C$4:$C$127,$C$4:$C$127&lt;C36)))</f>
        <v>1</v>
      </c>
      <c r="B36" s="72" t="s">
        <v>43</v>
      </c>
      <c r="C36" s="70">
        <f t="shared" si="0"/>
        <v>0</v>
      </c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</row>
    <row r="37" spans="1:34" x14ac:dyDescent="0.2">
      <c r="A37" s="69" cm="1">
        <f t="array" ref="A37">1+COUNT(_xlfn.UNIQUE(_xlfn._xlws.FILTER($C$4:$C$127,$C$4:$C$127&lt;C37)))</f>
        <v>1</v>
      </c>
      <c r="B37" s="72" t="s">
        <v>67</v>
      </c>
      <c r="C37" s="70">
        <f t="shared" si="0"/>
        <v>0</v>
      </c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</row>
    <row r="38" spans="1:34" x14ac:dyDescent="0.2">
      <c r="A38" s="69" cm="1">
        <f t="array" ref="A38">1+COUNT(_xlfn.UNIQUE(_xlfn._xlws.FILTER($C$4:$C$127,$C$4:$C$127&lt;C38)))</f>
        <v>1</v>
      </c>
      <c r="B38" s="72" t="s">
        <v>109</v>
      </c>
      <c r="C38" s="70">
        <f t="shared" si="0"/>
        <v>0</v>
      </c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</row>
    <row r="39" spans="1:34" x14ac:dyDescent="0.2">
      <c r="A39" s="69" cm="1">
        <f t="array" ref="A39">1+COUNT(_xlfn.UNIQUE(_xlfn._xlws.FILTER($C$4:$C$127,$C$4:$C$127&lt;C39)))</f>
        <v>1</v>
      </c>
      <c r="B39" s="72" t="s">
        <v>54</v>
      </c>
      <c r="C39" s="70">
        <f t="shared" si="0"/>
        <v>0</v>
      </c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</row>
    <row r="40" spans="1:34" x14ac:dyDescent="0.2">
      <c r="A40" s="69" cm="1">
        <f t="array" ref="A40">1+COUNT(_xlfn.UNIQUE(_xlfn._xlws.FILTER($C$4:$C$127,$C$4:$C$127&lt;C40)))</f>
        <v>1</v>
      </c>
      <c r="B40" s="72" t="s">
        <v>74</v>
      </c>
      <c r="C40" s="70">
        <f t="shared" si="0"/>
        <v>0</v>
      </c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</row>
    <row r="41" spans="1:34" x14ac:dyDescent="0.2">
      <c r="A41" s="69" cm="1">
        <f t="array" ref="A41">1+COUNT(_xlfn.UNIQUE(_xlfn._xlws.FILTER($C$4:$C$127,$C$4:$C$127&lt;C41)))</f>
        <v>1</v>
      </c>
      <c r="B41" s="72" t="s">
        <v>8</v>
      </c>
      <c r="C41" s="70">
        <f t="shared" si="0"/>
        <v>0</v>
      </c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</row>
    <row r="42" spans="1:34" x14ac:dyDescent="0.2">
      <c r="A42" s="69" cm="1">
        <f t="array" ref="A42">1+COUNT(_xlfn.UNIQUE(_xlfn._xlws.FILTER($C$4:$C$127,$C$4:$C$127&lt;C42)))</f>
        <v>1</v>
      </c>
      <c r="B42" s="72" t="s">
        <v>34</v>
      </c>
      <c r="C42" s="70">
        <f t="shared" si="0"/>
        <v>0</v>
      </c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</row>
    <row r="43" spans="1:34" x14ac:dyDescent="0.2">
      <c r="A43" s="69" cm="1">
        <f t="array" ref="A43">1+COUNT(_xlfn.UNIQUE(_xlfn._xlws.FILTER($C$4:$C$127,$C$4:$C$127&lt;C43)))</f>
        <v>1</v>
      </c>
      <c r="B43" s="72" t="s">
        <v>20</v>
      </c>
      <c r="C43" s="70">
        <f t="shared" si="0"/>
        <v>0</v>
      </c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</row>
    <row r="44" spans="1:34" x14ac:dyDescent="0.2">
      <c r="A44" s="69" cm="1">
        <f t="array" ref="A44">1+COUNT(_xlfn.UNIQUE(_xlfn._xlws.FILTER($C$4:$C$127,$C$4:$C$127&lt;C44)))</f>
        <v>1</v>
      </c>
      <c r="B44" s="72" t="s">
        <v>18</v>
      </c>
      <c r="C44" s="70">
        <f t="shared" si="0"/>
        <v>0</v>
      </c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</row>
    <row r="45" spans="1:34" x14ac:dyDescent="0.2">
      <c r="A45" s="69" cm="1">
        <f t="array" ref="A45">1+COUNT(_xlfn.UNIQUE(_xlfn._xlws.FILTER($C$4:$C$127,$C$4:$C$127&lt;C45)))</f>
        <v>1</v>
      </c>
      <c r="B45" s="72" t="s">
        <v>99</v>
      </c>
      <c r="C45" s="70">
        <f t="shared" si="0"/>
        <v>0</v>
      </c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</row>
    <row r="46" spans="1:34" x14ac:dyDescent="0.2">
      <c r="A46" s="69" cm="1">
        <f t="array" ref="A46">1+COUNT(_xlfn.UNIQUE(_xlfn._xlws.FILTER($C$4:$C$127,$C$4:$C$127&lt;C46)))</f>
        <v>1</v>
      </c>
      <c r="B46" s="72" t="s">
        <v>24</v>
      </c>
      <c r="C46" s="70">
        <f t="shared" si="0"/>
        <v>0</v>
      </c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</row>
    <row r="47" spans="1:34" x14ac:dyDescent="0.2">
      <c r="A47" s="69" cm="1">
        <f t="array" ref="A47">1+COUNT(_xlfn.UNIQUE(_xlfn._xlws.FILTER($C$4:$C$127,$C$4:$C$127&lt;C47)))</f>
        <v>1</v>
      </c>
      <c r="B47" s="72" t="s">
        <v>37</v>
      </c>
      <c r="C47" s="70">
        <f t="shared" si="0"/>
        <v>0</v>
      </c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</row>
    <row r="48" spans="1:34" x14ac:dyDescent="0.2">
      <c r="A48" s="69" cm="1">
        <f t="array" ref="A48">1+COUNT(_xlfn.UNIQUE(_xlfn._xlws.FILTER($C$4:$C$127,$C$4:$C$127&lt;C48)))</f>
        <v>1</v>
      </c>
      <c r="B48" s="72" t="s">
        <v>50</v>
      </c>
      <c r="C48" s="70">
        <f t="shared" si="0"/>
        <v>0</v>
      </c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</row>
    <row r="49" spans="1:34" x14ac:dyDescent="0.2">
      <c r="A49" s="69" cm="1">
        <f t="array" ref="A49">1+COUNT(_xlfn.UNIQUE(_xlfn._xlws.FILTER($C$4:$C$127,$C$4:$C$127&lt;C49)))</f>
        <v>1</v>
      </c>
      <c r="B49" s="72" t="s">
        <v>94</v>
      </c>
      <c r="C49" s="70">
        <f t="shared" si="0"/>
        <v>0</v>
      </c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</row>
    <row r="50" spans="1:34" x14ac:dyDescent="0.2">
      <c r="A50" s="69" cm="1">
        <f t="array" ref="A50">1+COUNT(_xlfn.UNIQUE(_xlfn._xlws.FILTER($C$4:$C$127,$C$4:$C$127&lt;C50)))</f>
        <v>1</v>
      </c>
      <c r="B50" s="72" t="s">
        <v>40</v>
      </c>
      <c r="C50" s="70">
        <f t="shared" si="0"/>
        <v>0</v>
      </c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</row>
    <row r="51" spans="1:34" x14ac:dyDescent="0.2">
      <c r="A51" s="69" cm="1">
        <f t="array" ref="A51">1+COUNT(_xlfn.UNIQUE(_xlfn._xlws.FILTER($C$4:$C$127,$C$4:$C$127&lt;C51)))</f>
        <v>1</v>
      </c>
      <c r="B51" s="72" t="s">
        <v>111</v>
      </c>
      <c r="C51" s="70">
        <f t="shared" si="0"/>
        <v>0</v>
      </c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</row>
    <row r="52" spans="1:34" x14ac:dyDescent="0.2">
      <c r="A52" s="69" cm="1">
        <f t="array" ref="A52">1+COUNT(_xlfn.UNIQUE(_xlfn._xlws.FILTER($C$4:$C$127,$C$4:$C$127&lt;C52)))</f>
        <v>1</v>
      </c>
      <c r="B52" s="72" t="s">
        <v>77</v>
      </c>
      <c r="C52" s="70">
        <f t="shared" si="0"/>
        <v>0</v>
      </c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</row>
    <row r="53" spans="1:34" x14ac:dyDescent="0.2">
      <c r="A53" s="69" cm="1">
        <f t="array" ref="A53">1+COUNT(_xlfn.UNIQUE(_xlfn._xlws.FILTER($C$4:$C$127,$C$4:$C$127&lt;C53)))</f>
        <v>1</v>
      </c>
      <c r="B53" s="72" t="s">
        <v>46</v>
      </c>
      <c r="C53" s="70">
        <f t="shared" si="0"/>
        <v>0</v>
      </c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</row>
    <row r="54" spans="1:34" x14ac:dyDescent="0.2">
      <c r="A54" s="69" cm="1">
        <f t="array" ref="A54">1+COUNT(_xlfn.UNIQUE(_xlfn._xlws.FILTER($C$4:$C$127,$C$4:$C$127&lt;C54)))</f>
        <v>1</v>
      </c>
      <c r="B54" s="72" t="s">
        <v>64</v>
      </c>
      <c r="C54" s="70">
        <f t="shared" si="0"/>
        <v>0</v>
      </c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</row>
    <row r="55" spans="1:34" x14ac:dyDescent="0.2">
      <c r="A55" s="69" cm="1">
        <f t="array" ref="A55">1+COUNT(_xlfn.UNIQUE(_xlfn._xlws.FILTER($C$4:$C$127,$C$4:$C$127&lt;C55)))</f>
        <v>1</v>
      </c>
      <c r="B55" s="72" t="s">
        <v>110</v>
      </c>
      <c r="C55" s="70">
        <f t="shared" si="0"/>
        <v>0</v>
      </c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</row>
    <row r="56" spans="1:34" x14ac:dyDescent="0.2">
      <c r="A56" s="69" cm="1">
        <f t="array" ref="A56">1+COUNT(_xlfn.UNIQUE(_xlfn._xlws.FILTER($C$4:$C$127,$C$4:$C$127&lt;C56)))</f>
        <v>1</v>
      </c>
      <c r="B56" s="72" t="s">
        <v>92</v>
      </c>
      <c r="C56" s="70">
        <f t="shared" si="0"/>
        <v>0</v>
      </c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</row>
    <row r="57" spans="1:34" x14ac:dyDescent="0.2">
      <c r="A57" s="69" cm="1">
        <f t="array" ref="A57">1+COUNT(_xlfn.UNIQUE(_xlfn._xlws.FILTER($C$4:$C$127,$C$4:$C$127&lt;C57)))</f>
        <v>1</v>
      </c>
      <c r="B57" s="72" t="s">
        <v>70</v>
      </c>
      <c r="C57" s="70">
        <f t="shared" si="0"/>
        <v>0</v>
      </c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</row>
    <row r="58" spans="1:34" x14ac:dyDescent="0.2">
      <c r="A58" s="69" cm="1">
        <f t="array" ref="A58">1+COUNT(_xlfn.UNIQUE(_xlfn._xlws.FILTER($C$4:$C$127,$C$4:$C$127&lt;C58)))</f>
        <v>1</v>
      </c>
      <c r="B58" s="72" t="s">
        <v>116</v>
      </c>
      <c r="C58" s="70">
        <f t="shared" si="0"/>
        <v>0</v>
      </c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</row>
    <row r="59" spans="1:34" x14ac:dyDescent="0.2">
      <c r="A59" s="69" cm="1">
        <f t="array" ref="A59">1+COUNT(_xlfn.UNIQUE(_xlfn._xlws.FILTER($C$4:$C$127,$C$4:$C$127&lt;C59)))</f>
        <v>1</v>
      </c>
      <c r="B59" s="72" t="s">
        <v>36</v>
      </c>
      <c r="C59" s="70">
        <f t="shared" si="0"/>
        <v>0</v>
      </c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</row>
    <row r="60" spans="1:34" x14ac:dyDescent="0.2">
      <c r="A60" s="69" cm="1">
        <f t="array" ref="A60">1+COUNT(_xlfn.UNIQUE(_xlfn._xlws.FILTER($C$4:$C$127,$C$4:$C$127&lt;C60)))</f>
        <v>1</v>
      </c>
      <c r="B60" s="72" t="s">
        <v>78</v>
      </c>
      <c r="C60" s="70">
        <f t="shared" si="0"/>
        <v>0</v>
      </c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</row>
    <row r="61" spans="1:34" x14ac:dyDescent="0.2">
      <c r="A61" s="69" cm="1">
        <f t="array" ref="A61">1+COUNT(_xlfn.UNIQUE(_xlfn._xlws.FILTER($C$4:$C$127,$C$4:$C$127&lt;C61)))</f>
        <v>1</v>
      </c>
      <c r="B61" s="72" t="s">
        <v>119</v>
      </c>
      <c r="C61" s="70">
        <f t="shared" si="0"/>
        <v>0</v>
      </c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</row>
    <row r="62" spans="1:34" x14ac:dyDescent="0.2">
      <c r="A62" s="69" cm="1">
        <f t="array" ref="A62">1+COUNT(_xlfn.UNIQUE(_xlfn._xlws.FILTER($C$4:$C$127,$C$4:$C$127&lt;C62)))</f>
        <v>1</v>
      </c>
      <c r="B62" s="72" t="s">
        <v>0</v>
      </c>
      <c r="C62" s="70">
        <f t="shared" si="0"/>
        <v>0</v>
      </c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</row>
    <row r="63" spans="1:34" x14ac:dyDescent="0.2">
      <c r="A63" s="69" cm="1">
        <f t="array" ref="A63">1+COUNT(_xlfn.UNIQUE(_xlfn._xlws.FILTER($C$4:$C$127,$C$4:$C$127&lt;C63)))</f>
        <v>1</v>
      </c>
      <c r="B63" s="72" t="s">
        <v>21</v>
      </c>
      <c r="C63" s="70">
        <f t="shared" si="0"/>
        <v>0</v>
      </c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</row>
    <row r="64" spans="1:34" x14ac:dyDescent="0.2">
      <c r="A64" s="69" cm="1">
        <f t="array" ref="A64">1+COUNT(_xlfn.UNIQUE(_xlfn._xlws.FILTER($C$4:$C$127,$C$4:$C$127&lt;C64)))</f>
        <v>1</v>
      </c>
      <c r="B64" s="72" t="s">
        <v>102</v>
      </c>
      <c r="C64" s="70">
        <f t="shared" si="0"/>
        <v>0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</row>
    <row r="65" spans="1:34" x14ac:dyDescent="0.2">
      <c r="A65" s="69" cm="1">
        <f t="array" ref="A65">1+COUNT(_xlfn.UNIQUE(_xlfn._xlws.FILTER($C$4:$C$127,$C$4:$C$127&lt;C65)))</f>
        <v>1</v>
      </c>
      <c r="B65" s="72" t="s">
        <v>38</v>
      </c>
      <c r="C65" s="70">
        <f t="shared" si="0"/>
        <v>0</v>
      </c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</row>
    <row r="66" spans="1:34" x14ac:dyDescent="0.2">
      <c r="A66" s="69" cm="1">
        <f t="array" ref="A66">1+COUNT(_xlfn.UNIQUE(_xlfn._xlws.FILTER($C$4:$C$127,$C$4:$C$127&lt;C66)))</f>
        <v>1</v>
      </c>
      <c r="B66" s="72" t="s">
        <v>93</v>
      </c>
      <c r="C66" s="70">
        <f t="shared" si="0"/>
        <v>0</v>
      </c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</row>
    <row r="67" spans="1:34" x14ac:dyDescent="0.2">
      <c r="A67" s="69" cm="1">
        <f t="array" ref="A67">1+COUNT(_xlfn.UNIQUE(_xlfn._xlws.FILTER($C$4:$C$127,$C$4:$C$127&lt;C67)))</f>
        <v>1</v>
      </c>
      <c r="B67" s="72" t="s">
        <v>65</v>
      </c>
      <c r="C67" s="70">
        <f t="shared" si="0"/>
        <v>0</v>
      </c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</row>
    <row r="68" spans="1:34" x14ac:dyDescent="0.2">
      <c r="A68" s="69" cm="1">
        <f t="array" ref="A68">1+COUNT(_xlfn.UNIQUE(_xlfn._xlws.FILTER($C$4:$C$127,$C$4:$C$127&lt;C68)))</f>
        <v>1</v>
      </c>
      <c r="B68" s="72" t="s">
        <v>35</v>
      </c>
      <c r="C68" s="70">
        <f t="shared" ref="C68:C127" si="1">SUM(D68:AH68)</f>
        <v>0</v>
      </c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</row>
    <row r="69" spans="1:34" x14ac:dyDescent="0.2">
      <c r="A69" s="69" cm="1">
        <f t="array" ref="A69">1+COUNT(_xlfn.UNIQUE(_xlfn._xlws.FILTER($C$4:$C$127,$C$4:$C$127&lt;C69)))</f>
        <v>1</v>
      </c>
      <c r="B69" s="72" t="s">
        <v>39</v>
      </c>
      <c r="C69" s="70">
        <f t="shared" si="1"/>
        <v>0</v>
      </c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</row>
    <row r="70" spans="1:34" x14ac:dyDescent="0.2">
      <c r="A70" s="69" cm="1">
        <f t="array" ref="A70">1+COUNT(_xlfn.UNIQUE(_xlfn._xlws.FILTER($C$4:$C$127,$C$4:$C$127&lt;C70)))</f>
        <v>1</v>
      </c>
      <c r="B70" s="72" t="s">
        <v>49</v>
      </c>
      <c r="C70" s="70">
        <f t="shared" si="1"/>
        <v>0</v>
      </c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</row>
    <row r="71" spans="1:34" x14ac:dyDescent="0.2">
      <c r="A71" s="69" cm="1">
        <f t="array" ref="A71">1+COUNT(_xlfn.UNIQUE(_xlfn._xlws.FILTER($C$4:$C$127,$C$4:$C$127&lt;C71)))</f>
        <v>1</v>
      </c>
      <c r="B71" s="72" t="s">
        <v>71</v>
      </c>
      <c r="C71" s="70">
        <f t="shared" si="1"/>
        <v>0</v>
      </c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</row>
    <row r="72" spans="1:34" x14ac:dyDescent="0.2">
      <c r="A72" s="69" cm="1">
        <f t="array" ref="A72">1+COUNT(_xlfn.UNIQUE(_xlfn._xlws.FILTER($C$4:$C$127,$C$4:$C$127&lt;C72)))</f>
        <v>1</v>
      </c>
      <c r="B72" s="72" t="s">
        <v>3</v>
      </c>
      <c r="C72" s="70">
        <f t="shared" si="1"/>
        <v>0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</row>
    <row r="73" spans="1:34" x14ac:dyDescent="0.2">
      <c r="A73" s="69" cm="1">
        <f t="array" ref="A73">1+COUNT(_xlfn.UNIQUE(_xlfn._xlws.FILTER($C$4:$C$127,$C$4:$C$127&lt;C73)))</f>
        <v>1</v>
      </c>
      <c r="B73" s="72" t="s">
        <v>56</v>
      </c>
      <c r="C73" s="70">
        <f t="shared" si="1"/>
        <v>0</v>
      </c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</row>
    <row r="74" spans="1:34" x14ac:dyDescent="0.2">
      <c r="A74" s="69" cm="1">
        <f t="array" ref="A74">1+COUNT(_xlfn.UNIQUE(_xlfn._xlws.FILTER($C$4:$C$127,$C$4:$C$127&lt;C74)))</f>
        <v>1</v>
      </c>
      <c r="B74" s="72" t="s">
        <v>26</v>
      </c>
      <c r="C74" s="70">
        <f t="shared" si="1"/>
        <v>0</v>
      </c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</row>
    <row r="75" spans="1:34" x14ac:dyDescent="0.2">
      <c r="A75" s="69" cm="1">
        <f t="array" ref="A75">1+COUNT(_xlfn.UNIQUE(_xlfn._xlws.FILTER($C$4:$C$127,$C$4:$C$127&lt;C75)))</f>
        <v>1</v>
      </c>
      <c r="B75" s="72" t="s">
        <v>33</v>
      </c>
      <c r="C75" s="70">
        <f t="shared" si="1"/>
        <v>0</v>
      </c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</row>
    <row r="76" spans="1:34" x14ac:dyDescent="0.2">
      <c r="A76" s="69" cm="1">
        <f t="array" ref="A76">1+COUNT(_xlfn.UNIQUE(_xlfn._xlws.FILTER($C$4:$C$127,$C$4:$C$127&lt;C76)))</f>
        <v>1</v>
      </c>
      <c r="B76" s="72" t="s">
        <v>89</v>
      </c>
      <c r="C76" s="70">
        <f t="shared" si="1"/>
        <v>0</v>
      </c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</row>
    <row r="77" spans="1:34" x14ac:dyDescent="0.2">
      <c r="A77" s="69" cm="1">
        <f t="array" ref="A77">1+COUNT(_xlfn.UNIQUE(_xlfn._xlws.FILTER($C$4:$C$127,$C$4:$C$127&lt;C77)))</f>
        <v>1</v>
      </c>
      <c r="B77" s="72" t="s">
        <v>112</v>
      </c>
      <c r="C77" s="70">
        <f t="shared" si="1"/>
        <v>0</v>
      </c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</row>
    <row r="78" spans="1:34" x14ac:dyDescent="0.2">
      <c r="A78" s="69" cm="1">
        <f t="array" ref="A78">1+COUNT(_xlfn.UNIQUE(_xlfn._xlws.FILTER($C$4:$C$127,$C$4:$C$127&lt;C78)))</f>
        <v>1</v>
      </c>
      <c r="B78" s="72" t="s">
        <v>123</v>
      </c>
      <c r="C78" s="70">
        <f t="shared" si="1"/>
        <v>0</v>
      </c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</row>
    <row r="79" spans="1:34" x14ac:dyDescent="0.2">
      <c r="A79" s="69" cm="1">
        <f t="array" ref="A79">1+COUNT(_xlfn.UNIQUE(_xlfn._xlws.FILTER($C$4:$C$127,$C$4:$C$127&lt;C79)))</f>
        <v>1</v>
      </c>
      <c r="B79" s="72" t="s">
        <v>79</v>
      </c>
      <c r="C79" s="70">
        <f t="shared" si="1"/>
        <v>0</v>
      </c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</row>
    <row r="80" spans="1:34" x14ac:dyDescent="0.2">
      <c r="A80" s="69" cm="1">
        <f t="array" ref="A80">1+COUNT(_xlfn.UNIQUE(_xlfn._xlws.FILTER($C$4:$C$127,$C$4:$C$127&lt;C80)))</f>
        <v>1</v>
      </c>
      <c r="B80" s="72" t="s">
        <v>104</v>
      </c>
      <c r="C80" s="70">
        <f t="shared" si="1"/>
        <v>0</v>
      </c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</row>
    <row r="81" spans="1:34" x14ac:dyDescent="0.2">
      <c r="A81" s="69" cm="1">
        <f t="array" ref="A81">1+COUNT(_xlfn.UNIQUE(_xlfn._xlws.FILTER($C$4:$C$127,$C$4:$C$127&lt;C81)))</f>
        <v>1</v>
      </c>
      <c r="B81" s="72" t="s">
        <v>106</v>
      </c>
      <c r="C81" s="70">
        <f t="shared" si="1"/>
        <v>0</v>
      </c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</row>
    <row r="82" spans="1:34" x14ac:dyDescent="0.2">
      <c r="A82" s="69" cm="1">
        <f t="array" ref="A82">1+COUNT(_xlfn.UNIQUE(_xlfn._xlws.FILTER($C$4:$C$127,$C$4:$C$127&lt;C82)))</f>
        <v>1</v>
      </c>
      <c r="B82" s="72" t="s">
        <v>7</v>
      </c>
      <c r="C82" s="70">
        <f t="shared" si="1"/>
        <v>0</v>
      </c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</row>
    <row r="83" spans="1:34" x14ac:dyDescent="0.2">
      <c r="A83" s="69" cm="1">
        <f t="array" ref="A83">1+COUNT(_xlfn.UNIQUE(_xlfn._xlws.FILTER($C$4:$C$127,$C$4:$C$127&lt;C83)))</f>
        <v>1</v>
      </c>
      <c r="B83" s="72" t="s">
        <v>95</v>
      </c>
      <c r="C83" s="70">
        <f t="shared" si="1"/>
        <v>0</v>
      </c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</row>
    <row r="84" spans="1:34" x14ac:dyDescent="0.2">
      <c r="A84" s="69" cm="1">
        <f t="array" ref="A84">1+COUNT(_xlfn.UNIQUE(_xlfn._xlws.FILTER($C$4:$C$127,$C$4:$C$127&lt;C84)))</f>
        <v>1</v>
      </c>
      <c r="B84" s="72" t="s">
        <v>80</v>
      </c>
      <c r="C84" s="70">
        <f t="shared" si="1"/>
        <v>0</v>
      </c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</row>
    <row r="85" spans="1:34" x14ac:dyDescent="0.2">
      <c r="A85" s="69" cm="1">
        <f t="array" ref="A85">1+COUNT(_xlfn.UNIQUE(_xlfn._xlws.FILTER($C$4:$C$127,$C$4:$C$127&lt;C85)))</f>
        <v>1</v>
      </c>
      <c r="B85" s="72" t="s">
        <v>82</v>
      </c>
      <c r="C85" s="70">
        <f t="shared" si="1"/>
        <v>0</v>
      </c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</row>
    <row r="86" spans="1:34" x14ac:dyDescent="0.2">
      <c r="A86" s="69" cm="1">
        <f t="array" ref="A86">1+COUNT(_xlfn.UNIQUE(_xlfn._xlws.FILTER($C$4:$C$127,$C$4:$C$127&lt;C86)))</f>
        <v>1</v>
      </c>
      <c r="B86" s="72" t="s">
        <v>47</v>
      </c>
      <c r="C86" s="70">
        <f t="shared" si="1"/>
        <v>0</v>
      </c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</row>
    <row r="87" spans="1:34" x14ac:dyDescent="0.2">
      <c r="A87" s="69" cm="1">
        <f t="array" ref="A87">1+COUNT(_xlfn.UNIQUE(_xlfn._xlws.FILTER($C$4:$C$127,$C$4:$C$127&lt;C87)))</f>
        <v>1</v>
      </c>
      <c r="B87" s="72" t="s">
        <v>28</v>
      </c>
      <c r="C87" s="70">
        <f t="shared" si="1"/>
        <v>0</v>
      </c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</row>
    <row r="88" spans="1:34" x14ac:dyDescent="0.2">
      <c r="A88" s="69" cm="1">
        <f t="array" ref="A88">1+COUNT(_xlfn.UNIQUE(_xlfn._xlws.FILTER($C$4:$C$127,$C$4:$C$127&lt;C88)))</f>
        <v>1</v>
      </c>
      <c r="B88" s="72" t="s">
        <v>97</v>
      </c>
      <c r="C88" s="70">
        <f t="shared" si="1"/>
        <v>0</v>
      </c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</row>
    <row r="89" spans="1:34" x14ac:dyDescent="0.2">
      <c r="A89" s="69" cm="1">
        <f t="array" ref="A89">1+COUNT(_xlfn.UNIQUE(_xlfn._xlws.FILTER($C$4:$C$127,$C$4:$C$127&lt;C89)))</f>
        <v>1</v>
      </c>
      <c r="B89" s="72" t="s">
        <v>76</v>
      </c>
      <c r="C89" s="70">
        <f t="shared" si="1"/>
        <v>0</v>
      </c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</row>
    <row r="90" spans="1:34" x14ac:dyDescent="0.2">
      <c r="A90" s="69" cm="1">
        <f t="array" ref="A90">1+COUNT(_xlfn.UNIQUE(_xlfn._xlws.FILTER($C$4:$C$127,$C$4:$C$127&lt;C90)))</f>
        <v>1</v>
      </c>
      <c r="B90" s="72" t="s">
        <v>73</v>
      </c>
      <c r="C90" s="70">
        <f t="shared" si="1"/>
        <v>0</v>
      </c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</row>
    <row r="91" spans="1:34" x14ac:dyDescent="0.2">
      <c r="A91" s="69" cm="1">
        <f t="array" ref="A91">1+COUNT(_xlfn.UNIQUE(_xlfn._xlws.FILTER($C$4:$C$127,$C$4:$C$127&lt;C91)))</f>
        <v>1</v>
      </c>
      <c r="B91" s="72" t="s">
        <v>23</v>
      </c>
      <c r="C91" s="70">
        <f t="shared" si="1"/>
        <v>0</v>
      </c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</row>
    <row r="92" spans="1:34" x14ac:dyDescent="0.2">
      <c r="A92" s="69" cm="1">
        <f t="array" ref="A92">1+COUNT(_xlfn.UNIQUE(_xlfn._xlws.FILTER($C$4:$C$127,$C$4:$C$127&lt;C92)))</f>
        <v>1</v>
      </c>
      <c r="B92" s="72" t="s">
        <v>60</v>
      </c>
      <c r="C92" s="70">
        <f t="shared" si="1"/>
        <v>0</v>
      </c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</row>
    <row r="93" spans="1:34" x14ac:dyDescent="0.2">
      <c r="A93" s="69" cm="1">
        <f t="array" ref="A93">1+COUNT(_xlfn.UNIQUE(_xlfn._xlws.FILTER($C$4:$C$127,$C$4:$C$127&lt;C93)))</f>
        <v>1</v>
      </c>
      <c r="B93" s="72" t="s">
        <v>44</v>
      </c>
      <c r="C93" s="70">
        <f t="shared" si="1"/>
        <v>0</v>
      </c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</row>
    <row r="94" spans="1:34" x14ac:dyDescent="0.2">
      <c r="A94" s="69" cm="1">
        <f t="array" ref="A94">1+COUNT(_xlfn.UNIQUE(_xlfn._xlws.FILTER($C$4:$C$127,$C$4:$C$127&lt;C94)))</f>
        <v>1</v>
      </c>
      <c r="B94" s="72" t="s">
        <v>91</v>
      </c>
      <c r="C94" s="70">
        <f t="shared" si="1"/>
        <v>0</v>
      </c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</row>
    <row r="95" spans="1:34" x14ac:dyDescent="0.2">
      <c r="A95" s="69" cm="1">
        <f t="array" ref="A95">1+COUNT(_xlfn.UNIQUE(_xlfn._xlws.FILTER($C$4:$C$127,$C$4:$C$127&lt;C95)))</f>
        <v>1</v>
      </c>
      <c r="B95" s="72" t="s">
        <v>10</v>
      </c>
      <c r="C95" s="70">
        <f t="shared" si="1"/>
        <v>0</v>
      </c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</row>
    <row r="96" spans="1:34" x14ac:dyDescent="0.2">
      <c r="A96" s="69" cm="1">
        <f t="array" ref="A96">1+COUNT(_xlfn.UNIQUE(_xlfn._xlws.FILTER($C$4:$C$127,$C$4:$C$127&lt;C96)))</f>
        <v>1</v>
      </c>
      <c r="B96" s="72" t="s">
        <v>32</v>
      </c>
      <c r="C96" s="70">
        <f t="shared" si="1"/>
        <v>0</v>
      </c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</row>
    <row r="97" spans="1:34" x14ac:dyDescent="0.2">
      <c r="A97" s="69" cm="1">
        <f t="array" ref="A97">1+COUNT(_xlfn.UNIQUE(_xlfn._xlws.FILTER($C$4:$C$127,$C$4:$C$127&lt;C97)))</f>
        <v>1</v>
      </c>
      <c r="B97" s="72" t="s">
        <v>42</v>
      </c>
      <c r="C97" s="70">
        <f t="shared" si="1"/>
        <v>0</v>
      </c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</row>
    <row r="98" spans="1:34" x14ac:dyDescent="0.2">
      <c r="A98" s="69" cm="1">
        <f t="array" ref="A98">1+COUNT(_xlfn.UNIQUE(_xlfn._xlws.FILTER($C$4:$C$127,$C$4:$C$127&lt;C98)))</f>
        <v>1</v>
      </c>
      <c r="B98" s="72" t="s">
        <v>31</v>
      </c>
      <c r="C98" s="70">
        <f t="shared" si="1"/>
        <v>0</v>
      </c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</row>
    <row r="99" spans="1:34" x14ac:dyDescent="0.2">
      <c r="A99" s="69" cm="1">
        <f t="array" ref="A99">1+COUNT(_xlfn.UNIQUE(_xlfn._xlws.FILTER($C$4:$C$127,$C$4:$C$127&lt;C99)))</f>
        <v>1</v>
      </c>
      <c r="B99" s="72" t="s">
        <v>16</v>
      </c>
      <c r="C99" s="70">
        <f t="shared" si="1"/>
        <v>0</v>
      </c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</row>
    <row r="100" spans="1:34" x14ac:dyDescent="0.2">
      <c r="A100" s="69" cm="1">
        <f t="array" ref="A100">1+COUNT(_xlfn.UNIQUE(_xlfn._xlws.FILTER($C$4:$C$127,$C$4:$C$127&lt;C100)))</f>
        <v>1</v>
      </c>
      <c r="B100" s="72" t="s">
        <v>72</v>
      </c>
      <c r="C100" s="70">
        <f t="shared" si="1"/>
        <v>0</v>
      </c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</row>
    <row r="101" spans="1:34" x14ac:dyDescent="0.2">
      <c r="A101" s="69" cm="1">
        <f t="array" ref="A101">1+COUNT(_xlfn.UNIQUE(_xlfn._xlws.FILTER($C$4:$C$127,$C$4:$C$127&lt;C101)))</f>
        <v>1</v>
      </c>
      <c r="B101" s="72" t="s">
        <v>52</v>
      </c>
      <c r="C101" s="70">
        <f t="shared" si="1"/>
        <v>0</v>
      </c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</row>
    <row r="102" spans="1:34" x14ac:dyDescent="0.2">
      <c r="A102" s="69" cm="1">
        <f t="array" ref="A102">1+COUNT(_xlfn.UNIQUE(_xlfn._xlws.FILTER($C$4:$C$127,$C$4:$C$127&lt;C102)))</f>
        <v>1</v>
      </c>
      <c r="B102" s="72" t="s">
        <v>9</v>
      </c>
      <c r="C102" s="70">
        <f t="shared" si="1"/>
        <v>0</v>
      </c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</row>
    <row r="103" spans="1:34" x14ac:dyDescent="0.2">
      <c r="A103" s="69" cm="1">
        <f t="array" ref="A103">1+COUNT(_xlfn.UNIQUE(_xlfn._xlws.FILTER($C$4:$C$127,$C$4:$C$127&lt;C103)))</f>
        <v>1</v>
      </c>
      <c r="B103" s="72" t="s">
        <v>117</v>
      </c>
      <c r="C103" s="70">
        <f t="shared" si="1"/>
        <v>0</v>
      </c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</row>
    <row r="104" spans="1:34" x14ac:dyDescent="0.2">
      <c r="A104" s="69" cm="1">
        <f t="array" ref="A104">1+COUNT(_xlfn.UNIQUE(_xlfn._xlws.FILTER($C$4:$C$127,$C$4:$C$127&lt;C104)))</f>
        <v>1</v>
      </c>
      <c r="B104" s="72" t="s">
        <v>45</v>
      </c>
      <c r="C104" s="70">
        <f t="shared" si="1"/>
        <v>0</v>
      </c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</row>
    <row r="105" spans="1:34" x14ac:dyDescent="0.2">
      <c r="A105" s="69" cm="1">
        <f t="array" ref="A105">1+COUNT(_xlfn.UNIQUE(_xlfn._xlws.FILTER($C$4:$C$127,$C$4:$C$127&lt;C105)))</f>
        <v>1</v>
      </c>
      <c r="B105" s="72" t="s">
        <v>51</v>
      </c>
      <c r="C105" s="70">
        <f t="shared" si="1"/>
        <v>0</v>
      </c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</row>
    <row r="106" spans="1:34" x14ac:dyDescent="0.2">
      <c r="A106" s="69" cm="1">
        <f t="array" ref="A106">1+COUNT(_xlfn.UNIQUE(_xlfn._xlws.FILTER($C$4:$C$127,$C$4:$C$127&lt;C106)))</f>
        <v>1</v>
      </c>
      <c r="B106" s="72" t="s">
        <v>86</v>
      </c>
      <c r="C106" s="70">
        <f t="shared" si="1"/>
        <v>0</v>
      </c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</row>
    <row r="107" spans="1:34" x14ac:dyDescent="0.2">
      <c r="A107" s="69" cm="1">
        <f t="array" ref="A107">1+COUNT(_xlfn.UNIQUE(_xlfn._xlws.FILTER($C$4:$C$127,$C$4:$C$127&lt;C107)))</f>
        <v>1</v>
      </c>
      <c r="B107" s="72" t="s">
        <v>100</v>
      </c>
      <c r="C107" s="70">
        <f t="shared" si="1"/>
        <v>0</v>
      </c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</row>
    <row r="108" spans="1:34" x14ac:dyDescent="0.2">
      <c r="A108" s="69" cm="1">
        <f t="array" ref="A108">1+COUNT(_xlfn.UNIQUE(_xlfn._xlws.FILTER($C$4:$C$127,$C$4:$C$127&lt;C108)))</f>
        <v>1</v>
      </c>
      <c r="B108" s="72" t="s">
        <v>103</v>
      </c>
      <c r="C108" s="70">
        <f t="shared" si="1"/>
        <v>0</v>
      </c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</row>
    <row r="109" spans="1:34" x14ac:dyDescent="0.2">
      <c r="A109" s="69" cm="1">
        <f t="array" ref="A109">1+COUNT(_xlfn.UNIQUE(_xlfn._xlws.FILTER($C$4:$C$127,$C$4:$C$127&lt;C109)))</f>
        <v>1</v>
      </c>
      <c r="B109" s="72" t="s">
        <v>115</v>
      </c>
      <c r="C109" s="70">
        <f t="shared" si="1"/>
        <v>0</v>
      </c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</row>
    <row r="110" spans="1:34" x14ac:dyDescent="0.2">
      <c r="A110" s="69" cm="1">
        <f t="array" ref="A110">1+COUNT(_xlfn.UNIQUE(_xlfn._xlws.FILTER($C$4:$C$127,$C$4:$C$127&lt;C110)))</f>
        <v>1</v>
      </c>
      <c r="B110" s="72" t="s">
        <v>14</v>
      </c>
      <c r="C110" s="70">
        <f t="shared" si="1"/>
        <v>0</v>
      </c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</row>
    <row r="111" spans="1:34" x14ac:dyDescent="0.2">
      <c r="A111" s="69" cm="1">
        <f t="array" ref="A111">1+COUNT(_xlfn.UNIQUE(_xlfn._xlws.FILTER($C$4:$C$127,$C$4:$C$127&lt;C111)))</f>
        <v>1</v>
      </c>
      <c r="B111" s="72" t="s">
        <v>84</v>
      </c>
      <c r="C111" s="70">
        <f t="shared" si="1"/>
        <v>0</v>
      </c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</row>
    <row r="112" spans="1:34" x14ac:dyDescent="0.2">
      <c r="A112" s="69" cm="1">
        <f t="array" ref="A112">1+COUNT(_xlfn.UNIQUE(_xlfn._xlws.FILTER($C$4:$C$127,$C$4:$C$127&lt;C112)))</f>
        <v>1</v>
      </c>
      <c r="B112" s="72" t="s">
        <v>101</v>
      </c>
      <c r="C112" s="70">
        <f t="shared" si="1"/>
        <v>0</v>
      </c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</row>
    <row r="113" spans="1:34" x14ac:dyDescent="0.2">
      <c r="A113" s="69" cm="1">
        <f t="array" ref="A113">1+COUNT(_xlfn.UNIQUE(_xlfn._xlws.FILTER($C$4:$C$127,$C$4:$C$127&lt;C113)))</f>
        <v>1</v>
      </c>
      <c r="B113" s="72" t="s">
        <v>55</v>
      </c>
      <c r="C113" s="70">
        <f t="shared" si="1"/>
        <v>0</v>
      </c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</row>
    <row r="114" spans="1:34" x14ac:dyDescent="0.2">
      <c r="A114" s="69" cm="1">
        <f t="array" ref="A114">1+COUNT(_xlfn.UNIQUE(_xlfn._xlws.FILTER($C$4:$C$127,$C$4:$C$127&lt;C114)))</f>
        <v>1</v>
      </c>
      <c r="B114" s="72" t="s">
        <v>48</v>
      </c>
      <c r="C114" s="70">
        <f t="shared" si="1"/>
        <v>0</v>
      </c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</row>
    <row r="115" spans="1:34" x14ac:dyDescent="0.2">
      <c r="A115" s="69" cm="1">
        <f t="array" ref="A115">1+COUNT(_xlfn.UNIQUE(_xlfn._xlws.FILTER($C$4:$C$127,$C$4:$C$127&lt;C115)))</f>
        <v>1</v>
      </c>
      <c r="B115" s="72" t="s">
        <v>12</v>
      </c>
      <c r="C115" s="70">
        <f t="shared" si="1"/>
        <v>0</v>
      </c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</row>
    <row r="116" spans="1:34" x14ac:dyDescent="0.2">
      <c r="A116" s="69" cm="1">
        <f t="array" ref="A116">1+COUNT(_xlfn.UNIQUE(_xlfn._xlws.FILTER($C$4:$C$127,$C$4:$C$127&lt;C116)))</f>
        <v>1</v>
      </c>
      <c r="B116" s="72" t="s">
        <v>61</v>
      </c>
      <c r="C116" s="70">
        <f t="shared" si="1"/>
        <v>0</v>
      </c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</row>
    <row r="117" spans="1:34" x14ac:dyDescent="0.2">
      <c r="A117" s="69" cm="1">
        <f t="array" ref="A117">1+COUNT(_xlfn.UNIQUE(_xlfn._xlws.FILTER($C$4:$C$127,$C$4:$C$127&lt;C117)))</f>
        <v>1</v>
      </c>
      <c r="B117" s="72" t="s">
        <v>113</v>
      </c>
      <c r="C117" s="70">
        <f t="shared" si="1"/>
        <v>0</v>
      </c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</row>
    <row r="118" spans="1:34" x14ac:dyDescent="0.2">
      <c r="A118" s="69" cm="1">
        <f t="array" ref="A118">1+COUNT(_xlfn.UNIQUE(_xlfn._xlws.FILTER($C$4:$C$127,$C$4:$C$127&lt;C118)))</f>
        <v>1</v>
      </c>
      <c r="B118" s="72" t="s">
        <v>13</v>
      </c>
      <c r="C118" s="70">
        <f t="shared" si="1"/>
        <v>0</v>
      </c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</row>
    <row r="119" spans="1:34" x14ac:dyDescent="0.2">
      <c r="A119" s="69" cm="1">
        <f t="array" ref="A119">1+COUNT(_xlfn.UNIQUE(_xlfn._xlws.FILTER($C$4:$C$127,$C$4:$C$127&lt;C119)))</f>
        <v>1</v>
      </c>
      <c r="B119" s="72" t="s">
        <v>66</v>
      </c>
      <c r="C119" s="70">
        <f t="shared" si="1"/>
        <v>0</v>
      </c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</row>
    <row r="120" spans="1:34" x14ac:dyDescent="0.2">
      <c r="A120" s="69" cm="1">
        <f t="array" ref="A120">1+COUNT(_xlfn.UNIQUE(_xlfn._xlws.FILTER($C$4:$C$127,$C$4:$C$127&lt;C120)))</f>
        <v>1</v>
      </c>
      <c r="B120" s="72" t="s">
        <v>98</v>
      </c>
      <c r="C120" s="70">
        <f t="shared" si="1"/>
        <v>0</v>
      </c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</row>
    <row r="121" spans="1:34" x14ac:dyDescent="0.2">
      <c r="A121" s="69" cm="1">
        <f t="array" ref="A121">1+COUNT(_xlfn.UNIQUE(_xlfn._xlws.FILTER($C$4:$C$127,$C$4:$C$127&lt;C121)))</f>
        <v>1</v>
      </c>
      <c r="B121" s="72" t="s">
        <v>75</v>
      </c>
      <c r="C121" s="70">
        <f t="shared" si="1"/>
        <v>0</v>
      </c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</row>
    <row r="122" spans="1:34" x14ac:dyDescent="0.2">
      <c r="A122" s="69" cm="1">
        <f t="array" ref="A122">1+COUNT(_xlfn.UNIQUE(_xlfn._xlws.FILTER($C$4:$C$127,$C$4:$C$127&lt;C122)))</f>
        <v>1</v>
      </c>
      <c r="B122" s="72" t="s">
        <v>88</v>
      </c>
      <c r="C122" s="70">
        <f t="shared" si="1"/>
        <v>0</v>
      </c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</row>
    <row r="123" spans="1:34" x14ac:dyDescent="0.2">
      <c r="A123" s="69" cm="1">
        <f t="array" ref="A123">1+COUNT(_xlfn.UNIQUE(_xlfn._xlws.FILTER($C$4:$C$127,$C$4:$C$127&lt;C123)))</f>
        <v>1</v>
      </c>
      <c r="B123" s="72" t="s">
        <v>41</v>
      </c>
      <c r="C123" s="70">
        <f t="shared" si="1"/>
        <v>0</v>
      </c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</row>
    <row r="124" spans="1:34" x14ac:dyDescent="0.2">
      <c r="A124" s="69" cm="1">
        <f t="array" ref="A124">1+COUNT(_xlfn.UNIQUE(_xlfn._xlws.FILTER($C$4:$C$127,$C$4:$C$127&lt;C124)))</f>
        <v>1</v>
      </c>
      <c r="B124" s="72" t="s">
        <v>53</v>
      </c>
      <c r="C124" s="70">
        <f t="shared" si="1"/>
        <v>0</v>
      </c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</row>
    <row r="125" spans="1:34" x14ac:dyDescent="0.2">
      <c r="A125" s="69" cm="1">
        <f t="array" ref="A125">1+COUNT(_xlfn.UNIQUE(_xlfn._xlws.FILTER($C$4:$C$127,$C$4:$C$127&lt;C125)))</f>
        <v>1</v>
      </c>
      <c r="B125" s="72" t="s">
        <v>1</v>
      </c>
      <c r="C125" s="70">
        <f t="shared" si="1"/>
        <v>0</v>
      </c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</row>
    <row r="126" spans="1:34" x14ac:dyDescent="0.2">
      <c r="A126" s="69" cm="1">
        <f t="array" ref="A126">1+COUNT(_xlfn.UNIQUE(_xlfn._xlws.FILTER($C$4:$C$127,$C$4:$C$127&lt;C126)))</f>
        <v>1</v>
      </c>
      <c r="B126" s="72" t="s">
        <v>25</v>
      </c>
      <c r="C126" s="70">
        <f t="shared" si="1"/>
        <v>0</v>
      </c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</row>
    <row r="127" spans="1:34" x14ac:dyDescent="0.2">
      <c r="A127" s="69" cm="1">
        <f t="array" ref="A127">1+COUNT(_xlfn.UNIQUE(_xlfn._xlws.FILTER($C$4:$C$127,$C$4:$C$127&lt;C127)))</f>
        <v>1</v>
      </c>
      <c r="B127" s="72" t="s">
        <v>121</v>
      </c>
      <c r="C127" s="70">
        <f t="shared" si="1"/>
        <v>0</v>
      </c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</row>
  </sheetData>
  <mergeCells count="3">
    <mergeCell ref="A1:C1"/>
    <mergeCell ref="D1:Y1"/>
    <mergeCell ref="Z1:A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2C0B-E756-0C48-A1D8-FAEE0DB43A35}">
  <sheetPr>
    <pageSetUpPr fitToPage="1"/>
  </sheetPr>
  <dimension ref="A1:AH127"/>
  <sheetViews>
    <sheetView zoomScale="92" workbookViewId="0">
      <selection activeCell="A2" sqref="A2:XFD2"/>
    </sheetView>
  </sheetViews>
  <sheetFormatPr defaultColWidth="10.85546875" defaultRowHeight="15.75" x14ac:dyDescent="0.2"/>
  <cols>
    <col min="1" max="1" width="9.28515625" style="74" bestFit="1" customWidth="1"/>
    <col min="2" max="2" width="21.28515625" style="75" customWidth="1"/>
    <col min="3" max="3" width="16" style="57" customWidth="1"/>
    <col min="4" max="34" width="5.85546875" style="68" customWidth="1"/>
    <col min="35" max="16384" width="10.85546875" style="68"/>
  </cols>
  <sheetData>
    <row r="1" spans="1:34" x14ac:dyDescent="0.2">
      <c r="A1" s="138" t="s">
        <v>155</v>
      </c>
      <c r="B1" s="138"/>
      <c r="C1" s="138"/>
      <c r="D1" s="137" t="s">
        <v>228</v>
      </c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 t="s">
        <v>227</v>
      </c>
      <c r="AA1" s="137"/>
      <c r="AB1" s="137"/>
      <c r="AC1" s="137"/>
      <c r="AD1" s="137"/>
      <c r="AE1" s="137"/>
      <c r="AF1" s="137"/>
      <c r="AG1" s="137"/>
      <c r="AH1" s="137"/>
    </row>
    <row r="2" spans="1:34" s="71" customFormat="1" ht="63.95" customHeight="1" x14ac:dyDescent="0.2">
      <c r="A2" s="69" t="s">
        <v>129</v>
      </c>
      <c r="B2" s="66" t="s">
        <v>128</v>
      </c>
      <c r="C2" s="70" t="s">
        <v>138</v>
      </c>
      <c r="D2" s="66" t="s">
        <v>174</v>
      </c>
      <c r="E2" s="66" t="s">
        <v>175</v>
      </c>
      <c r="F2" s="66" t="s">
        <v>176</v>
      </c>
      <c r="G2" s="66" t="s">
        <v>177</v>
      </c>
      <c r="H2" s="66" t="s">
        <v>178</v>
      </c>
      <c r="I2" s="66" t="s">
        <v>179</v>
      </c>
      <c r="J2" s="66" t="s">
        <v>180</v>
      </c>
      <c r="K2" s="66" t="s">
        <v>181</v>
      </c>
      <c r="L2" s="66" t="s">
        <v>182</v>
      </c>
      <c r="M2" s="66" t="s">
        <v>183</v>
      </c>
      <c r="N2" s="66" t="s">
        <v>184</v>
      </c>
      <c r="O2" s="66" t="s">
        <v>185</v>
      </c>
      <c r="P2" s="66" t="s">
        <v>186</v>
      </c>
      <c r="Q2" s="66" t="s">
        <v>187</v>
      </c>
      <c r="R2" s="66" t="s">
        <v>188</v>
      </c>
      <c r="S2" s="66" t="s">
        <v>189</v>
      </c>
      <c r="T2" s="66" t="s">
        <v>190</v>
      </c>
      <c r="U2" s="66" t="s">
        <v>191</v>
      </c>
      <c r="V2" s="66" t="s">
        <v>192</v>
      </c>
      <c r="W2" s="66" t="s">
        <v>193</v>
      </c>
      <c r="X2" s="66" t="s">
        <v>194</v>
      </c>
      <c r="Y2" s="66" t="s">
        <v>195</v>
      </c>
      <c r="Z2" s="66" t="s">
        <v>196</v>
      </c>
      <c r="AA2" s="66" t="s">
        <v>197</v>
      </c>
      <c r="AB2" s="66" t="s">
        <v>198</v>
      </c>
      <c r="AC2" s="66" t="s">
        <v>199</v>
      </c>
      <c r="AD2" s="66" t="s">
        <v>200</v>
      </c>
      <c r="AE2" s="66" t="s">
        <v>201</v>
      </c>
      <c r="AF2" s="66" t="s">
        <v>202</v>
      </c>
      <c r="AG2" s="66" t="s">
        <v>203</v>
      </c>
      <c r="AH2" s="66" t="s">
        <v>204</v>
      </c>
    </row>
    <row r="3" spans="1:34" s="71" customFormat="1" ht="27" customHeight="1" x14ac:dyDescent="0.2">
      <c r="A3" s="69"/>
      <c r="B3" s="66" t="s">
        <v>132</v>
      </c>
      <c r="C3" s="70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</row>
    <row r="4" spans="1:34" x14ac:dyDescent="0.2">
      <c r="A4" s="69" cm="1">
        <f t="array" ref="A4">1+COUNT(_xlfn.UNIQUE(_xlfn._xlws.FILTER($C$4:$C$127,$C$4:$C$127&lt;C4)))</f>
        <v>1</v>
      </c>
      <c r="B4" s="72" t="s">
        <v>114</v>
      </c>
      <c r="C4" s="70">
        <f t="shared" ref="C4:C35" si="0">SUM(D4:AH4)</f>
        <v>0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</row>
    <row r="5" spans="1:34" x14ac:dyDescent="0.2">
      <c r="A5" s="69" cm="1">
        <f t="array" ref="A5">1+COUNT(_xlfn.UNIQUE(_xlfn._xlws.FILTER($C$4:$C$127,$C$4:$C$127&lt;C5)))</f>
        <v>1</v>
      </c>
      <c r="B5" s="72" t="s">
        <v>83</v>
      </c>
      <c r="C5" s="70">
        <f t="shared" si="0"/>
        <v>0</v>
      </c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</row>
    <row r="6" spans="1:34" x14ac:dyDescent="0.2">
      <c r="A6" s="69" cm="1">
        <f t="array" ref="A6">1+COUNT(_xlfn.UNIQUE(_xlfn._xlws.FILTER($C$4:$C$127,$C$4:$C$127&lt;C6)))</f>
        <v>1</v>
      </c>
      <c r="B6" s="72" t="s">
        <v>11</v>
      </c>
      <c r="C6" s="70">
        <f t="shared" si="0"/>
        <v>0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</row>
    <row r="7" spans="1:34" x14ac:dyDescent="0.2">
      <c r="A7" s="69" cm="1">
        <f t="array" ref="A7">1+COUNT(_xlfn.UNIQUE(_xlfn._xlws.FILTER($C$4:$C$127,$C$4:$C$127&lt;C7)))</f>
        <v>1</v>
      </c>
      <c r="B7" s="72" t="s">
        <v>108</v>
      </c>
      <c r="C7" s="70">
        <f t="shared" si="0"/>
        <v>0</v>
      </c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</row>
    <row r="8" spans="1:34" x14ac:dyDescent="0.2">
      <c r="A8" s="69" cm="1">
        <f t="array" ref="A8">1+COUNT(_xlfn.UNIQUE(_xlfn._xlws.FILTER($C$4:$C$127,$C$4:$C$127&lt;C8)))</f>
        <v>1</v>
      </c>
      <c r="B8" s="72" t="s">
        <v>5</v>
      </c>
      <c r="C8" s="70">
        <f t="shared" si="0"/>
        <v>0</v>
      </c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</row>
    <row r="9" spans="1:34" x14ac:dyDescent="0.2">
      <c r="A9" s="69" cm="1">
        <f t="array" ref="A9">1+COUNT(_xlfn.UNIQUE(_xlfn._xlws.FILTER($C$4:$C$127,$C$4:$C$127&lt;C9)))</f>
        <v>1</v>
      </c>
      <c r="B9" s="72" t="s">
        <v>59</v>
      </c>
      <c r="C9" s="70">
        <f t="shared" si="0"/>
        <v>0</v>
      </c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</row>
    <row r="10" spans="1:34" x14ac:dyDescent="0.2">
      <c r="A10" s="69" cm="1">
        <f t="array" ref="A10">1+COUNT(_xlfn.UNIQUE(_xlfn._xlws.FILTER($C$4:$C$127,$C$4:$C$127&lt;C10)))</f>
        <v>1</v>
      </c>
      <c r="B10" s="72" t="s">
        <v>69</v>
      </c>
      <c r="C10" s="70">
        <f t="shared" si="0"/>
        <v>0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</row>
    <row r="11" spans="1:34" x14ac:dyDescent="0.2">
      <c r="A11" s="69" cm="1">
        <f t="array" ref="A11">1+COUNT(_xlfn.UNIQUE(_xlfn._xlws.FILTER($C$4:$C$127,$C$4:$C$127&lt;C11)))</f>
        <v>1</v>
      </c>
      <c r="B11" s="72" t="s">
        <v>118</v>
      </c>
      <c r="C11" s="70">
        <f t="shared" si="0"/>
        <v>0</v>
      </c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</row>
    <row r="12" spans="1:34" x14ac:dyDescent="0.2">
      <c r="A12" s="69" cm="1">
        <f t="array" ref="A12">1+COUNT(_xlfn.UNIQUE(_xlfn._xlws.FILTER($C$4:$C$127,$C$4:$C$127&lt;C12)))</f>
        <v>1</v>
      </c>
      <c r="B12" s="72" t="s">
        <v>19</v>
      </c>
      <c r="C12" s="70">
        <f t="shared" si="0"/>
        <v>0</v>
      </c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</row>
    <row r="13" spans="1:34" x14ac:dyDescent="0.2">
      <c r="A13" s="69" cm="1">
        <f t="array" ref="A13">1+COUNT(_xlfn.UNIQUE(_xlfn._xlws.FILTER($C$4:$C$127,$C$4:$C$127&lt;C13)))</f>
        <v>1</v>
      </c>
      <c r="B13" s="72" t="s">
        <v>68</v>
      </c>
      <c r="C13" s="70">
        <f t="shared" si="0"/>
        <v>0</v>
      </c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</row>
    <row r="14" spans="1:34" x14ac:dyDescent="0.2">
      <c r="A14" s="69" cm="1">
        <f t="array" ref="A14">1+COUNT(_xlfn.UNIQUE(_xlfn._xlws.FILTER($C$4:$C$127,$C$4:$C$127&lt;C14)))</f>
        <v>1</v>
      </c>
      <c r="B14" s="72" t="s">
        <v>6</v>
      </c>
      <c r="C14" s="70">
        <f t="shared" si="0"/>
        <v>0</v>
      </c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</row>
    <row r="15" spans="1:34" x14ac:dyDescent="0.2">
      <c r="A15" s="69" cm="1">
        <f t="array" ref="A15">1+COUNT(_xlfn.UNIQUE(_xlfn._xlws.FILTER($C$4:$C$127,$C$4:$C$127&lt;C15)))</f>
        <v>1</v>
      </c>
      <c r="B15" s="72" t="s">
        <v>62</v>
      </c>
      <c r="C15" s="70">
        <f t="shared" si="0"/>
        <v>0</v>
      </c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</row>
    <row r="16" spans="1:34" x14ac:dyDescent="0.2">
      <c r="A16" s="69" cm="1">
        <f t="array" ref="A16">1+COUNT(_xlfn.UNIQUE(_xlfn._xlws.FILTER($C$4:$C$127,$C$4:$C$127&lt;C16)))</f>
        <v>1</v>
      </c>
      <c r="B16" s="72" t="s">
        <v>29</v>
      </c>
      <c r="C16" s="70">
        <f t="shared" si="0"/>
        <v>0</v>
      </c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</row>
    <row r="17" spans="1:34" x14ac:dyDescent="0.2">
      <c r="A17" s="69" cm="1">
        <f t="array" ref="A17">1+COUNT(_xlfn.UNIQUE(_xlfn._xlws.FILTER($C$4:$C$127,$C$4:$C$127&lt;C17)))</f>
        <v>1</v>
      </c>
      <c r="B17" s="72" t="s">
        <v>85</v>
      </c>
      <c r="C17" s="70">
        <f t="shared" si="0"/>
        <v>0</v>
      </c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</row>
    <row r="18" spans="1:34" x14ac:dyDescent="0.2">
      <c r="A18" s="69" cm="1">
        <f t="array" ref="A18">1+COUNT(_xlfn.UNIQUE(_xlfn._xlws.FILTER($C$4:$C$127,$C$4:$C$127&lt;C18)))</f>
        <v>1</v>
      </c>
      <c r="B18" s="72" t="s">
        <v>63</v>
      </c>
      <c r="C18" s="70">
        <f t="shared" si="0"/>
        <v>0</v>
      </c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</row>
    <row r="19" spans="1:34" x14ac:dyDescent="0.2">
      <c r="A19" s="69" cm="1">
        <f t="array" ref="A19">1+COUNT(_xlfn.UNIQUE(_xlfn._xlws.FILTER($C$4:$C$127,$C$4:$C$127&lt;C19)))</f>
        <v>1</v>
      </c>
      <c r="B19" s="72" t="s">
        <v>122</v>
      </c>
      <c r="C19" s="70">
        <f t="shared" si="0"/>
        <v>0</v>
      </c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</row>
    <row r="20" spans="1:34" x14ac:dyDescent="0.2">
      <c r="A20" s="69" cm="1">
        <f t="array" ref="A20">1+COUNT(_xlfn.UNIQUE(_xlfn._xlws.FILTER($C$4:$C$127,$C$4:$C$127&lt;C20)))</f>
        <v>1</v>
      </c>
      <c r="B20" s="72" t="s">
        <v>90</v>
      </c>
      <c r="C20" s="70">
        <f t="shared" si="0"/>
        <v>0</v>
      </c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</row>
    <row r="21" spans="1:34" x14ac:dyDescent="0.2">
      <c r="A21" s="69" cm="1">
        <f t="array" ref="A21">1+COUNT(_xlfn.UNIQUE(_xlfn._xlws.FILTER($C$4:$C$127,$C$4:$C$127&lt;C21)))</f>
        <v>1</v>
      </c>
      <c r="B21" s="72" t="s">
        <v>120</v>
      </c>
      <c r="C21" s="70">
        <f t="shared" si="0"/>
        <v>0</v>
      </c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</row>
    <row r="22" spans="1:34" x14ac:dyDescent="0.2">
      <c r="A22" s="69" cm="1">
        <f t="array" ref="A22">1+COUNT(_xlfn.UNIQUE(_xlfn._xlws.FILTER($C$4:$C$127,$C$4:$C$127&lt;C22)))</f>
        <v>1</v>
      </c>
      <c r="B22" s="72" t="s">
        <v>81</v>
      </c>
      <c r="C22" s="70">
        <f t="shared" si="0"/>
        <v>0</v>
      </c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</row>
    <row r="23" spans="1:34" x14ac:dyDescent="0.2">
      <c r="A23" s="69" cm="1">
        <f t="array" ref="A23">1+COUNT(_xlfn.UNIQUE(_xlfn._xlws.FILTER($C$4:$C$127,$C$4:$C$127&lt;C23)))</f>
        <v>1</v>
      </c>
      <c r="B23" s="72" t="s">
        <v>17</v>
      </c>
      <c r="C23" s="70">
        <f t="shared" si="0"/>
        <v>0</v>
      </c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</row>
    <row r="24" spans="1:34" x14ac:dyDescent="0.2">
      <c r="A24" s="69" cm="1">
        <f t="array" ref="A24">1+COUNT(_xlfn.UNIQUE(_xlfn._xlws.FILTER($C$4:$C$127,$C$4:$C$127&lt;C24)))</f>
        <v>1</v>
      </c>
      <c r="B24" s="72" t="s">
        <v>2</v>
      </c>
      <c r="C24" s="70">
        <f t="shared" si="0"/>
        <v>0</v>
      </c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</row>
    <row r="25" spans="1:34" x14ac:dyDescent="0.2">
      <c r="A25" s="69" cm="1">
        <f t="array" ref="A25">1+COUNT(_xlfn.UNIQUE(_xlfn._xlws.FILTER($C$4:$C$127,$C$4:$C$127&lt;C25)))</f>
        <v>1</v>
      </c>
      <c r="B25" s="72" t="s">
        <v>15</v>
      </c>
      <c r="C25" s="70">
        <f t="shared" si="0"/>
        <v>0</v>
      </c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</row>
    <row r="26" spans="1:34" x14ac:dyDescent="0.2">
      <c r="A26" s="69" cm="1">
        <f t="array" ref="A26">1+COUNT(_xlfn.UNIQUE(_xlfn._xlws.FILTER($C$4:$C$127,$C$4:$C$127&lt;C26)))</f>
        <v>1</v>
      </c>
      <c r="B26" s="72" t="s">
        <v>57</v>
      </c>
      <c r="C26" s="70">
        <f t="shared" si="0"/>
        <v>0</v>
      </c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</row>
    <row r="27" spans="1:34" x14ac:dyDescent="0.2">
      <c r="A27" s="69" cm="1">
        <f t="array" ref="A27">1+COUNT(_xlfn.UNIQUE(_xlfn._xlws.FILTER($C$4:$C$127,$C$4:$C$127&lt;C27)))</f>
        <v>1</v>
      </c>
      <c r="B27" s="72" t="s">
        <v>87</v>
      </c>
      <c r="C27" s="70">
        <f t="shared" si="0"/>
        <v>0</v>
      </c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</row>
    <row r="28" spans="1:34" x14ac:dyDescent="0.2">
      <c r="A28" s="69" cm="1">
        <f t="array" ref="A28">1+COUNT(_xlfn.UNIQUE(_xlfn._xlws.FILTER($C$4:$C$127,$C$4:$C$127&lt;C28)))</f>
        <v>1</v>
      </c>
      <c r="B28" s="72" t="s">
        <v>27</v>
      </c>
      <c r="C28" s="70">
        <f t="shared" si="0"/>
        <v>0</v>
      </c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</row>
    <row r="29" spans="1:34" x14ac:dyDescent="0.2">
      <c r="A29" s="69" cm="1">
        <f t="array" ref="A29">1+COUNT(_xlfn.UNIQUE(_xlfn._xlws.FILTER($C$4:$C$127,$C$4:$C$127&lt;C29)))</f>
        <v>1</v>
      </c>
      <c r="B29" s="72" t="s">
        <v>22</v>
      </c>
      <c r="C29" s="70">
        <f t="shared" si="0"/>
        <v>0</v>
      </c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</row>
    <row r="30" spans="1:34" x14ac:dyDescent="0.2">
      <c r="A30" s="69" cm="1">
        <f t="array" ref="A30">1+COUNT(_xlfn.UNIQUE(_xlfn._xlws.FILTER($C$4:$C$127,$C$4:$C$127&lt;C30)))</f>
        <v>1</v>
      </c>
      <c r="B30" s="72" t="s">
        <v>4</v>
      </c>
      <c r="C30" s="70">
        <f t="shared" si="0"/>
        <v>0</v>
      </c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</row>
    <row r="31" spans="1:34" x14ac:dyDescent="0.2">
      <c r="A31" s="69" cm="1">
        <f t="array" ref="A31">1+COUNT(_xlfn.UNIQUE(_xlfn._xlws.FILTER($C$4:$C$127,$C$4:$C$127&lt;C31)))</f>
        <v>1</v>
      </c>
      <c r="B31" s="72" t="s">
        <v>58</v>
      </c>
      <c r="C31" s="70">
        <f t="shared" si="0"/>
        <v>0</v>
      </c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</row>
    <row r="32" spans="1:34" x14ac:dyDescent="0.2">
      <c r="A32" s="69" cm="1">
        <f t="array" ref="A32">1+COUNT(_xlfn.UNIQUE(_xlfn._xlws.FILTER($C$4:$C$127,$C$4:$C$127&lt;C32)))</f>
        <v>1</v>
      </c>
      <c r="B32" s="72" t="s">
        <v>96</v>
      </c>
      <c r="C32" s="70">
        <f t="shared" si="0"/>
        <v>0</v>
      </c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</row>
    <row r="33" spans="1:34" x14ac:dyDescent="0.2">
      <c r="A33" s="69" cm="1">
        <f t="array" ref="A33">1+COUNT(_xlfn.UNIQUE(_xlfn._xlws.FILTER($C$4:$C$127,$C$4:$C$127&lt;C33)))</f>
        <v>1</v>
      </c>
      <c r="B33" s="72" t="s">
        <v>30</v>
      </c>
      <c r="C33" s="70">
        <f t="shared" si="0"/>
        <v>0</v>
      </c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</row>
    <row r="34" spans="1:34" x14ac:dyDescent="0.2">
      <c r="A34" s="69" cm="1">
        <f t="array" ref="A34">1+COUNT(_xlfn.UNIQUE(_xlfn._xlws.FILTER($C$4:$C$127,$C$4:$C$127&lt;C34)))</f>
        <v>1</v>
      </c>
      <c r="B34" s="72" t="s">
        <v>107</v>
      </c>
      <c r="C34" s="70">
        <f t="shared" si="0"/>
        <v>0</v>
      </c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</row>
    <row r="35" spans="1:34" x14ac:dyDescent="0.2">
      <c r="A35" s="69" cm="1">
        <f t="array" ref="A35">1+COUNT(_xlfn.UNIQUE(_xlfn._xlws.FILTER($C$4:$C$127,$C$4:$C$127&lt;C35)))</f>
        <v>1</v>
      </c>
      <c r="B35" s="72" t="s">
        <v>105</v>
      </c>
      <c r="C35" s="70">
        <f t="shared" si="0"/>
        <v>0</v>
      </c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</row>
    <row r="36" spans="1:34" x14ac:dyDescent="0.2">
      <c r="A36" s="69" cm="1">
        <f t="array" ref="A36">1+COUNT(_xlfn.UNIQUE(_xlfn._xlws.FILTER($C$4:$C$127,$C$4:$C$127&lt;C36)))</f>
        <v>1</v>
      </c>
      <c r="B36" s="72" t="s">
        <v>43</v>
      </c>
      <c r="C36" s="70">
        <f t="shared" ref="C36:C67" si="1">SUM(D36:AH36)</f>
        <v>0</v>
      </c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</row>
    <row r="37" spans="1:34" x14ac:dyDescent="0.2">
      <c r="A37" s="69" cm="1">
        <f t="array" ref="A37">1+COUNT(_xlfn.UNIQUE(_xlfn._xlws.FILTER($C$4:$C$127,$C$4:$C$127&lt;C37)))</f>
        <v>1</v>
      </c>
      <c r="B37" s="72" t="s">
        <v>67</v>
      </c>
      <c r="C37" s="70">
        <f t="shared" si="1"/>
        <v>0</v>
      </c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</row>
    <row r="38" spans="1:34" x14ac:dyDescent="0.2">
      <c r="A38" s="69" cm="1">
        <f t="array" ref="A38">1+COUNT(_xlfn.UNIQUE(_xlfn._xlws.FILTER($C$4:$C$127,$C$4:$C$127&lt;C38)))</f>
        <v>1</v>
      </c>
      <c r="B38" s="72" t="s">
        <v>109</v>
      </c>
      <c r="C38" s="70">
        <f t="shared" si="1"/>
        <v>0</v>
      </c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</row>
    <row r="39" spans="1:34" x14ac:dyDescent="0.2">
      <c r="A39" s="69" cm="1">
        <f t="array" ref="A39">1+COUNT(_xlfn.UNIQUE(_xlfn._xlws.FILTER($C$4:$C$127,$C$4:$C$127&lt;C39)))</f>
        <v>1</v>
      </c>
      <c r="B39" s="72" t="s">
        <v>54</v>
      </c>
      <c r="C39" s="70">
        <f t="shared" si="1"/>
        <v>0</v>
      </c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</row>
    <row r="40" spans="1:34" x14ac:dyDescent="0.2">
      <c r="A40" s="69" cm="1">
        <f t="array" ref="A40">1+COUNT(_xlfn.UNIQUE(_xlfn._xlws.FILTER($C$4:$C$127,$C$4:$C$127&lt;C40)))</f>
        <v>1</v>
      </c>
      <c r="B40" s="72" t="s">
        <v>74</v>
      </c>
      <c r="C40" s="70">
        <f t="shared" si="1"/>
        <v>0</v>
      </c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</row>
    <row r="41" spans="1:34" x14ac:dyDescent="0.2">
      <c r="A41" s="69" cm="1">
        <f t="array" ref="A41">1+COUNT(_xlfn.UNIQUE(_xlfn._xlws.FILTER($C$4:$C$127,$C$4:$C$127&lt;C41)))</f>
        <v>1</v>
      </c>
      <c r="B41" s="72" t="s">
        <v>8</v>
      </c>
      <c r="C41" s="70">
        <f t="shared" si="1"/>
        <v>0</v>
      </c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</row>
    <row r="42" spans="1:34" x14ac:dyDescent="0.2">
      <c r="A42" s="69" cm="1">
        <f t="array" ref="A42">1+COUNT(_xlfn.UNIQUE(_xlfn._xlws.FILTER($C$4:$C$127,$C$4:$C$127&lt;C42)))</f>
        <v>1</v>
      </c>
      <c r="B42" s="72" t="s">
        <v>34</v>
      </c>
      <c r="C42" s="70">
        <f t="shared" si="1"/>
        <v>0</v>
      </c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</row>
    <row r="43" spans="1:34" x14ac:dyDescent="0.2">
      <c r="A43" s="69" cm="1">
        <f t="array" ref="A43">1+COUNT(_xlfn.UNIQUE(_xlfn._xlws.FILTER($C$4:$C$127,$C$4:$C$127&lt;C43)))</f>
        <v>1</v>
      </c>
      <c r="B43" s="72" t="s">
        <v>20</v>
      </c>
      <c r="C43" s="70">
        <f t="shared" si="1"/>
        <v>0</v>
      </c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</row>
    <row r="44" spans="1:34" x14ac:dyDescent="0.2">
      <c r="A44" s="69" cm="1">
        <f t="array" ref="A44">1+COUNT(_xlfn.UNIQUE(_xlfn._xlws.FILTER($C$4:$C$127,$C$4:$C$127&lt;C44)))</f>
        <v>1</v>
      </c>
      <c r="B44" s="72" t="s">
        <v>18</v>
      </c>
      <c r="C44" s="70">
        <f t="shared" si="1"/>
        <v>0</v>
      </c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</row>
    <row r="45" spans="1:34" x14ac:dyDescent="0.2">
      <c r="A45" s="69" cm="1">
        <f t="array" ref="A45">1+COUNT(_xlfn.UNIQUE(_xlfn._xlws.FILTER($C$4:$C$127,$C$4:$C$127&lt;C45)))</f>
        <v>1</v>
      </c>
      <c r="B45" s="72" t="s">
        <v>99</v>
      </c>
      <c r="C45" s="70">
        <f t="shared" si="1"/>
        <v>0</v>
      </c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</row>
    <row r="46" spans="1:34" x14ac:dyDescent="0.2">
      <c r="A46" s="69" cm="1">
        <f t="array" ref="A46">1+COUNT(_xlfn.UNIQUE(_xlfn._xlws.FILTER($C$4:$C$127,$C$4:$C$127&lt;C46)))</f>
        <v>1</v>
      </c>
      <c r="B46" s="72" t="s">
        <v>24</v>
      </c>
      <c r="C46" s="70">
        <f t="shared" si="1"/>
        <v>0</v>
      </c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</row>
    <row r="47" spans="1:34" x14ac:dyDescent="0.2">
      <c r="A47" s="69" cm="1">
        <f t="array" ref="A47">1+COUNT(_xlfn.UNIQUE(_xlfn._xlws.FILTER($C$4:$C$127,$C$4:$C$127&lt;C47)))</f>
        <v>1</v>
      </c>
      <c r="B47" s="72" t="s">
        <v>37</v>
      </c>
      <c r="C47" s="70">
        <f t="shared" si="1"/>
        <v>0</v>
      </c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</row>
    <row r="48" spans="1:34" x14ac:dyDescent="0.2">
      <c r="A48" s="69" cm="1">
        <f t="array" ref="A48">1+COUNT(_xlfn.UNIQUE(_xlfn._xlws.FILTER($C$4:$C$127,$C$4:$C$127&lt;C48)))</f>
        <v>1</v>
      </c>
      <c r="B48" s="72" t="s">
        <v>50</v>
      </c>
      <c r="C48" s="70">
        <f t="shared" si="1"/>
        <v>0</v>
      </c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</row>
    <row r="49" spans="1:34" x14ac:dyDescent="0.2">
      <c r="A49" s="69" cm="1">
        <f t="array" ref="A49">1+COUNT(_xlfn.UNIQUE(_xlfn._xlws.FILTER($C$4:$C$127,$C$4:$C$127&lt;C49)))</f>
        <v>1</v>
      </c>
      <c r="B49" s="72" t="s">
        <v>94</v>
      </c>
      <c r="C49" s="70">
        <f t="shared" si="1"/>
        <v>0</v>
      </c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</row>
    <row r="50" spans="1:34" x14ac:dyDescent="0.2">
      <c r="A50" s="69" cm="1">
        <f t="array" ref="A50">1+COUNT(_xlfn.UNIQUE(_xlfn._xlws.FILTER($C$4:$C$127,$C$4:$C$127&lt;C50)))</f>
        <v>1</v>
      </c>
      <c r="B50" s="72" t="s">
        <v>40</v>
      </c>
      <c r="C50" s="70">
        <f t="shared" si="1"/>
        <v>0</v>
      </c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</row>
    <row r="51" spans="1:34" x14ac:dyDescent="0.2">
      <c r="A51" s="69" cm="1">
        <f t="array" ref="A51">1+COUNT(_xlfn.UNIQUE(_xlfn._xlws.FILTER($C$4:$C$127,$C$4:$C$127&lt;C51)))</f>
        <v>1</v>
      </c>
      <c r="B51" s="72" t="s">
        <v>111</v>
      </c>
      <c r="C51" s="70">
        <f t="shared" si="1"/>
        <v>0</v>
      </c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</row>
    <row r="52" spans="1:34" x14ac:dyDescent="0.2">
      <c r="A52" s="69" cm="1">
        <f t="array" ref="A52">1+COUNT(_xlfn.UNIQUE(_xlfn._xlws.FILTER($C$4:$C$127,$C$4:$C$127&lt;C52)))</f>
        <v>1</v>
      </c>
      <c r="B52" s="72" t="s">
        <v>77</v>
      </c>
      <c r="C52" s="70">
        <f t="shared" si="1"/>
        <v>0</v>
      </c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</row>
    <row r="53" spans="1:34" x14ac:dyDescent="0.2">
      <c r="A53" s="69" cm="1">
        <f t="array" ref="A53">1+COUNT(_xlfn.UNIQUE(_xlfn._xlws.FILTER($C$4:$C$127,$C$4:$C$127&lt;C53)))</f>
        <v>1</v>
      </c>
      <c r="B53" s="72" t="s">
        <v>46</v>
      </c>
      <c r="C53" s="70">
        <f t="shared" si="1"/>
        <v>0</v>
      </c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</row>
    <row r="54" spans="1:34" x14ac:dyDescent="0.2">
      <c r="A54" s="69" cm="1">
        <f t="array" ref="A54">1+COUNT(_xlfn.UNIQUE(_xlfn._xlws.FILTER($C$4:$C$127,$C$4:$C$127&lt;C54)))</f>
        <v>1</v>
      </c>
      <c r="B54" s="72" t="s">
        <v>64</v>
      </c>
      <c r="C54" s="70">
        <f t="shared" si="1"/>
        <v>0</v>
      </c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</row>
    <row r="55" spans="1:34" x14ac:dyDescent="0.2">
      <c r="A55" s="69" cm="1">
        <f t="array" ref="A55">1+COUNT(_xlfn.UNIQUE(_xlfn._xlws.FILTER($C$4:$C$127,$C$4:$C$127&lt;C55)))</f>
        <v>1</v>
      </c>
      <c r="B55" s="72" t="s">
        <v>110</v>
      </c>
      <c r="C55" s="70">
        <f t="shared" si="1"/>
        <v>0</v>
      </c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</row>
    <row r="56" spans="1:34" x14ac:dyDescent="0.2">
      <c r="A56" s="69" cm="1">
        <f t="array" ref="A56">1+COUNT(_xlfn.UNIQUE(_xlfn._xlws.FILTER($C$4:$C$127,$C$4:$C$127&lt;C56)))</f>
        <v>1</v>
      </c>
      <c r="B56" s="72" t="s">
        <v>92</v>
      </c>
      <c r="C56" s="70">
        <f t="shared" si="1"/>
        <v>0</v>
      </c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</row>
    <row r="57" spans="1:34" x14ac:dyDescent="0.2">
      <c r="A57" s="69" cm="1">
        <f t="array" ref="A57">1+COUNT(_xlfn.UNIQUE(_xlfn._xlws.FILTER($C$4:$C$127,$C$4:$C$127&lt;C57)))</f>
        <v>1</v>
      </c>
      <c r="B57" s="72" t="s">
        <v>70</v>
      </c>
      <c r="C57" s="70">
        <f t="shared" si="1"/>
        <v>0</v>
      </c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</row>
    <row r="58" spans="1:34" x14ac:dyDescent="0.2">
      <c r="A58" s="69" cm="1">
        <f t="array" ref="A58">1+COUNT(_xlfn.UNIQUE(_xlfn._xlws.FILTER($C$4:$C$127,$C$4:$C$127&lt;C58)))</f>
        <v>1</v>
      </c>
      <c r="B58" s="72" t="s">
        <v>116</v>
      </c>
      <c r="C58" s="70">
        <f t="shared" si="1"/>
        <v>0</v>
      </c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</row>
    <row r="59" spans="1:34" x14ac:dyDescent="0.2">
      <c r="A59" s="69" cm="1">
        <f t="array" ref="A59">1+COUNT(_xlfn.UNIQUE(_xlfn._xlws.FILTER($C$4:$C$127,$C$4:$C$127&lt;C59)))</f>
        <v>1</v>
      </c>
      <c r="B59" s="72" t="s">
        <v>36</v>
      </c>
      <c r="C59" s="70">
        <f t="shared" si="1"/>
        <v>0</v>
      </c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</row>
    <row r="60" spans="1:34" x14ac:dyDescent="0.2">
      <c r="A60" s="69" cm="1">
        <f t="array" ref="A60">1+COUNT(_xlfn.UNIQUE(_xlfn._xlws.FILTER($C$4:$C$127,$C$4:$C$127&lt;C60)))</f>
        <v>1</v>
      </c>
      <c r="B60" s="72" t="s">
        <v>78</v>
      </c>
      <c r="C60" s="70">
        <f t="shared" si="1"/>
        <v>0</v>
      </c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</row>
    <row r="61" spans="1:34" x14ac:dyDescent="0.2">
      <c r="A61" s="69" cm="1">
        <f t="array" ref="A61">1+COUNT(_xlfn.UNIQUE(_xlfn._xlws.FILTER($C$4:$C$127,$C$4:$C$127&lt;C61)))</f>
        <v>1</v>
      </c>
      <c r="B61" s="72" t="s">
        <v>119</v>
      </c>
      <c r="C61" s="70">
        <f t="shared" si="1"/>
        <v>0</v>
      </c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</row>
    <row r="62" spans="1:34" x14ac:dyDescent="0.2">
      <c r="A62" s="69" cm="1">
        <f t="array" ref="A62">1+COUNT(_xlfn.UNIQUE(_xlfn._xlws.FILTER($C$4:$C$127,$C$4:$C$127&lt;C62)))</f>
        <v>1</v>
      </c>
      <c r="B62" s="72" t="s">
        <v>0</v>
      </c>
      <c r="C62" s="70">
        <f t="shared" si="1"/>
        <v>0</v>
      </c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</row>
    <row r="63" spans="1:34" x14ac:dyDescent="0.2">
      <c r="A63" s="69" cm="1">
        <f t="array" ref="A63">1+COUNT(_xlfn.UNIQUE(_xlfn._xlws.FILTER($C$4:$C$127,$C$4:$C$127&lt;C63)))</f>
        <v>1</v>
      </c>
      <c r="B63" s="72" t="s">
        <v>21</v>
      </c>
      <c r="C63" s="70">
        <f t="shared" si="1"/>
        <v>0</v>
      </c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</row>
    <row r="64" spans="1:34" x14ac:dyDescent="0.2">
      <c r="A64" s="69" cm="1">
        <f t="array" ref="A64">1+COUNT(_xlfn.UNIQUE(_xlfn._xlws.FILTER($C$4:$C$127,$C$4:$C$127&lt;C64)))</f>
        <v>1</v>
      </c>
      <c r="B64" s="72" t="s">
        <v>102</v>
      </c>
      <c r="C64" s="70">
        <f t="shared" si="1"/>
        <v>0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</row>
    <row r="65" spans="1:34" x14ac:dyDescent="0.2">
      <c r="A65" s="69" cm="1">
        <f t="array" ref="A65">1+COUNT(_xlfn.UNIQUE(_xlfn._xlws.FILTER($C$4:$C$127,$C$4:$C$127&lt;C65)))</f>
        <v>1</v>
      </c>
      <c r="B65" s="72" t="s">
        <v>38</v>
      </c>
      <c r="C65" s="70">
        <f t="shared" si="1"/>
        <v>0</v>
      </c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</row>
    <row r="66" spans="1:34" x14ac:dyDescent="0.2">
      <c r="A66" s="69" cm="1">
        <f t="array" ref="A66">1+COUNT(_xlfn.UNIQUE(_xlfn._xlws.FILTER($C$4:$C$127,$C$4:$C$127&lt;C66)))</f>
        <v>1</v>
      </c>
      <c r="B66" s="72" t="s">
        <v>93</v>
      </c>
      <c r="C66" s="70">
        <f t="shared" si="1"/>
        <v>0</v>
      </c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</row>
    <row r="67" spans="1:34" x14ac:dyDescent="0.2">
      <c r="A67" s="69" cm="1">
        <f t="array" ref="A67">1+COUNT(_xlfn.UNIQUE(_xlfn._xlws.FILTER($C$4:$C$127,$C$4:$C$127&lt;C67)))</f>
        <v>1</v>
      </c>
      <c r="B67" s="72" t="s">
        <v>65</v>
      </c>
      <c r="C67" s="70">
        <f t="shared" si="1"/>
        <v>0</v>
      </c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</row>
    <row r="68" spans="1:34" x14ac:dyDescent="0.2">
      <c r="A68" s="69" cm="1">
        <f t="array" ref="A68">1+COUNT(_xlfn.UNIQUE(_xlfn._xlws.FILTER($C$4:$C$127,$C$4:$C$127&lt;C68)))</f>
        <v>1</v>
      </c>
      <c r="B68" s="72" t="s">
        <v>35</v>
      </c>
      <c r="C68" s="70">
        <f t="shared" ref="C68:C99" si="2">SUM(D68:AH68)</f>
        <v>0</v>
      </c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</row>
    <row r="69" spans="1:34" x14ac:dyDescent="0.2">
      <c r="A69" s="69" cm="1">
        <f t="array" ref="A69">1+COUNT(_xlfn.UNIQUE(_xlfn._xlws.FILTER($C$4:$C$127,$C$4:$C$127&lt;C69)))</f>
        <v>1</v>
      </c>
      <c r="B69" s="72" t="s">
        <v>39</v>
      </c>
      <c r="C69" s="70">
        <f t="shared" si="2"/>
        <v>0</v>
      </c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</row>
    <row r="70" spans="1:34" x14ac:dyDescent="0.2">
      <c r="A70" s="69" cm="1">
        <f t="array" ref="A70">1+COUNT(_xlfn.UNIQUE(_xlfn._xlws.FILTER($C$4:$C$127,$C$4:$C$127&lt;C70)))</f>
        <v>1</v>
      </c>
      <c r="B70" s="72" t="s">
        <v>49</v>
      </c>
      <c r="C70" s="70">
        <f t="shared" si="2"/>
        <v>0</v>
      </c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</row>
    <row r="71" spans="1:34" x14ac:dyDescent="0.2">
      <c r="A71" s="69" cm="1">
        <f t="array" ref="A71">1+COUNT(_xlfn.UNIQUE(_xlfn._xlws.FILTER($C$4:$C$127,$C$4:$C$127&lt;C71)))</f>
        <v>1</v>
      </c>
      <c r="B71" s="72" t="s">
        <v>71</v>
      </c>
      <c r="C71" s="70">
        <f t="shared" si="2"/>
        <v>0</v>
      </c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</row>
    <row r="72" spans="1:34" x14ac:dyDescent="0.2">
      <c r="A72" s="69" cm="1">
        <f t="array" ref="A72">1+COUNT(_xlfn.UNIQUE(_xlfn._xlws.FILTER($C$4:$C$127,$C$4:$C$127&lt;C72)))</f>
        <v>1</v>
      </c>
      <c r="B72" s="72" t="s">
        <v>3</v>
      </c>
      <c r="C72" s="70">
        <f t="shared" si="2"/>
        <v>0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</row>
    <row r="73" spans="1:34" x14ac:dyDescent="0.2">
      <c r="A73" s="69" cm="1">
        <f t="array" ref="A73">1+COUNT(_xlfn.UNIQUE(_xlfn._xlws.FILTER($C$4:$C$127,$C$4:$C$127&lt;C73)))</f>
        <v>1</v>
      </c>
      <c r="B73" s="72" t="s">
        <v>56</v>
      </c>
      <c r="C73" s="70">
        <f t="shared" si="2"/>
        <v>0</v>
      </c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</row>
    <row r="74" spans="1:34" x14ac:dyDescent="0.2">
      <c r="A74" s="69" cm="1">
        <f t="array" ref="A74">1+COUNT(_xlfn.UNIQUE(_xlfn._xlws.FILTER($C$4:$C$127,$C$4:$C$127&lt;C74)))</f>
        <v>1</v>
      </c>
      <c r="B74" s="72" t="s">
        <v>26</v>
      </c>
      <c r="C74" s="70">
        <f t="shared" si="2"/>
        <v>0</v>
      </c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</row>
    <row r="75" spans="1:34" x14ac:dyDescent="0.2">
      <c r="A75" s="69" cm="1">
        <f t="array" ref="A75">1+COUNT(_xlfn.UNIQUE(_xlfn._xlws.FILTER($C$4:$C$127,$C$4:$C$127&lt;C75)))</f>
        <v>1</v>
      </c>
      <c r="B75" s="72" t="s">
        <v>33</v>
      </c>
      <c r="C75" s="70">
        <f t="shared" si="2"/>
        <v>0</v>
      </c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</row>
    <row r="76" spans="1:34" x14ac:dyDescent="0.2">
      <c r="A76" s="69" cm="1">
        <f t="array" ref="A76">1+COUNT(_xlfn.UNIQUE(_xlfn._xlws.FILTER($C$4:$C$127,$C$4:$C$127&lt;C76)))</f>
        <v>1</v>
      </c>
      <c r="B76" s="72" t="s">
        <v>89</v>
      </c>
      <c r="C76" s="70">
        <f t="shared" si="2"/>
        <v>0</v>
      </c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</row>
    <row r="77" spans="1:34" x14ac:dyDescent="0.2">
      <c r="A77" s="69" cm="1">
        <f t="array" ref="A77">1+COUNT(_xlfn.UNIQUE(_xlfn._xlws.FILTER($C$4:$C$127,$C$4:$C$127&lt;C77)))</f>
        <v>1</v>
      </c>
      <c r="B77" s="72" t="s">
        <v>112</v>
      </c>
      <c r="C77" s="70">
        <f t="shared" si="2"/>
        <v>0</v>
      </c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</row>
    <row r="78" spans="1:34" x14ac:dyDescent="0.2">
      <c r="A78" s="69" cm="1">
        <f t="array" ref="A78">1+COUNT(_xlfn.UNIQUE(_xlfn._xlws.FILTER($C$4:$C$127,$C$4:$C$127&lt;C78)))</f>
        <v>1</v>
      </c>
      <c r="B78" s="72" t="s">
        <v>123</v>
      </c>
      <c r="C78" s="70">
        <f t="shared" si="2"/>
        <v>0</v>
      </c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</row>
    <row r="79" spans="1:34" x14ac:dyDescent="0.2">
      <c r="A79" s="69" cm="1">
        <f t="array" ref="A79">1+COUNT(_xlfn.UNIQUE(_xlfn._xlws.FILTER($C$4:$C$127,$C$4:$C$127&lt;C79)))</f>
        <v>1</v>
      </c>
      <c r="B79" s="72" t="s">
        <v>79</v>
      </c>
      <c r="C79" s="70">
        <f t="shared" si="2"/>
        <v>0</v>
      </c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</row>
    <row r="80" spans="1:34" x14ac:dyDescent="0.2">
      <c r="A80" s="69" cm="1">
        <f t="array" ref="A80">1+COUNT(_xlfn.UNIQUE(_xlfn._xlws.FILTER($C$4:$C$127,$C$4:$C$127&lt;C80)))</f>
        <v>1</v>
      </c>
      <c r="B80" s="72" t="s">
        <v>104</v>
      </c>
      <c r="C80" s="70">
        <f t="shared" si="2"/>
        <v>0</v>
      </c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</row>
    <row r="81" spans="1:34" x14ac:dyDescent="0.2">
      <c r="A81" s="69" cm="1">
        <f t="array" ref="A81">1+COUNT(_xlfn.UNIQUE(_xlfn._xlws.FILTER($C$4:$C$127,$C$4:$C$127&lt;C81)))</f>
        <v>1</v>
      </c>
      <c r="B81" s="72" t="s">
        <v>106</v>
      </c>
      <c r="C81" s="70">
        <f t="shared" si="2"/>
        <v>0</v>
      </c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</row>
    <row r="82" spans="1:34" x14ac:dyDescent="0.2">
      <c r="A82" s="69" cm="1">
        <f t="array" ref="A82">1+COUNT(_xlfn.UNIQUE(_xlfn._xlws.FILTER($C$4:$C$127,$C$4:$C$127&lt;C82)))</f>
        <v>1</v>
      </c>
      <c r="B82" s="72" t="s">
        <v>7</v>
      </c>
      <c r="C82" s="70">
        <f t="shared" si="2"/>
        <v>0</v>
      </c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</row>
    <row r="83" spans="1:34" x14ac:dyDescent="0.2">
      <c r="A83" s="69" cm="1">
        <f t="array" ref="A83">1+COUNT(_xlfn.UNIQUE(_xlfn._xlws.FILTER($C$4:$C$127,$C$4:$C$127&lt;C83)))</f>
        <v>1</v>
      </c>
      <c r="B83" s="72" t="s">
        <v>95</v>
      </c>
      <c r="C83" s="70">
        <f t="shared" si="2"/>
        <v>0</v>
      </c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</row>
    <row r="84" spans="1:34" x14ac:dyDescent="0.2">
      <c r="A84" s="69" cm="1">
        <f t="array" ref="A84">1+COUNT(_xlfn.UNIQUE(_xlfn._xlws.FILTER($C$4:$C$127,$C$4:$C$127&lt;C84)))</f>
        <v>1</v>
      </c>
      <c r="B84" s="72" t="s">
        <v>80</v>
      </c>
      <c r="C84" s="70">
        <f t="shared" si="2"/>
        <v>0</v>
      </c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</row>
    <row r="85" spans="1:34" x14ac:dyDescent="0.2">
      <c r="A85" s="69" cm="1">
        <f t="array" ref="A85">1+COUNT(_xlfn.UNIQUE(_xlfn._xlws.FILTER($C$4:$C$127,$C$4:$C$127&lt;C85)))</f>
        <v>1</v>
      </c>
      <c r="B85" s="72" t="s">
        <v>82</v>
      </c>
      <c r="C85" s="70">
        <f t="shared" si="2"/>
        <v>0</v>
      </c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</row>
    <row r="86" spans="1:34" x14ac:dyDescent="0.2">
      <c r="A86" s="69" cm="1">
        <f t="array" ref="A86">1+COUNT(_xlfn.UNIQUE(_xlfn._xlws.FILTER($C$4:$C$127,$C$4:$C$127&lt;C86)))</f>
        <v>1</v>
      </c>
      <c r="B86" s="72" t="s">
        <v>47</v>
      </c>
      <c r="C86" s="70">
        <f t="shared" si="2"/>
        <v>0</v>
      </c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</row>
    <row r="87" spans="1:34" x14ac:dyDescent="0.2">
      <c r="A87" s="69" cm="1">
        <f t="array" ref="A87">1+COUNT(_xlfn.UNIQUE(_xlfn._xlws.FILTER($C$4:$C$127,$C$4:$C$127&lt;C87)))</f>
        <v>1</v>
      </c>
      <c r="B87" s="72" t="s">
        <v>28</v>
      </c>
      <c r="C87" s="70">
        <f t="shared" si="2"/>
        <v>0</v>
      </c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</row>
    <row r="88" spans="1:34" x14ac:dyDescent="0.2">
      <c r="A88" s="69" cm="1">
        <f t="array" ref="A88">1+COUNT(_xlfn.UNIQUE(_xlfn._xlws.FILTER($C$4:$C$127,$C$4:$C$127&lt;C88)))</f>
        <v>1</v>
      </c>
      <c r="B88" s="72" t="s">
        <v>97</v>
      </c>
      <c r="C88" s="70">
        <f t="shared" si="2"/>
        <v>0</v>
      </c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</row>
    <row r="89" spans="1:34" x14ac:dyDescent="0.2">
      <c r="A89" s="69" cm="1">
        <f t="array" ref="A89">1+COUNT(_xlfn.UNIQUE(_xlfn._xlws.FILTER($C$4:$C$127,$C$4:$C$127&lt;C89)))</f>
        <v>1</v>
      </c>
      <c r="B89" s="72" t="s">
        <v>76</v>
      </c>
      <c r="C89" s="70">
        <f t="shared" si="2"/>
        <v>0</v>
      </c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</row>
    <row r="90" spans="1:34" x14ac:dyDescent="0.2">
      <c r="A90" s="69" cm="1">
        <f t="array" ref="A90">1+COUNT(_xlfn.UNIQUE(_xlfn._xlws.FILTER($C$4:$C$127,$C$4:$C$127&lt;C90)))</f>
        <v>1</v>
      </c>
      <c r="B90" s="72" t="s">
        <v>73</v>
      </c>
      <c r="C90" s="70">
        <f t="shared" si="2"/>
        <v>0</v>
      </c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</row>
    <row r="91" spans="1:34" x14ac:dyDescent="0.2">
      <c r="A91" s="69" cm="1">
        <f t="array" ref="A91">1+COUNT(_xlfn.UNIQUE(_xlfn._xlws.FILTER($C$4:$C$127,$C$4:$C$127&lt;C91)))</f>
        <v>1</v>
      </c>
      <c r="B91" s="72" t="s">
        <v>23</v>
      </c>
      <c r="C91" s="70">
        <f t="shared" si="2"/>
        <v>0</v>
      </c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</row>
    <row r="92" spans="1:34" x14ac:dyDescent="0.2">
      <c r="A92" s="69" cm="1">
        <f t="array" ref="A92">1+COUNT(_xlfn.UNIQUE(_xlfn._xlws.FILTER($C$4:$C$127,$C$4:$C$127&lt;C92)))</f>
        <v>1</v>
      </c>
      <c r="B92" s="72" t="s">
        <v>60</v>
      </c>
      <c r="C92" s="70">
        <f t="shared" si="2"/>
        <v>0</v>
      </c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</row>
    <row r="93" spans="1:34" x14ac:dyDescent="0.2">
      <c r="A93" s="69" cm="1">
        <f t="array" ref="A93">1+COUNT(_xlfn.UNIQUE(_xlfn._xlws.FILTER($C$4:$C$127,$C$4:$C$127&lt;C93)))</f>
        <v>1</v>
      </c>
      <c r="B93" s="72" t="s">
        <v>44</v>
      </c>
      <c r="C93" s="70">
        <f t="shared" si="2"/>
        <v>0</v>
      </c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</row>
    <row r="94" spans="1:34" x14ac:dyDescent="0.2">
      <c r="A94" s="69" cm="1">
        <f t="array" ref="A94">1+COUNT(_xlfn.UNIQUE(_xlfn._xlws.FILTER($C$4:$C$127,$C$4:$C$127&lt;C94)))</f>
        <v>1</v>
      </c>
      <c r="B94" s="72" t="s">
        <v>91</v>
      </c>
      <c r="C94" s="70">
        <f t="shared" si="2"/>
        <v>0</v>
      </c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</row>
    <row r="95" spans="1:34" x14ac:dyDescent="0.2">
      <c r="A95" s="69" cm="1">
        <f t="array" ref="A95">1+COUNT(_xlfn.UNIQUE(_xlfn._xlws.FILTER($C$4:$C$127,$C$4:$C$127&lt;C95)))</f>
        <v>1</v>
      </c>
      <c r="B95" s="72" t="s">
        <v>10</v>
      </c>
      <c r="C95" s="70">
        <f t="shared" si="2"/>
        <v>0</v>
      </c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</row>
    <row r="96" spans="1:34" x14ac:dyDescent="0.2">
      <c r="A96" s="69" cm="1">
        <f t="array" ref="A96">1+COUNT(_xlfn.UNIQUE(_xlfn._xlws.FILTER($C$4:$C$127,$C$4:$C$127&lt;C96)))</f>
        <v>1</v>
      </c>
      <c r="B96" s="72" t="s">
        <v>32</v>
      </c>
      <c r="C96" s="70">
        <f t="shared" si="2"/>
        <v>0</v>
      </c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</row>
    <row r="97" spans="1:34" x14ac:dyDescent="0.2">
      <c r="A97" s="69" cm="1">
        <f t="array" ref="A97">1+COUNT(_xlfn.UNIQUE(_xlfn._xlws.FILTER($C$4:$C$127,$C$4:$C$127&lt;C97)))</f>
        <v>1</v>
      </c>
      <c r="B97" s="72" t="s">
        <v>42</v>
      </c>
      <c r="C97" s="70">
        <f t="shared" si="2"/>
        <v>0</v>
      </c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</row>
    <row r="98" spans="1:34" x14ac:dyDescent="0.2">
      <c r="A98" s="69" cm="1">
        <f t="array" ref="A98">1+COUNT(_xlfn.UNIQUE(_xlfn._xlws.FILTER($C$4:$C$127,$C$4:$C$127&lt;C98)))</f>
        <v>1</v>
      </c>
      <c r="B98" s="72" t="s">
        <v>31</v>
      </c>
      <c r="C98" s="70">
        <f t="shared" si="2"/>
        <v>0</v>
      </c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</row>
    <row r="99" spans="1:34" x14ac:dyDescent="0.2">
      <c r="A99" s="69" cm="1">
        <f t="array" ref="A99">1+COUNT(_xlfn.UNIQUE(_xlfn._xlws.FILTER($C$4:$C$127,$C$4:$C$127&lt;C99)))</f>
        <v>1</v>
      </c>
      <c r="B99" s="72" t="s">
        <v>16</v>
      </c>
      <c r="C99" s="70">
        <f t="shared" si="2"/>
        <v>0</v>
      </c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</row>
    <row r="100" spans="1:34" x14ac:dyDescent="0.2">
      <c r="A100" s="69" cm="1">
        <f t="array" ref="A100">1+COUNT(_xlfn.UNIQUE(_xlfn._xlws.FILTER($C$4:$C$127,$C$4:$C$127&lt;C100)))</f>
        <v>1</v>
      </c>
      <c r="B100" s="72" t="s">
        <v>72</v>
      </c>
      <c r="C100" s="70">
        <f t="shared" ref="C100:C127" si="3">SUM(D100:AH100)</f>
        <v>0</v>
      </c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</row>
    <row r="101" spans="1:34" x14ac:dyDescent="0.2">
      <c r="A101" s="69" cm="1">
        <f t="array" ref="A101">1+COUNT(_xlfn.UNIQUE(_xlfn._xlws.FILTER($C$4:$C$127,$C$4:$C$127&lt;C101)))</f>
        <v>1</v>
      </c>
      <c r="B101" s="72" t="s">
        <v>52</v>
      </c>
      <c r="C101" s="70">
        <f t="shared" si="3"/>
        <v>0</v>
      </c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</row>
    <row r="102" spans="1:34" x14ac:dyDescent="0.2">
      <c r="A102" s="69" cm="1">
        <f t="array" ref="A102">1+COUNT(_xlfn.UNIQUE(_xlfn._xlws.FILTER($C$4:$C$127,$C$4:$C$127&lt;C102)))</f>
        <v>1</v>
      </c>
      <c r="B102" s="72" t="s">
        <v>9</v>
      </c>
      <c r="C102" s="70">
        <f t="shared" si="3"/>
        <v>0</v>
      </c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</row>
    <row r="103" spans="1:34" x14ac:dyDescent="0.2">
      <c r="A103" s="69" cm="1">
        <f t="array" ref="A103">1+COUNT(_xlfn.UNIQUE(_xlfn._xlws.FILTER($C$4:$C$127,$C$4:$C$127&lt;C103)))</f>
        <v>1</v>
      </c>
      <c r="B103" s="72" t="s">
        <v>117</v>
      </c>
      <c r="C103" s="70">
        <f t="shared" si="3"/>
        <v>0</v>
      </c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</row>
    <row r="104" spans="1:34" x14ac:dyDescent="0.2">
      <c r="A104" s="69" cm="1">
        <f t="array" ref="A104">1+COUNT(_xlfn.UNIQUE(_xlfn._xlws.FILTER($C$4:$C$127,$C$4:$C$127&lt;C104)))</f>
        <v>1</v>
      </c>
      <c r="B104" s="72" t="s">
        <v>45</v>
      </c>
      <c r="C104" s="70">
        <f t="shared" si="3"/>
        <v>0</v>
      </c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</row>
    <row r="105" spans="1:34" x14ac:dyDescent="0.2">
      <c r="A105" s="69" cm="1">
        <f t="array" ref="A105">1+COUNT(_xlfn.UNIQUE(_xlfn._xlws.FILTER($C$4:$C$127,$C$4:$C$127&lt;C105)))</f>
        <v>1</v>
      </c>
      <c r="B105" s="72" t="s">
        <v>51</v>
      </c>
      <c r="C105" s="70">
        <f t="shared" si="3"/>
        <v>0</v>
      </c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</row>
    <row r="106" spans="1:34" x14ac:dyDescent="0.2">
      <c r="A106" s="69" cm="1">
        <f t="array" ref="A106">1+COUNT(_xlfn.UNIQUE(_xlfn._xlws.FILTER($C$4:$C$127,$C$4:$C$127&lt;C106)))</f>
        <v>1</v>
      </c>
      <c r="B106" s="72" t="s">
        <v>86</v>
      </c>
      <c r="C106" s="70">
        <f t="shared" si="3"/>
        <v>0</v>
      </c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</row>
    <row r="107" spans="1:34" x14ac:dyDescent="0.2">
      <c r="A107" s="69" cm="1">
        <f t="array" ref="A107">1+COUNT(_xlfn.UNIQUE(_xlfn._xlws.FILTER($C$4:$C$127,$C$4:$C$127&lt;C107)))</f>
        <v>1</v>
      </c>
      <c r="B107" s="72" t="s">
        <v>100</v>
      </c>
      <c r="C107" s="70">
        <f t="shared" si="3"/>
        <v>0</v>
      </c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</row>
    <row r="108" spans="1:34" x14ac:dyDescent="0.2">
      <c r="A108" s="69" cm="1">
        <f t="array" ref="A108">1+COUNT(_xlfn.UNIQUE(_xlfn._xlws.FILTER($C$4:$C$127,$C$4:$C$127&lt;C108)))</f>
        <v>1</v>
      </c>
      <c r="B108" s="72" t="s">
        <v>103</v>
      </c>
      <c r="C108" s="70">
        <f t="shared" si="3"/>
        <v>0</v>
      </c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</row>
    <row r="109" spans="1:34" x14ac:dyDescent="0.2">
      <c r="A109" s="69" cm="1">
        <f t="array" ref="A109">1+COUNT(_xlfn.UNIQUE(_xlfn._xlws.FILTER($C$4:$C$127,$C$4:$C$127&lt;C109)))</f>
        <v>1</v>
      </c>
      <c r="B109" s="72" t="s">
        <v>115</v>
      </c>
      <c r="C109" s="70">
        <f t="shared" si="3"/>
        <v>0</v>
      </c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</row>
    <row r="110" spans="1:34" x14ac:dyDescent="0.2">
      <c r="A110" s="69" cm="1">
        <f t="array" ref="A110">1+COUNT(_xlfn.UNIQUE(_xlfn._xlws.FILTER($C$4:$C$127,$C$4:$C$127&lt;C110)))</f>
        <v>1</v>
      </c>
      <c r="B110" s="72" t="s">
        <v>14</v>
      </c>
      <c r="C110" s="70">
        <f t="shared" si="3"/>
        <v>0</v>
      </c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</row>
    <row r="111" spans="1:34" x14ac:dyDescent="0.2">
      <c r="A111" s="69" cm="1">
        <f t="array" ref="A111">1+COUNT(_xlfn.UNIQUE(_xlfn._xlws.FILTER($C$4:$C$127,$C$4:$C$127&lt;C111)))</f>
        <v>1</v>
      </c>
      <c r="B111" s="72" t="s">
        <v>84</v>
      </c>
      <c r="C111" s="70">
        <f t="shared" si="3"/>
        <v>0</v>
      </c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</row>
    <row r="112" spans="1:34" x14ac:dyDescent="0.2">
      <c r="A112" s="69" cm="1">
        <f t="array" ref="A112">1+COUNT(_xlfn.UNIQUE(_xlfn._xlws.FILTER($C$4:$C$127,$C$4:$C$127&lt;C112)))</f>
        <v>1</v>
      </c>
      <c r="B112" s="72" t="s">
        <v>101</v>
      </c>
      <c r="C112" s="70">
        <f t="shared" si="3"/>
        <v>0</v>
      </c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</row>
    <row r="113" spans="1:34" x14ac:dyDescent="0.2">
      <c r="A113" s="69" cm="1">
        <f t="array" ref="A113">1+COUNT(_xlfn.UNIQUE(_xlfn._xlws.FILTER($C$4:$C$127,$C$4:$C$127&lt;C113)))</f>
        <v>1</v>
      </c>
      <c r="B113" s="72" t="s">
        <v>55</v>
      </c>
      <c r="C113" s="70">
        <f t="shared" si="3"/>
        <v>0</v>
      </c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</row>
    <row r="114" spans="1:34" x14ac:dyDescent="0.2">
      <c r="A114" s="69" cm="1">
        <f t="array" ref="A114">1+COUNT(_xlfn.UNIQUE(_xlfn._xlws.FILTER($C$4:$C$127,$C$4:$C$127&lt;C114)))</f>
        <v>1</v>
      </c>
      <c r="B114" s="72" t="s">
        <v>48</v>
      </c>
      <c r="C114" s="70">
        <f t="shared" si="3"/>
        <v>0</v>
      </c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</row>
    <row r="115" spans="1:34" x14ac:dyDescent="0.2">
      <c r="A115" s="69" cm="1">
        <f t="array" ref="A115">1+COUNT(_xlfn.UNIQUE(_xlfn._xlws.FILTER($C$4:$C$127,$C$4:$C$127&lt;C115)))</f>
        <v>1</v>
      </c>
      <c r="B115" s="72" t="s">
        <v>12</v>
      </c>
      <c r="C115" s="70">
        <f t="shared" si="3"/>
        <v>0</v>
      </c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</row>
    <row r="116" spans="1:34" x14ac:dyDescent="0.2">
      <c r="A116" s="69" cm="1">
        <f t="array" ref="A116">1+COUNT(_xlfn.UNIQUE(_xlfn._xlws.FILTER($C$4:$C$127,$C$4:$C$127&lt;C116)))</f>
        <v>1</v>
      </c>
      <c r="B116" s="72" t="s">
        <v>61</v>
      </c>
      <c r="C116" s="70">
        <f t="shared" si="3"/>
        <v>0</v>
      </c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</row>
    <row r="117" spans="1:34" x14ac:dyDescent="0.2">
      <c r="A117" s="69" cm="1">
        <f t="array" ref="A117">1+COUNT(_xlfn.UNIQUE(_xlfn._xlws.FILTER($C$4:$C$127,$C$4:$C$127&lt;C117)))</f>
        <v>1</v>
      </c>
      <c r="B117" s="72" t="s">
        <v>113</v>
      </c>
      <c r="C117" s="70">
        <f t="shared" si="3"/>
        <v>0</v>
      </c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</row>
    <row r="118" spans="1:34" x14ac:dyDescent="0.2">
      <c r="A118" s="69" cm="1">
        <f t="array" ref="A118">1+COUNT(_xlfn.UNIQUE(_xlfn._xlws.FILTER($C$4:$C$127,$C$4:$C$127&lt;C118)))</f>
        <v>1</v>
      </c>
      <c r="B118" s="72" t="s">
        <v>13</v>
      </c>
      <c r="C118" s="70">
        <f t="shared" si="3"/>
        <v>0</v>
      </c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</row>
    <row r="119" spans="1:34" x14ac:dyDescent="0.2">
      <c r="A119" s="69" cm="1">
        <f t="array" ref="A119">1+COUNT(_xlfn.UNIQUE(_xlfn._xlws.FILTER($C$4:$C$127,$C$4:$C$127&lt;C119)))</f>
        <v>1</v>
      </c>
      <c r="B119" s="72" t="s">
        <v>66</v>
      </c>
      <c r="C119" s="70">
        <f t="shared" si="3"/>
        <v>0</v>
      </c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</row>
    <row r="120" spans="1:34" x14ac:dyDescent="0.2">
      <c r="A120" s="69" cm="1">
        <f t="array" ref="A120">1+COUNT(_xlfn.UNIQUE(_xlfn._xlws.FILTER($C$4:$C$127,$C$4:$C$127&lt;C120)))</f>
        <v>1</v>
      </c>
      <c r="B120" s="72" t="s">
        <v>98</v>
      </c>
      <c r="C120" s="70">
        <f t="shared" si="3"/>
        <v>0</v>
      </c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</row>
    <row r="121" spans="1:34" x14ac:dyDescent="0.2">
      <c r="A121" s="69" cm="1">
        <f t="array" ref="A121">1+COUNT(_xlfn.UNIQUE(_xlfn._xlws.FILTER($C$4:$C$127,$C$4:$C$127&lt;C121)))</f>
        <v>1</v>
      </c>
      <c r="B121" s="72" t="s">
        <v>75</v>
      </c>
      <c r="C121" s="70">
        <f t="shared" si="3"/>
        <v>0</v>
      </c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</row>
    <row r="122" spans="1:34" x14ac:dyDescent="0.2">
      <c r="A122" s="69" cm="1">
        <f t="array" ref="A122">1+COUNT(_xlfn.UNIQUE(_xlfn._xlws.FILTER($C$4:$C$127,$C$4:$C$127&lt;C122)))</f>
        <v>1</v>
      </c>
      <c r="B122" s="72" t="s">
        <v>88</v>
      </c>
      <c r="C122" s="70">
        <f t="shared" si="3"/>
        <v>0</v>
      </c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</row>
    <row r="123" spans="1:34" x14ac:dyDescent="0.2">
      <c r="A123" s="69" cm="1">
        <f t="array" ref="A123">1+COUNT(_xlfn.UNIQUE(_xlfn._xlws.FILTER($C$4:$C$127,$C$4:$C$127&lt;C123)))</f>
        <v>1</v>
      </c>
      <c r="B123" s="72" t="s">
        <v>41</v>
      </c>
      <c r="C123" s="70">
        <f t="shared" si="3"/>
        <v>0</v>
      </c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</row>
    <row r="124" spans="1:34" x14ac:dyDescent="0.2">
      <c r="A124" s="69" cm="1">
        <f t="array" ref="A124">1+COUNT(_xlfn.UNIQUE(_xlfn._xlws.FILTER($C$4:$C$127,$C$4:$C$127&lt;C124)))</f>
        <v>1</v>
      </c>
      <c r="B124" s="72" t="s">
        <v>53</v>
      </c>
      <c r="C124" s="70">
        <f t="shared" si="3"/>
        <v>0</v>
      </c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</row>
    <row r="125" spans="1:34" x14ac:dyDescent="0.2">
      <c r="A125" s="69" cm="1">
        <f t="array" ref="A125">1+COUNT(_xlfn.UNIQUE(_xlfn._xlws.FILTER($C$4:$C$127,$C$4:$C$127&lt;C125)))</f>
        <v>1</v>
      </c>
      <c r="B125" s="72" t="s">
        <v>1</v>
      </c>
      <c r="C125" s="70">
        <f t="shared" si="3"/>
        <v>0</v>
      </c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</row>
    <row r="126" spans="1:34" x14ac:dyDescent="0.2">
      <c r="A126" s="69" cm="1">
        <f t="array" ref="A126">1+COUNT(_xlfn.UNIQUE(_xlfn._xlws.FILTER($C$4:$C$127,$C$4:$C$127&lt;C126)))</f>
        <v>1</v>
      </c>
      <c r="B126" s="72" t="s">
        <v>25</v>
      </c>
      <c r="C126" s="70">
        <f t="shared" si="3"/>
        <v>0</v>
      </c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</row>
    <row r="127" spans="1:34" x14ac:dyDescent="0.2">
      <c r="A127" s="69" cm="1">
        <f t="array" ref="A127">1+COUNT(_xlfn.UNIQUE(_xlfn._xlws.FILTER($C$4:$C$127,$C$4:$C$127&lt;C127)))</f>
        <v>1</v>
      </c>
      <c r="B127" s="72" t="s">
        <v>121</v>
      </c>
      <c r="C127" s="70">
        <f t="shared" si="3"/>
        <v>0</v>
      </c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</row>
  </sheetData>
  <mergeCells count="3">
    <mergeCell ref="A1:C1"/>
    <mergeCell ref="D1:Y1"/>
    <mergeCell ref="Z1:AH1"/>
  </mergeCells>
  <phoneticPr fontId="8" type="noConversion"/>
  <pageMargins left="0.7" right="0.7" top="0.75" bottom="0.75" header="0.3" footer="0.3"/>
  <pageSetup paperSize="9" scale="53" fitToHeight="4" orientation="landscape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8B97-0AD1-A94F-AD2A-8C0B3A109179}">
  <dimension ref="A1:H127"/>
  <sheetViews>
    <sheetView workbookViewId="0">
      <selection sqref="A1:XFD1048576"/>
    </sheetView>
  </sheetViews>
  <sheetFormatPr defaultColWidth="10.85546875" defaultRowHeight="15.75" x14ac:dyDescent="0.25"/>
  <cols>
    <col min="1" max="1" width="10.85546875" style="47"/>
    <col min="2" max="2" width="32" style="47" customWidth="1"/>
    <col min="3" max="3" width="13.42578125" style="47" customWidth="1"/>
    <col min="4" max="16384" width="10.85546875" style="47"/>
  </cols>
  <sheetData>
    <row r="1" spans="1:8" x14ac:dyDescent="0.25">
      <c r="A1" s="135" t="s">
        <v>231</v>
      </c>
      <c r="B1" s="135"/>
      <c r="C1" s="135"/>
      <c r="D1" s="135"/>
      <c r="E1" s="135"/>
      <c r="F1" s="135"/>
      <c r="G1" s="135"/>
      <c r="H1" s="135"/>
    </row>
    <row r="2" spans="1:8" ht="60" customHeight="1" x14ac:dyDescent="0.25">
      <c r="A2" s="23" t="s">
        <v>129</v>
      </c>
      <c r="B2" s="107" t="s">
        <v>221</v>
      </c>
      <c r="C2" s="66" t="s">
        <v>241</v>
      </c>
      <c r="D2" s="66" t="s">
        <v>239</v>
      </c>
      <c r="E2" s="66" t="s">
        <v>238</v>
      </c>
      <c r="F2" s="66" t="s">
        <v>239</v>
      </c>
      <c r="G2" s="66" t="s">
        <v>240</v>
      </c>
      <c r="H2" s="24" t="s">
        <v>239</v>
      </c>
    </row>
    <row r="3" spans="1:8" x14ac:dyDescent="0.25">
      <c r="A3" s="57"/>
      <c r="B3" s="90" t="s">
        <v>124</v>
      </c>
      <c r="C3" s="91"/>
      <c r="D3" s="108"/>
      <c r="E3" s="106"/>
      <c r="F3" s="92"/>
      <c r="G3" s="92"/>
      <c r="H3" s="109"/>
    </row>
    <row r="4" spans="1:8" x14ac:dyDescent="0.25">
      <c r="A4" s="27">
        <v>1</v>
      </c>
      <c r="B4" s="95" t="s">
        <v>24</v>
      </c>
      <c r="C4" s="96"/>
      <c r="D4" s="97"/>
      <c r="E4" s="98"/>
      <c r="F4" s="99"/>
      <c r="G4" s="110"/>
      <c r="H4" s="111"/>
    </row>
    <row r="5" spans="1:8" x14ac:dyDescent="0.25">
      <c r="A5" s="102">
        <v>1</v>
      </c>
      <c r="B5" s="95" t="s">
        <v>17</v>
      </c>
      <c r="C5" s="96"/>
      <c r="D5" s="97"/>
      <c r="E5" s="98"/>
      <c r="F5" s="99"/>
      <c r="G5" s="110"/>
      <c r="H5" s="111"/>
    </row>
    <row r="6" spans="1:8" x14ac:dyDescent="0.25">
      <c r="A6" s="102">
        <v>1</v>
      </c>
      <c r="B6" s="95" t="s">
        <v>5</v>
      </c>
      <c r="C6" s="96"/>
      <c r="D6" s="97"/>
      <c r="E6" s="98"/>
      <c r="F6" s="99"/>
      <c r="G6" s="110"/>
      <c r="H6" s="111"/>
    </row>
    <row r="7" spans="1:8" x14ac:dyDescent="0.25">
      <c r="A7" s="102">
        <v>1</v>
      </c>
      <c r="B7" s="95" t="s">
        <v>2</v>
      </c>
      <c r="C7" s="96"/>
      <c r="D7" s="97"/>
      <c r="E7" s="98"/>
      <c r="F7" s="99"/>
      <c r="G7" s="110"/>
      <c r="H7" s="111"/>
    </row>
    <row r="8" spans="1:8" x14ac:dyDescent="0.25">
      <c r="A8" s="102">
        <v>1</v>
      </c>
      <c r="B8" s="95" t="s">
        <v>11</v>
      </c>
      <c r="C8" s="96"/>
      <c r="D8" s="97"/>
      <c r="E8" s="98"/>
      <c r="F8" s="99"/>
      <c r="G8" s="110"/>
      <c r="H8" s="111"/>
    </row>
    <row r="9" spans="1:8" x14ac:dyDescent="0.25">
      <c r="A9" s="102">
        <v>1</v>
      </c>
      <c r="B9" s="95" t="s">
        <v>59</v>
      </c>
      <c r="C9" s="96"/>
      <c r="D9" s="97"/>
      <c r="E9" s="98"/>
      <c r="F9" s="99"/>
      <c r="G9" s="110"/>
      <c r="H9" s="111"/>
    </row>
    <row r="10" spans="1:8" x14ac:dyDescent="0.25">
      <c r="A10" s="102">
        <v>1</v>
      </c>
      <c r="B10" s="95" t="s">
        <v>37</v>
      </c>
      <c r="C10" s="96"/>
      <c r="D10" s="97"/>
      <c r="E10" s="98"/>
      <c r="F10" s="99"/>
      <c r="G10" s="110"/>
      <c r="H10" s="111"/>
    </row>
    <row r="11" spans="1:8" x14ac:dyDescent="0.25">
      <c r="A11" s="102">
        <v>1</v>
      </c>
      <c r="B11" s="103" t="s">
        <v>15</v>
      </c>
      <c r="C11" s="96"/>
      <c r="D11" s="97"/>
      <c r="E11" s="98"/>
      <c r="F11" s="99"/>
      <c r="G11" s="110"/>
      <c r="H11" s="111"/>
    </row>
    <row r="12" spans="1:8" x14ac:dyDescent="0.25">
      <c r="A12" s="102">
        <v>1</v>
      </c>
      <c r="B12" s="103" t="s">
        <v>50</v>
      </c>
      <c r="C12" s="96"/>
      <c r="D12" s="97"/>
      <c r="E12" s="98"/>
      <c r="F12" s="99"/>
      <c r="G12" s="110"/>
      <c r="H12" s="111"/>
    </row>
    <row r="13" spans="1:8" x14ac:dyDescent="0.25">
      <c r="A13" s="102">
        <v>1</v>
      </c>
      <c r="B13" s="103" t="s">
        <v>57</v>
      </c>
      <c r="C13" s="96"/>
      <c r="D13" s="97"/>
      <c r="E13" s="98"/>
      <c r="F13" s="99"/>
      <c r="G13" s="110"/>
      <c r="H13" s="111"/>
    </row>
    <row r="14" spans="1:8" x14ac:dyDescent="0.25">
      <c r="A14" s="102">
        <v>1</v>
      </c>
      <c r="B14" s="103" t="s">
        <v>94</v>
      </c>
      <c r="C14" s="96"/>
      <c r="D14" s="97"/>
      <c r="E14" s="98"/>
      <c r="F14" s="99"/>
      <c r="G14" s="110"/>
      <c r="H14" s="111"/>
    </row>
    <row r="15" spans="1:8" x14ac:dyDescent="0.25">
      <c r="A15" s="102">
        <v>1</v>
      </c>
      <c r="B15" s="103" t="s">
        <v>40</v>
      </c>
      <c r="C15" s="96"/>
      <c r="D15" s="97"/>
      <c r="E15" s="98"/>
      <c r="F15" s="99"/>
      <c r="G15" s="110"/>
      <c r="H15" s="111"/>
    </row>
    <row r="16" spans="1:8" x14ac:dyDescent="0.25">
      <c r="A16" s="102">
        <v>1</v>
      </c>
      <c r="B16" s="103" t="s">
        <v>111</v>
      </c>
      <c r="C16" s="96"/>
      <c r="D16" s="97"/>
      <c r="E16" s="98"/>
      <c r="F16" s="99"/>
      <c r="G16" s="110"/>
      <c r="H16" s="111"/>
    </row>
    <row r="17" spans="1:8" x14ac:dyDescent="0.25">
      <c r="A17" s="102">
        <v>1</v>
      </c>
      <c r="B17" s="103" t="s">
        <v>87</v>
      </c>
      <c r="C17" s="96"/>
      <c r="D17" s="97"/>
      <c r="E17" s="98"/>
      <c r="F17" s="99"/>
      <c r="G17" s="110"/>
      <c r="H17" s="111"/>
    </row>
    <row r="18" spans="1:8" x14ac:dyDescent="0.25">
      <c r="A18" s="102">
        <v>1</v>
      </c>
      <c r="B18" s="103" t="s">
        <v>77</v>
      </c>
      <c r="C18" s="96"/>
      <c r="D18" s="97"/>
      <c r="E18" s="98"/>
      <c r="F18" s="99"/>
      <c r="G18" s="110"/>
      <c r="H18" s="111"/>
    </row>
    <row r="19" spans="1:8" x14ac:dyDescent="0.25">
      <c r="A19" s="102">
        <v>1</v>
      </c>
      <c r="B19" s="103" t="s">
        <v>46</v>
      </c>
      <c r="C19" s="96"/>
      <c r="D19" s="97"/>
      <c r="E19" s="98"/>
      <c r="F19" s="99"/>
      <c r="G19" s="110"/>
      <c r="H19" s="111"/>
    </row>
    <row r="20" spans="1:8" x14ac:dyDescent="0.25">
      <c r="A20" s="102">
        <v>1</v>
      </c>
      <c r="B20" s="103" t="s">
        <v>64</v>
      </c>
      <c r="C20" s="96"/>
      <c r="D20" s="97"/>
      <c r="E20" s="98"/>
      <c r="F20" s="99"/>
      <c r="G20" s="110"/>
      <c r="H20" s="111"/>
    </row>
    <row r="21" spans="1:8" x14ac:dyDescent="0.25">
      <c r="A21" s="102">
        <v>1</v>
      </c>
      <c r="B21" s="103" t="s">
        <v>27</v>
      </c>
      <c r="C21" s="96"/>
      <c r="D21" s="97"/>
      <c r="E21" s="98"/>
      <c r="F21" s="99"/>
      <c r="G21" s="110"/>
      <c r="H21" s="111"/>
    </row>
    <row r="22" spans="1:8" x14ac:dyDescent="0.25">
      <c r="A22" s="102">
        <v>1</v>
      </c>
      <c r="B22" s="103" t="s">
        <v>110</v>
      </c>
      <c r="C22" s="96"/>
      <c r="D22" s="97"/>
      <c r="E22" s="98"/>
      <c r="F22" s="99"/>
      <c r="G22" s="110"/>
      <c r="H22" s="111"/>
    </row>
    <row r="23" spans="1:8" x14ac:dyDescent="0.25">
      <c r="A23" s="102">
        <v>1</v>
      </c>
      <c r="B23" s="103" t="s">
        <v>92</v>
      </c>
      <c r="C23" s="96"/>
      <c r="D23" s="97"/>
      <c r="E23" s="98"/>
      <c r="F23" s="99"/>
      <c r="G23" s="110"/>
      <c r="H23" s="111"/>
    </row>
    <row r="24" spans="1:8" x14ac:dyDescent="0.25">
      <c r="A24" s="102">
        <v>1</v>
      </c>
      <c r="B24" s="103" t="s">
        <v>22</v>
      </c>
      <c r="C24" s="96"/>
      <c r="D24" s="97"/>
      <c r="E24" s="98"/>
      <c r="F24" s="99"/>
      <c r="G24" s="110"/>
      <c r="H24" s="111"/>
    </row>
    <row r="25" spans="1:8" x14ac:dyDescent="0.25">
      <c r="A25" s="102">
        <v>1</v>
      </c>
      <c r="B25" s="103" t="s">
        <v>70</v>
      </c>
      <c r="C25" s="96"/>
      <c r="D25" s="97"/>
      <c r="E25" s="98"/>
      <c r="F25" s="99"/>
      <c r="G25" s="110"/>
      <c r="H25" s="111"/>
    </row>
    <row r="26" spans="1:8" x14ac:dyDescent="0.25">
      <c r="A26" s="102">
        <v>1</v>
      </c>
      <c r="B26" s="103" t="s">
        <v>116</v>
      </c>
      <c r="C26" s="96"/>
      <c r="D26" s="97"/>
      <c r="E26" s="98"/>
      <c r="F26" s="99"/>
      <c r="G26" s="110"/>
      <c r="H26" s="111"/>
    </row>
    <row r="27" spans="1:8" x14ac:dyDescent="0.25">
      <c r="A27" s="102">
        <v>1</v>
      </c>
      <c r="B27" s="103" t="s">
        <v>4</v>
      </c>
      <c r="C27" s="96"/>
      <c r="D27" s="97"/>
      <c r="E27" s="98"/>
      <c r="F27" s="99"/>
      <c r="G27" s="110"/>
      <c r="H27" s="111"/>
    </row>
    <row r="28" spans="1:8" x14ac:dyDescent="0.25">
      <c r="A28" s="102">
        <v>1</v>
      </c>
      <c r="B28" s="103" t="s">
        <v>58</v>
      </c>
      <c r="C28" s="96"/>
      <c r="D28" s="97"/>
      <c r="E28" s="98"/>
      <c r="F28" s="99"/>
      <c r="G28" s="110"/>
      <c r="H28" s="111"/>
    </row>
    <row r="29" spans="1:8" x14ac:dyDescent="0.25">
      <c r="A29" s="102">
        <v>1</v>
      </c>
      <c r="B29" s="103" t="s">
        <v>36</v>
      </c>
      <c r="C29" s="96"/>
      <c r="D29" s="97"/>
      <c r="E29" s="98"/>
      <c r="F29" s="99"/>
      <c r="G29" s="110"/>
      <c r="H29" s="111"/>
    </row>
    <row r="30" spans="1:8" x14ac:dyDescent="0.25">
      <c r="A30" s="102">
        <v>1</v>
      </c>
      <c r="B30" s="103" t="s">
        <v>78</v>
      </c>
      <c r="C30" s="96"/>
      <c r="D30" s="97"/>
      <c r="E30" s="98"/>
      <c r="F30" s="99"/>
      <c r="G30" s="110"/>
      <c r="H30" s="111"/>
    </row>
    <row r="31" spans="1:8" x14ac:dyDescent="0.25">
      <c r="A31" s="102">
        <v>1</v>
      </c>
      <c r="B31" s="103" t="s">
        <v>119</v>
      </c>
      <c r="C31" s="96"/>
      <c r="D31" s="97"/>
      <c r="E31" s="98"/>
      <c r="F31" s="99"/>
      <c r="G31" s="110"/>
      <c r="H31" s="111"/>
    </row>
    <row r="32" spans="1:8" x14ac:dyDescent="0.25">
      <c r="A32" s="102">
        <v>1</v>
      </c>
      <c r="B32" s="103" t="s">
        <v>68</v>
      </c>
      <c r="C32" s="96"/>
      <c r="D32" s="97"/>
      <c r="E32" s="98"/>
      <c r="F32" s="99"/>
      <c r="G32" s="110"/>
      <c r="H32" s="111"/>
    </row>
    <row r="33" spans="1:8" x14ac:dyDescent="0.25">
      <c r="A33" s="102">
        <v>1</v>
      </c>
      <c r="B33" s="103" t="s">
        <v>0</v>
      </c>
      <c r="C33" s="96"/>
      <c r="D33" s="97"/>
      <c r="E33" s="98"/>
      <c r="F33" s="99"/>
      <c r="G33" s="110"/>
      <c r="H33" s="111"/>
    </row>
    <row r="34" spans="1:8" x14ac:dyDescent="0.25">
      <c r="A34" s="102">
        <v>1</v>
      </c>
      <c r="B34" s="103" t="s">
        <v>21</v>
      </c>
      <c r="C34" s="96"/>
      <c r="D34" s="97"/>
      <c r="E34" s="98"/>
      <c r="F34" s="99"/>
      <c r="G34" s="110"/>
      <c r="H34" s="111"/>
    </row>
    <row r="35" spans="1:8" x14ac:dyDescent="0.25">
      <c r="A35" s="102">
        <v>1</v>
      </c>
      <c r="B35" s="103" t="s">
        <v>102</v>
      </c>
      <c r="C35" s="96"/>
      <c r="D35" s="97"/>
      <c r="E35" s="98"/>
      <c r="F35" s="99"/>
      <c r="G35" s="110"/>
      <c r="H35" s="111"/>
    </row>
    <row r="36" spans="1:8" x14ac:dyDescent="0.25">
      <c r="A36" s="102">
        <v>1</v>
      </c>
      <c r="B36" s="103" t="s">
        <v>29</v>
      </c>
      <c r="C36" s="96"/>
      <c r="D36" s="97"/>
      <c r="E36" s="98"/>
      <c r="F36" s="99"/>
      <c r="G36" s="110"/>
      <c r="H36" s="111"/>
    </row>
    <row r="37" spans="1:8" x14ac:dyDescent="0.25">
      <c r="A37" s="102">
        <v>1</v>
      </c>
      <c r="B37" s="103" t="s">
        <v>38</v>
      </c>
      <c r="C37" s="96"/>
      <c r="D37" s="97"/>
      <c r="E37" s="98"/>
      <c r="F37" s="99"/>
      <c r="G37" s="110"/>
      <c r="H37" s="111"/>
    </row>
    <row r="38" spans="1:8" x14ac:dyDescent="0.25">
      <c r="A38" s="102">
        <v>1</v>
      </c>
      <c r="B38" s="103" t="s">
        <v>69</v>
      </c>
      <c r="C38" s="96"/>
      <c r="D38" s="97"/>
      <c r="E38" s="98"/>
      <c r="F38" s="99"/>
      <c r="G38" s="110"/>
      <c r="H38" s="111"/>
    </row>
    <row r="39" spans="1:8" x14ac:dyDescent="0.25">
      <c r="A39" s="102">
        <v>1</v>
      </c>
      <c r="B39" s="103" t="s">
        <v>93</v>
      </c>
      <c r="C39" s="96"/>
      <c r="D39" s="97"/>
      <c r="E39" s="98"/>
      <c r="F39" s="99"/>
      <c r="G39" s="110"/>
      <c r="H39" s="111"/>
    </row>
    <row r="40" spans="1:8" x14ac:dyDescent="0.25">
      <c r="A40" s="102">
        <v>1</v>
      </c>
      <c r="B40" s="103" t="s">
        <v>65</v>
      </c>
      <c r="C40" s="96"/>
      <c r="D40" s="97"/>
      <c r="E40" s="98"/>
      <c r="F40" s="99"/>
      <c r="G40" s="110"/>
      <c r="H40" s="111"/>
    </row>
    <row r="41" spans="1:8" x14ac:dyDescent="0.25">
      <c r="A41" s="102">
        <v>1</v>
      </c>
      <c r="B41" s="103" t="s">
        <v>35</v>
      </c>
      <c r="C41" s="96"/>
      <c r="D41" s="97"/>
      <c r="E41" s="98"/>
      <c r="F41" s="99"/>
      <c r="G41" s="110"/>
      <c r="H41" s="111"/>
    </row>
    <row r="42" spans="1:8" x14ac:dyDescent="0.25">
      <c r="A42" s="102">
        <v>1</v>
      </c>
      <c r="B42" s="103" t="s">
        <v>39</v>
      </c>
      <c r="C42" s="96"/>
      <c r="D42" s="97"/>
      <c r="E42" s="98"/>
      <c r="F42" s="99"/>
      <c r="G42" s="110"/>
      <c r="H42" s="111"/>
    </row>
    <row r="43" spans="1:8" x14ac:dyDescent="0.25">
      <c r="A43" s="102">
        <v>1</v>
      </c>
      <c r="B43" s="103" t="s">
        <v>49</v>
      </c>
      <c r="C43" s="96"/>
      <c r="D43" s="97"/>
      <c r="E43" s="98"/>
      <c r="F43" s="99"/>
      <c r="G43" s="110"/>
      <c r="H43" s="111"/>
    </row>
    <row r="44" spans="1:8" x14ac:dyDescent="0.25">
      <c r="A44" s="102">
        <v>1</v>
      </c>
      <c r="B44" s="103" t="s">
        <v>71</v>
      </c>
      <c r="C44" s="96"/>
      <c r="D44" s="97"/>
      <c r="E44" s="98"/>
      <c r="F44" s="99"/>
      <c r="G44" s="110"/>
      <c r="H44" s="111"/>
    </row>
    <row r="45" spans="1:8" x14ac:dyDescent="0.25">
      <c r="A45" s="102">
        <v>1</v>
      </c>
      <c r="B45" s="103" t="s">
        <v>3</v>
      </c>
      <c r="C45" s="96"/>
      <c r="D45" s="97"/>
      <c r="E45" s="98"/>
      <c r="F45" s="99"/>
      <c r="G45" s="110"/>
      <c r="H45" s="111"/>
    </row>
    <row r="46" spans="1:8" x14ac:dyDescent="0.25">
      <c r="A46" s="102">
        <v>1</v>
      </c>
      <c r="B46" s="103" t="s">
        <v>56</v>
      </c>
      <c r="C46" s="96"/>
      <c r="D46" s="97"/>
      <c r="E46" s="98"/>
      <c r="F46" s="99"/>
      <c r="G46" s="110"/>
      <c r="H46" s="111"/>
    </row>
    <row r="47" spans="1:8" x14ac:dyDescent="0.25">
      <c r="A47" s="102">
        <v>1</v>
      </c>
      <c r="B47" s="103" t="s">
        <v>26</v>
      </c>
      <c r="C47" s="96"/>
      <c r="D47" s="97"/>
      <c r="E47" s="98"/>
      <c r="F47" s="99"/>
      <c r="G47" s="110"/>
      <c r="H47" s="111"/>
    </row>
    <row r="48" spans="1:8" x14ac:dyDescent="0.25">
      <c r="A48" s="102">
        <v>1</v>
      </c>
      <c r="B48" s="103" t="s">
        <v>33</v>
      </c>
      <c r="C48" s="96"/>
      <c r="D48" s="97"/>
      <c r="E48" s="98"/>
      <c r="F48" s="99"/>
      <c r="G48" s="110"/>
      <c r="H48" s="111"/>
    </row>
    <row r="49" spans="1:8" x14ac:dyDescent="0.25">
      <c r="A49" s="102">
        <v>1</v>
      </c>
      <c r="B49" s="103" t="s">
        <v>89</v>
      </c>
      <c r="C49" s="96"/>
      <c r="D49" s="97"/>
      <c r="E49" s="98"/>
      <c r="F49" s="99"/>
      <c r="G49" s="110"/>
      <c r="H49" s="111"/>
    </row>
    <row r="50" spans="1:8" x14ac:dyDescent="0.25">
      <c r="A50" s="102">
        <v>1</v>
      </c>
      <c r="B50" s="103" t="s">
        <v>112</v>
      </c>
      <c r="C50" s="96"/>
      <c r="D50" s="97"/>
      <c r="E50" s="98"/>
      <c r="F50" s="99"/>
      <c r="G50" s="110"/>
      <c r="H50" s="111"/>
    </row>
    <row r="51" spans="1:8" x14ac:dyDescent="0.25">
      <c r="A51" s="102">
        <v>1</v>
      </c>
      <c r="B51" s="103" t="s">
        <v>123</v>
      </c>
      <c r="C51" s="96"/>
      <c r="D51" s="97"/>
      <c r="E51" s="98"/>
      <c r="F51" s="99"/>
      <c r="G51" s="110"/>
      <c r="H51" s="111"/>
    </row>
    <row r="52" spans="1:8" x14ac:dyDescent="0.25">
      <c r="A52" s="102">
        <v>1</v>
      </c>
      <c r="B52" s="103" t="s">
        <v>79</v>
      </c>
      <c r="C52" s="96"/>
      <c r="D52" s="97"/>
      <c r="E52" s="98"/>
      <c r="F52" s="99"/>
      <c r="G52" s="110"/>
      <c r="H52" s="111"/>
    </row>
    <row r="53" spans="1:8" x14ac:dyDescent="0.25">
      <c r="A53" s="102">
        <v>1</v>
      </c>
      <c r="B53" s="103" t="s">
        <v>96</v>
      </c>
      <c r="C53" s="96"/>
      <c r="D53" s="97"/>
      <c r="E53" s="98"/>
      <c r="F53" s="99"/>
      <c r="G53" s="110"/>
      <c r="H53" s="111"/>
    </row>
    <row r="54" spans="1:8" x14ac:dyDescent="0.25">
      <c r="A54" s="102">
        <v>1</v>
      </c>
      <c r="B54" s="103" t="s">
        <v>108</v>
      </c>
      <c r="C54" s="96"/>
      <c r="D54" s="97"/>
      <c r="E54" s="98"/>
      <c r="F54" s="99"/>
      <c r="G54" s="110"/>
      <c r="H54" s="111"/>
    </row>
    <row r="55" spans="1:8" x14ac:dyDescent="0.25">
      <c r="A55" s="102">
        <v>1</v>
      </c>
      <c r="B55" s="103" t="s">
        <v>104</v>
      </c>
      <c r="C55" s="96"/>
      <c r="D55" s="97"/>
      <c r="E55" s="98"/>
      <c r="F55" s="99"/>
      <c r="G55" s="110"/>
      <c r="H55" s="111"/>
    </row>
    <row r="56" spans="1:8" x14ac:dyDescent="0.25">
      <c r="A56" s="102">
        <v>1</v>
      </c>
      <c r="B56" s="103" t="s">
        <v>106</v>
      </c>
      <c r="C56" s="96"/>
      <c r="D56" s="97"/>
      <c r="E56" s="98"/>
      <c r="F56" s="99"/>
      <c r="G56" s="110"/>
      <c r="H56" s="111"/>
    </row>
    <row r="57" spans="1:8" x14ac:dyDescent="0.25">
      <c r="A57" s="102">
        <v>1</v>
      </c>
      <c r="B57" s="103" t="s">
        <v>7</v>
      </c>
      <c r="C57" s="96"/>
      <c r="D57" s="97"/>
      <c r="E57" s="98"/>
      <c r="F57" s="99"/>
      <c r="G57" s="110"/>
      <c r="H57" s="111"/>
    </row>
    <row r="58" spans="1:8" x14ac:dyDescent="0.25">
      <c r="A58" s="102">
        <v>1</v>
      </c>
      <c r="B58" s="103" t="s">
        <v>95</v>
      </c>
      <c r="C58" s="96"/>
      <c r="D58" s="97"/>
      <c r="E58" s="98"/>
      <c r="F58" s="99"/>
      <c r="G58" s="110"/>
      <c r="H58" s="111"/>
    </row>
    <row r="59" spans="1:8" x14ac:dyDescent="0.25">
      <c r="A59" s="102">
        <v>1</v>
      </c>
      <c r="B59" s="103" t="s">
        <v>30</v>
      </c>
      <c r="C59" s="96"/>
      <c r="D59" s="97"/>
      <c r="E59" s="98"/>
      <c r="F59" s="99"/>
      <c r="G59" s="110"/>
      <c r="H59" s="111"/>
    </row>
    <row r="60" spans="1:8" x14ac:dyDescent="0.25">
      <c r="A60" s="102">
        <v>1</v>
      </c>
      <c r="B60" s="103" t="s">
        <v>80</v>
      </c>
      <c r="C60" s="96"/>
      <c r="D60" s="97"/>
      <c r="E60" s="98"/>
      <c r="F60" s="99"/>
      <c r="G60" s="110"/>
      <c r="H60" s="111"/>
    </row>
    <row r="61" spans="1:8" x14ac:dyDescent="0.25">
      <c r="A61" s="102">
        <v>1</v>
      </c>
      <c r="B61" s="103" t="s">
        <v>82</v>
      </c>
      <c r="C61" s="96"/>
      <c r="D61" s="97"/>
      <c r="E61" s="98"/>
      <c r="F61" s="99"/>
      <c r="G61" s="110"/>
      <c r="H61" s="111"/>
    </row>
    <row r="62" spans="1:8" x14ac:dyDescent="0.25">
      <c r="A62" s="102">
        <v>1</v>
      </c>
      <c r="B62" s="103" t="s">
        <v>47</v>
      </c>
      <c r="C62" s="96"/>
      <c r="D62" s="97"/>
      <c r="E62" s="98"/>
      <c r="F62" s="99"/>
      <c r="G62" s="110"/>
      <c r="H62" s="111"/>
    </row>
    <row r="63" spans="1:8" x14ac:dyDescent="0.25">
      <c r="A63" s="102">
        <v>1</v>
      </c>
      <c r="B63" s="103" t="s">
        <v>28</v>
      </c>
      <c r="C63" s="96"/>
      <c r="D63" s="97"/>
      <c r="E63" s="98"/>
      <c r="F63" s="99"/>
      <c r="G63" s="110"/>
      <c r="H63" s="111"/>
    </row>
    <row r="64" spans="1:8" x14ac:dyDescent="0.25">
      <c r="A64" s="102">
        <v>1</v>
      </c>
      <c r="B64" s="103" t="s">
        <v>107</v>
      </c>
      <c r="C64" s="96"/>
      <c r="D64" s="97"/>
      <c r="E64" s="98"/>
      <c r="F64" s="99"/>
      <c r="G64" s="110"/>
      <c r="H64" s="111"/>
    </row>
    <row r="65" spans="1:8" x14ac:dyDescent="0.25">
      <c r="A65" s="102">
        <v>1</v>
      </c>
      <c r="B65" s="103" t="s">
        <v>105</v>
      </c>
      <c r="C65" s="96"/>
      <c r="D65" s="97"/>
      <c r="E65" s="98"/>
      <c r="F65" s="99"/>
      <c r="G65" s="110"/>
      <c r="H65" s="111"/>
    </row>
    <row r="66" spans="1:8" x14ac:dyDescent="0.25">
      <c r="A66" s="102">
        <v>1</v>
      </c>
      <c r="B66" s="103" t="s">
        <v>97</v>
      </c>
      <c r="C66" s="96"/>
      <c r="D66" s="97"/>
      <c r="E66" s="98"/>
      <c r="F66" s="99"/>
      <c r="G66" s="110"/>
      <c r="H66" s="111"/>
    </row>
    <row r="67" spans="1:8" x14ac:dyDescent="0.25">
      <c r="A67" s="102">
        <v>1</v>
      </c>
      <c r="B67" s="103" t="s">
        <v>76</v>
      </c>
      <c r="C67" s="96"/>
      <c r="D67" s="97"/>
      <c r="E67" s="98"/>
      <c r="F67" s="99"/>
      <c r="G67" s="110"/>
      <c r="H67" s="111"/>
    </row>
    <row r="68" spans="1:8" x14ac:dyDescent="0.25">
      <c r="A68" s="102">
        <v>1</v>
      </c>
      <c r="B68" s="103" t="s">
        <v>118</v>
      </c>
      <c r="C68" s="96"/>
      <c r="D68" s="97"/>
      <c r="E68" s="98"/>
      <c r="F68" s="99"/>
      <c r="G68" s="110"/>
      <c r="H68" s="111"/>
    </row>
    <row r="69" spans="1:8" x14ac:dyDescent="0.25">
      <c r="A69" s="102">
        <v>1</v>
      </c>
      <c r="B69" s="103" t="s">
        <v>43</v>
      </c>
      <c r="C69" s="96"/>
      <c r="D69" s="97"/>
      <c r="E69" s="98"/>
      <c r="F69" s="99"/>
      <c r="G69" s="110"/>
      <c r="H69" s="111"/>
    </row>
    <row r="70" spans="1:8" x14ac:dyDescent="0.25">
      <c r="A70" s="102">
        <v>1</v>
      </c>
      <c r="B70" s="103" t="s">
        <v>73</v>
      </c>
      <c r="C70" s="96"/>
      <c r="D70" s="97"/>
      <c r="E70" s="98"/>
      <c r="F70" s="99"/>
      <c r="G70" s="110"/>
      <c r="H70" s="111"/>
    </row>
    <row r="71" spans="1:8" x14ac:dyDescent="0.25">
      <c r="A71" s="102">
        <v>1</v>
      </c>
      <c r="B71" s="103" t="s">
        <v>23</v>
      </c>
      <c r="C71" s="96"/>
      <c r="D71" s="97"/>
      <c r="E71" s="98"/>
      <c r="F71" s="99"/>
      <c r="G71" s="110"/>
      <c r="H71" s="111"/>
    </row>
    <row r="72" spans="1:8" x14ac:dyDescent="0.25">
      <c r="A72" s="102">
        <v>1</v>
      </c>
      <c r="B72" s="103" t="s">
        <v>114</v>
      </c>
      <c r="C72" s="96"/>
      <c r="D72" s="97"/>
      <c r="E72" s="98"/>
      <c r="F72" s="99"/>
      <c r="G72" s="110"/>
      <c r="H72" s="111"/>
    </row>
    <row r="73" spans="1:8" x14ac:dyDescent="0.25">
      <c r="A73" s="102">
        <v>1</v>
      </c>
      <c r="B73" s="103" t="s">
        <v>85</v>
      </c>
      <c r="C73" s="96"/>
      <c r="D73" s="97"/>
      <c r="E73" s="98"/>
      <c r="F73" s="99"/>
      <c r="G73" s="110"/>
      <c r="H73" s="111"/>
    </row>
    <row r="74" spans="1:8" x14ac:dyDescent="0.25">
      <c r="A74" s="102">
        <v>1</v>
      </c>
      <c r="B74" s="103" t="s">
        <v>60</v>
      </c>
      <c r="C74" s="96"/>
      <c r="D74" s="97"/>
      <c r="E74" s="98"/>
      <c r="F74" s="99"/>
      <c r="G74" s="110"/>
      <c r="H74" s="111"/>
    </row>
    <row r="75" spans="1:8" x14ac:dyDescent="0.25">
      <c r="A75" s="102">
        <v>1</v>
      </c>
      <c r="B75" s="103" t="s">
        <v>44</v>
      </c>
      <c r="C75" s="96"/>
      <c r="D75" s="97"/>
      <c r="E75" s="98"/>
      <c r="F75" s="99"/>
      <c r="G75" s="110"/>
      <c r="H75" s="111"/>
    </row>
    <row r="76" spans="1:8" x14ac:dyDescent="0.25">
      <c r="A76" s="102">
        <v>1</v>
      </c>
      <c r="B76" s="103" t="s">
        <v>91</v>
      </c>
      <c r="C76" s="96"/>
      <c r="D76" s="97"/>
      <c r="E76" s="98"/>
      <c r="F76" s="99"/>
      <c r="G76" s="110"/>
      <c r="H76" s="111"/>
    </row>
    <row r="77" spans="1:8" x14ac:dyDescent="0.25">
      <c r="A77" s="102">
        <v>1</v>
      </c>
      <c r="B77" s="103" t="s">
        <v>10</v>
      </c>
      <c r="C77" s="96"/>
      <c r="D77" s="97"/>
      <c r="E77" s="98"/>
      <c r="F77" s="99"/>
      <c r="G77" s="110"/>
      <c r="H77" s="111"/>
    </row>
    <row r="78" spans="1:8" x14ac:dyDescent="0.25">
      <c r="A78" s="102">
        <v>1</v>
      </c>
      <c r="B78" s="103" t="s">
        <v>6</v>
      </c>
      <c r="C78" s="96"/>
      <c r="D78" s="97"/>
      <c r="E78" s="98"/>
      <c r="F78" s="99"/>
      <c r="G78" s="110"/>
      <c r="H78" s="111"/>
    </row>
    <row r="79" spans="1:8" x14ac:dyDescent="0.25">
      <c r="A79" s="102">
        <v>1</v>
      </c>
      <c r="B79" s="103" t="s">
        <v>67</v>
      </c>
      <c r="C79" s="96"/>
      <c r="D79" s="97"/>
      <c r="E79" s="98"/>
      <c r="F79" s="99"/>
      <c r="G79" s="110"/>
      <c r="H79" s="111"/>
    </row>
    <row r="80" spans="1:8" x14ac:dyDescent="0.25">
      <c r="A80" s="102">
        <v>1</v>
      </c>
      <c r="B80" s="103" t="s">
        <v>109</v>
      </c>
      <c r="C80" s="96"/>
      <c r="D80" s="97"/>
      <c r="E80" s="98"/>
      <c r="F80" s="99"/>
      <c r="G80" s="110"/>
      <c r="H80" s="111"/>
    </row>
    <row r="81" spans="1:8" x14ac:dyDescent="0.25">
      <c r="A81" s="102">
        <v>1</v>
      </c>
      <c r="B81" s="103" t="s">
        <v>32</v>
      </c>
      <c r="C81" s="96"/>
      <c r="D81" s="97"/>
      <c r="E81" s="98"/>
      <c r="F81" s="99"/>
      <c r="G81" s="110"/>
      <c r="H81" s="111"/>
    </row>
    <row r="82" spans="1:8" x14ac:dyDescent="0.25">
      <c r="A82" s="102">
        <v>1</v>
      </c>
      <c r="B82" s="103" t="s">
        <v>54</v>
      </c>
      <c r="C82" s="96"/>
      <c r="D82" s="97"/>
      <c r="E82" s="98"/>
      <c r="F82" s="99"/>
      <c r="G82" s="110"/>
      <c r="H82" s="111"/>
    </row>
    <row r="83" spans="1:8" x14ac:dyDescent="0.25">
      <c r="A83" s="102">
        <v>1</v>
      </c>
      <c r="B83" s="103" t="s">
        <v>62</v>
      </c>
      <c r="C83" s="96"/>
      <c r="D83" s="97"/>
      <c r="E83" s="98"/>
      <c r="F83" s="99"/>
      <c r="G83" s="110"/>
      <c r="H83" s="111"/>
    </row>
    <row r="84" spans="1:8" x14ac:dyDescent="0.25">
      <c r="A84" s="102">
        <v>1</v>
      </c>
      <c r="B84" s="103" t="s">
        <v>74</v>
      </c>
      <c r="C84" s="96"/>
      <c r="D84" s="97"/>
      <c r="E84" s="98"/>
      <c r="F84" s="99"/>
      <c r="G84" s="110"/>
      <c r="H84" s="111"/>
    </row>
    <row r="85" spans="1:8" x14ac:dyDescent="0.25">
      <c r="A85" s="102">
        <v>1</v>
      </c>
      <c r="B85" s="103" t="s">
        <v>42</v>
      </c>
      <c r="C85" s="96"/>
      <c r="D85" s="97"/>
      <c r="E85" s="98"/>
      <c r="F85" s="99"/>
      <c r="G85" s="110"/>
      <c r="H85" s="111"/>
    </row>
    <row r="86" spans="1:8" x14ac:dyDescent="0.25">
      <c r="A86" s="102">
        <v>1</v>
      </c>
      <c r="B86" s="103" t="s">
        <v>31</v>
      </c>
      <c r="C86" s="96"/>
      <c r="D86" s="97"/>
      <c r="E86" s="98"/>
      <c r="F86" s="99"/>
      <c r="G86" s="110"/>
      <c r="H86" s="111"/>
    </row>
    <row r="87" spans="1:8" x14ac:dyDescent="0.25">
      <c r="A87" s="102">
        <v>1</v>
      </c>
      <c r="B87" s="103" t="s">
        <v>16</v>
      </c>
      <c r="C87" s="96"/>
      <c r="D87" s="97"/>
      <c r="E87" s="98"/>
      <c r="F87" s="99"/>
      <c r="G87" s="110"/>
      <c r="H87" s="111"/>
    </row>
    <row r="88" spans="1:8" x14ac:dyDescent="0.25">
      <c r="A88" s="102">
        <v>1</v>
      </c>
      <c r="B88" s="103" t="s">
        <v>72</v>
      </c>
      <c r="C88" s="96"/>
      <c r="D88" s="97"/>
      <c r="E88" s="98"/>
      <c r="F88" s="99"/>
      <c r="G88" s="110"/>
      <c r="H88" s="111"/>
    </row>
    <row r="89" spans="1:8" x14ac:dyDescent="0.25">
      <c r="A89" s="102">
        <v>1</v>
      </c>
      <c r="B89" s="103" t="s">
        <v>63</v>
      </c>
      <c r="C89" s="96"/>
      <c r="D89" s="97"/>
      <c r="E89" s="98"/>
      <c r="F89" s="99"/>
      <c r="G89" s="110"/>
      <c r="H89" s="111"/>
    </row>
    <row r="90" spans="1:8" x14ac:dyDescent="0.25">
      <c r="A90" s="102">
        <v>1</v>
      </c>
      <c r="B90" s="103" t="s">
        <v>52</v>
      </c>
      <c r="C90" s="96"/>
      <c r="D90" s="97"/>
      <c r="E90" s="98"/>
      <c r="F90" s="99"/>
      <c r="G90" s="110"/>
      <c r="H90" s="111"/>
    </row>
    <row r="91" spans="1:8" x14ac:dyDescent="0.25">
      <c r="A91" s="102">
        <v>1</v>
      </c>
      <c r="B91" s="103" t="s">
        <v>9</v>
      </c>
      <c r="C91" s="96"/>
      <c r="D91" s="97"/>
      <c r="E91" s="98"/>
      <c r="F91" s="99"/>
      <c r="G91" s="110"/>
      <c r="H91" s="111"/>
    </row>
    <row r="92" spans="1:8" x14ac:dyDescent="0.25">
      <c r="A92" s="102">
        <v>1</v>
      </c>
      <c r="B92" s="103" t="s">
        <v>83</v>
      </c>
      <c r="C92" s="96"/>
      <c r="D92" s="97"/>
      <c r="E92" s="98"/>
      <c r="F92" s="99"/>
      <c r="G92" s="110"/>
      <c r="H92" s="111"/>
    </row>
    <row r="93" spans="1:8" x14ac:dyDescent="0.25">
      <c r="A93" s="102">
        <v>1</v>
      </c>
      <c r="B93" s="103" t="s">
        <v>117</v>
      </c>
      <c r="C93" s="96"/>
      <c r="D93" s="97"/>
      <c r="E93" s="98"/>
      <c r="F93" s="99"/>
      <c r="G93" s="110"/>
      <c r="H93" s="111"/>
    </row>
    <row r="94" spans="1:8" x14ac:dyDescent="0.25">
      <c r="A94" s="102">
        <v>1</v>
      </c>
      <c r="B94" s="103" t="s">
        <v>45</v>
      </c>
      <c r="C94" s="96"/>
      <c r="D94" s="97"/>
      <c r="E94" s="98"/>
      <c r="F94" s="99"/>
      <c r="G94" s="110"/>
      <c r="H94" s="111"/>
    </row>
    <row r="95" spans="1:8" x14ac:dyDescent="0.25">
      <c r="A95" s="102">
        <v>1</v>
      </c>
      <c r="B95" s="103" t="s">
        <v>51</v>
      </c>
      <c r="C95" s="96"/>
      <c r="D95" s="97"/>
      <c r="E95" s="98"/>
      <c r="F95" s="99"/>
      <c r="G95" s="110"/>
      <c r="H95" s="111"/>
    </row>
    <row r="96" spans="1:8" x14ac:dyDescent="0.25">
      <c r="A96" s="102">
        <v>1</v>
      </c>
      <c r="B96" s="103" t="s">
        <v>8</v>
      </c>
      <c r="C96" s="96"/>
      <c r="D96" s="97"/>
      <c r="E96" s="98"/>
      <c r="F96" s="99"/>
      <c r="G96" s="110"/>
      <c r="H96" s="111"/>
    </row>
    <row r="97" spans="1:8" x14ac:dyDescent="0.25">
      <c r="A97" s="102">
        <v>1</v>
      </c>
      <c r="B97" s="103" t="s">
        <v>86</v>
      </c>
      <c r="C97" s="96"/>
      <c r="D97" s="97"/>
      <c r="E97" s="98"/>
      <c r="F97" s="99"/>
      <c r="G97" s="110"/>
      <c r="H97" s="111"/>
    </row>
    <row r="98" spans="1:8" x14ac:dyDescent="0.25">
      <c r="A98" s="102">
        <v>1</v>
      </c>
      <c r="B98" s="103" t="s">
        <v>100</v>
      </c>
      <c r="C98" s="96"/>
      <c r="D98" s="97"/>
      <c r="E98" s="98"/>
      <c r="F98" s="99"/>
      <c r="G98" s="110"/>
      <c r="H98" s="111"/>
    </row>
    <row r="99" spans="1:8" x14ac:dyDescent="0.25">
      <c r="A99" s="102">
        <v>1</v>
      </c>
      <c r="B99" s="103" t="s">
        <v>122</v>
      </c>
      <c r="C99" s="96"/>
      <c r="D99" s="97"/>
      <c r="E99" s="98"/>
      <c r="F99" s="99"/>
      <c r="G99" s="110"/>
      <c r="H99" s="111"/>
    </row>
    <row r="100" spans="1:8" x14ac:dyDescent="0.25">
      <c r="A100" s="102">
        <v>1</v>
      </c>
      <c r="B100" s="103" t="s">
        <v>103</v>
      </c>
      <c r="C100" s="96"/>
      <c r="D100" s="97"/>
      <c r="E100" s="98"/>
      <c r="F100" s="99"/>
      <c r="G100" s="110"/>
      <c r="H100" s="111"/>
    </row>
    <row r="101" spans="1:8" x14ac:dyDescent="0.25">
      <c r="A101" s="102">
        <v>1</v>
      </c>
      <c r="B101" s="103" t="s">
        <v>115</v>
      </c>
      <c r="C101" s="96"/>
      <c r="D101" s="97"/>
      <c r="E101" s="98"/>
      <c r="F101" s="99"/>
      <c r="G101" s="110"/>
      <c r="H101" s="111"/>
    </row>
    <row r="102" spans="1:8" x14ac:dyDescent="0.25">
      <c r="A102" s="102">
        <v>1</v>
      </c>
      <c r="B102" s="103" t="s">
        <v>14</v>
      </c>
      <c r="C102" s="96"/>
      <c r="D102" s="97"/>
      <c r="E102" s="98"/>
      <c r="F102" s="99"/>
      <c r="G102" s="110"/>
      <c r="H102" s="111"/>
    </row>
    <row r="103" spans="1:8" x14ac:dyDescent="0.25">
      <c r="A103" s="102">
        <v>1</v>
      </c>
      <c r="B103" s="103" t="s">
        <v>90</v>
      </c>
      <c r="C103" s="96"/>
      <c r="D103" s="97"/>
      <c r="E103" s="98"/>
      <c r="F103" s="99"/>
      <c r="G103" s="110"/>
      <c r="H103" s="111"/>
    </row>
    <row r="104" spans="1:8" x14ac:dyDescent="0.25">
      <c r="A104" s="102">
        <v>1</v>
      </c>
      <c r="B104" s="103" t="s">
        <v>84</v>
      </c>
      <c r="C104" s="96"/>
      <c r="D104" s="97"/>
      <c r="E104" s="98"/>
      <c r="F104" s="99"/>
      <c r="G104" s="110"/>
      <c r="H104" s="111"/>
    </row>
    <row r="105" spans="1:8" x14ac:dyDescent="0.25">
      <c r="A105" s="102">
        <v>1</v>
      </c>
      <c r="B105" s="103" t="s">
        <v>101</v>
      </c>
      <c r="C105" s="96"/>
      <c r="D105" s="97"/>
      <c r="E105" s="98"/>
      <c r="F105" s="99"/>
      <c r="G105" s="110"/>
      <c r="H105" s="111"/>
    </row>
    <row r="106" spans="1:8" x14ac:dyDescent="0.25">
      <c r="A106" s="102">
        <v>1</v>
      </c>
      <c r="B106" s="103" t="s">
        <v>55</v>
      </c>
      <c r="C106" s="96"/>
      <c r="D106" s="97"/>
      <c r="E106" s="98"/>
      <c r="F106" s="99"/>
      <c r="G106" s="110"/>
      <c r="H106" s="111"/>
    </row>
    <row r="107" spans="1:8" x14ac:dyDescent="0.25">
      <c r="A107" s="102">
        <v>1</v>
      </c>
      <c r="B107" s="103" t="s">
        <v>48</v>
      </c>
      <c r="C107" s="96"/>
      <c r="D107" s="97"/>
      <c r="E107" s="98"/>
      <c r="F107" s="99"/>
      <c r="G107" s="110"/>
      <c r="H107" s="111"/>
    </row>
    <row r="108" spans="1:8" x14ac:dyDescent="0.25">
      <c r="A108" s="102">
        <v>1</v>
      </c>
      <c r="B108" s="103" t="s">
        <v>12</v>
      </c>
      <c r="C108" s="96"/>
      <c r="D108" s="97"/>
      <c r="E108" s="98"/>
      <c r="F108" s="99"/>
      <c r="G108" s="110"/>
      <c r="H108" s="111"/>
    </row>
    <row r="109" spans="1:8" x14ac:dyDescent="0.25">
      <c r="A109" s="102">
        <v>1</v>
      </c>
      <c r="B109" s="103" t="s">
        <v>34</v>
      </c>
      <c r="C109" s="96"/>
      <c r="D109" s="97"/>
      <c r="E109" s="98"/>
      <c r="F109" s="99"/>
      <c r="G109" s="110"/>
      <c r="H109" s="111"/>
    </row>
    <row r="110" spans="1:8" x14ac:dyDescent="0.25">
      <c r="A110" s="102">
        <v>1</v>
      </c>
      <c r="B110" s="103" t="s">
        <v>120</v>
      </c>
      <c r="C110" s="96"/>
      <c r="D110" s="97"/>
      <c r="E110" s="98"/>
      <c r="F110" s="99"/>
      <c r="G110" s="110"/>
      <c r="H110" s="111"/>
    </row>
    <row r="111" spans="1:8" x14ac:dyDescent="0.25">
      <c r="A111" s="102">
        <v>1</v>
      </c>
      <c r="B111" s="103" t="s">
        <v>61</v>
      </c>
      <c r="C111" s="96"/>
      <c r="D111" s="97"/>
      <c r="E111" s="98"/>
      <c r="F111" s="99"/>
      <c r="G111" s="110"/>
      <c r="H111" s="111"/>
    </row>
    <row r="112" spans="1:8" x14ac:dyDescent="0.25">
      <c r="A112" s="102">
        <v>1</v>
      </c>
      <c r="B112" s="103" t="s">
        <v>20</v>
      </c>
      <c r="C112" s="96"/>
      <c r="D112" s="97"/>
      <c r="E112" s="98"/>
      <c r="F112" s="99"/>
      <c r="G112" s="110"/>
      <c r="H112" s="111"/>
    </row>
    <row r="113" spans="1:8" x14ac:dyDescent="0.25">
      <c r="A113" s="102">
        <v>1</v>
      </c>
      <c r="B113" s="103" t="s">
        <v>113</v>
      </c>
      <c r="C113" s="96"/>
      <c r="D113" s="97"/>
      <c r="E113" s="98"/>
      <c r="F113" s="99"/>
      <c r="G113" s="110"/>
      <c r="H113" s="111"/>
    </row>
    <row r="114" spans="1:8" x14ac:dyDescent="0.25">
      <c r="A114" s="102">
        <v>1</v>
      </c>
      <c r="B114" s="103" t="s">
        <v>13</v>
      </c>
      <c r="C114" s="96"/>
      <c r="D114" s="97"/>
      <c r="E114" s="98"/>
      <c r="F114" s="99"/>
      <c r="G114" s="110"/>
      <c r="H114" s="111"/>
    </row>
    <row r="115" spans="1:8" x14ac:dyDescent="0.25">
      <c r="A115" s="102">
        <v>1</v>
      </c>
      <c r="B115" s="103" t="s">
        <v>18</v>
      </c>
      <c r="C115" s="96"/>
      <c r="D115" s="97"/>
      <c r="E115" s="98"/>
      <c r="F115" s="99"/>
      <c r="G115" s="110"/>
      <c r="H115" s="111"/>
    </row>
    <row r="116" spans="1:8" x14ac:dyDescent="0.25">
      <c r="A116" s="102">
        <v>1</v>
      </c>
      <c r="B116" s="103" t="s">
        <v>66</v>
      </c>
      <c r="C116" s="96"/>
      <c r="D116" s="97"/>
      <c r="E116" s="98"/>
      <c r="F116" s="99"/>
      <c r="G116" s="110"/>
      <c r="H116" s="111"/>
    </row>
    <row r="117" spans="1:8" x14ac:dyDescent="0.25">
      <c r="A117" s="102">
        <v>1</v>
      </c>
      <c r="B117" s="103" t="s">
        <v>98</v>
      </c>
      <c r="C117" s="96"/>
      <c r="D117" s="97"/>
      <c r="E117" s="98"/>
      <c r="F117" s="99"/>
      <c r="G117" s="110"/>
      <c r="H117" s="111"/>
    </row>
    <row r="118" spans="1:8" x14ac:dyDescent="0.25">
      <c r="A118" s="102">
        <v>1</v>
      </c>
      <c r="B118" s="103" t="s">
        <v>75</v>
      </c>
      <c r="C118" s="96"/>
      <c r="D118" s="97"/>
      <c r="E118" s="98"/>
      <c r="F118" s="99"/>
      <c r="G118" s="110"/>
      <c r="H118" s="111"/>
    </row>
    <row r="119" spans="1:8" x14ac:dyDescent="0.25">
      <c r="A119" s="102">
        <v>1</v>
      </c>
      <c r="B119" s="103" t="s">
        <v>19</v>
      </c>
      <c r="C119" s="96"/>
      <c r="D119" s="97"/>
      <c r="E119" s="98"/>
      <c r="F119" s="99"/>
      <c r="G119" s="110"/>
      <c r="H119" s="111"/>
    </row>
    <row r="120" spans="1:8" x14ac:dyDescent="0.25">
      <c r="A120" s="102">
        <v>1</v>
      </c>
      <c r="B120" s="103" t="s">
        <v>81</v>
      </c>
      <c r="C120" s="96"/>
      <c r="D120" s="97"/>
      <c r="E120" s="98"/>
      <c r="F120" s="99"/>
      <c r="G120" s="110"/>
      <c r="H120" s="111"/>
    </row>
    <row r="121" spans="1:8" x14ac:dyDescent="0.25">
      <c r="A121" s="102">
        <v>1</v>
      </c>
      <c r="B121" s="103" t="s">
        <v>88</v>
      </c>
      <c r="C121" s="96"/>
      <c r="D121" s="97"/>
      <c r="E121" s="98"/>
      <c r="F121" s="99"/>
      <c r="G121" s="110"/>
      <c r="H121" s="111"/>
    </row>
    <row r="122" spans="1:8" x14ac:dyDescent="0.25">
      <c r="A122" s="102">
        <v>1</v>
      </c>
      <c r="B122" s="103" t="s">
        <v>41</v>
      </c>
      <c r="C122" s="96"/>
      <c r="D122" s="97"/>
      <c r="E122" s="98"/>
      <c r="F122" s="99"/>
      <c r="G122" s="110"/>
      <c r="H122" s="111"/>
    </row>
    <row r="123" spans="1:8" x14ac:dyDescent="0.25">
      <c r="A123" s="102">
        <v>1</v>
      </c>
      <c r="B123" s="103" t="s">
        <v>53</v>
      </c>
      <c r="C123" s="96"/>
      <c r="D123" s="97"/>
      <c r="E123" s="98"/>
      <c r="F123" s="99"/>
      <c r="G123" s="110"/>
      <c r="H123" s="111"/>
    </row>
    <row r="124" spans="1:8" x14ac:dyDescent="0.25">
      <c r="A124" s="102">
        <v>1</v>
      </c>
      <c r="B124" s="103" t="s">
        <v>1</v>
      </c>
      <c r="C124" s="96"/>
      <c r="D124" s="97"/>
      <c r="E124" s="98"/>
      <c r="F124" s="99"/>
      <c r="G124" s="110"/>
      <c r="H124" s="111"/>
    </row>
    <row r="125" spans="1:8" x14ac:dyDescent="0.25">
      <c r="A125" s="102">
        <v>1</v>
      </c>
      <c r="B125" s="103" t="s">
        <v>99</v>
      </c>
      <c r="C125" s="96"/>
      <c r="D125" s="97"/>
      <c r="E125" s="98"/>
      <c r="F125" s="99"/>
      <c r="G125" s="110"/>
      <c r="H125" s="111"/>
    </row>
    <row r="126" spans="1:8" x14ac:dyDescent="0.25">
      <c r="A126" s="102">
        <v>1</v>
      </c>
      <c r="B126" s="103" t="s">
        <v>25</v>
      </c>
      <c r="C126" s="96"/>
      <c r="D126" s="97"/>
      <c r="E126" s="98"/>
      <c r="F126" s="99"/>
      <c r="G126" s="110"/>
      <c r="H126" s="111"/>
    </row>
    <row r="127" spans="1:8" x14ac:dyDescent="0.25">
      <c r="A127" s="102">
        <v>1</v>
      </c>
      <c r="B127" s="103" t="s">
        <v>121</v>
      </c>
      <c r="C127" s="96"/>
      <c r="D127" s="97"/>
      <c r="E127" s="98"/>
      <c r="F127" s="99"/>
      <c r="G127" s="110"/>
      <c r="H127" s="111"/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F46F2-E5A5-644C-95DE-2C3C215D1EB1}">
  <dimension ref="A1:H1002"/>
  <sheetViews>
    <sheetView workbookViewId="0">
      <selection activeCell="C2" sqref="C2"/>
    </sheetView>
  </sheetViews>
  <sheetFormatPr defaultColWidth="11.42578125" defaultRowHeight="12.75" x14ac:dyDescent="0.2"/>
  <cols>
    <col min="2" max="2" width="32" customWidth="1"/>
    <col min="3" max="6" width="14.140625" customWidth="1"/>
  </cols>
  <sheetData>
    <row r="1" spans="1:8" ht="18.75" x14ac:dyDescent="0.2">
      <c r="A1" s="128" t="s">
        <v>232</v>
      </c>
      <c r="B1" s="128"/>
      <c r="C1" s="128"/>
      <c r="D1" s="128"/>
      <c r="E1" s="128"/>
      <c r="F1" s="128"/>
      <c r="G1" s="128"/>
      <c r="H1" s="128"/>
    </row>
    <row r="2" spans="1:8" ht="47.25" x14ac:dyDescent="0.2">
      <c r="A2" s="23" t="s">
        <v>129</v>
      </c>
      <c r="B2" s="24" t="s">
        <v>221</v>
      </c>
      <c r="C2" s="24" t="s">
        <v>233</v>
      </c>
      <c r="D2" s="87" t="s">
        <v>234</v>
      </c>
      <c r="E2" s="66" t="s">
        <v>235</v>
      </c>
      <c r="F2" s="66" t="s">
        <v>236</v>
      </c>
      <c r="G2" s="79" t="s">
        <v>237</v>
      </c>
      <c r="H2" s="89"/>
    </row>
    <row r="3" spans="1:8" ht="15.75" x14ac:dyDescent="0.2">
      <c r="A3" s="57"/>
      <c r="B3" s="90" t="s">
        <v>124</v>
      </c>
      <c r="C3" s="91"/>
      <c r="D3" s="66"/>
      <c r="E3" s="106"/>
      <c r="F3" s="92"/>
      <c r="G3" s="93"/>
      <c r="H3" s="94"/>
    </row>
    <row r="4" spans="1:8" ht="15.75" x14ac:dyDescent="0.2">
      <c r="A4" s="27">
        <v>1</v>
      </c>
      <c r="B4" s="95" t="s">
        <v>24</v>
      </c>
      <c r="C4" s="96"/>
      <c r="D4" s="97"/>
      <c r="E4" s="98"/>
      <c r="F4" s="99"/>
      <c r="G4" s="100"/>
      <c r="H4" s="101"/>
    </row>
    <row r="5" spans="1:8" ht="15.75" x14ac:dyDescent="0.2">
      <c r="A5" s="102">
        <v>1</v>
      </c>
      <c r="B5" s="95" t="s">
        <v>17</v>
      </c>
      <c r="C5" s="96"/>
      <c r="D5" s="97"/>
      <c r="E5" s="98"/>
      <c r="F5" s="99"/>
      <c r="G5" s="100"/>
      <c r="H5" s="101"/>
    </row>
    <row r="6" spans="1:8" ht="15.75" x14ac:dyDescent="0.2">
      <c r="A6" s="102">
        <v>1</v>
      </c>
      <c r="B6" s="95" t="s">
        <v>5</v>
      </c>
      <c r="C6" s="96"/>
      <c r="D6" s="97"/>
      <c r="E6" s="98"/>
      <c r="F6" s="99"/>
      <c r="G6" s="100"/>
      <c r="H6" s="101"/>
    </row>
    <row r="7" spans="1:8" ht="15.75" x14ac:dyDescent="0.2">
      <c r="A7" s="102">
        <v>1</v>
      </c>
      <c r="B7" s="95" t="s">
        <v>2</v>
      </c>
      <c r="C7" s="96"/>
      <c r="D7" s="97"/>
      <c r="E7" s="98"/>
      <c r="F7" s="99"/>
      <c r="G7" s="100"/>
      <c r="H7" s="101"/>
    </row>
    <row r="8" spans="1:8" ht="15.75" x14ac:dyDescent="0.2">
      <c r="A8" s="102">
        <v>1</v>
      </c>
      <c r="B8" s="95" t="s">
        <v>11</v>
      </c>
      <c r="C8" s="96"/>
      <c r="D8" s="97"/>
      <c r="E8" s="98"/>
      <c r="F8" s="99"/>
      <c r="G8" s="100"/>
      <c r="H8" s="101"/>
    </row>
    <row r="9" spans="1:8" ht="15.75" x14ac:dyDescent="0.2">
      <c r="A9" s="102">
        <v>1</v>
      </c>
      <c r="B9" s="95" t="s">
        <v>59</v>
      </c>
      <c r="C9" s="96"/>
      <c r="D9" s="97"/>
      <c r="E9" s="98"/>
      <c r="F9" s="99"/>
      <c r="G9" s="100"/>
      <c r="H9" s="101"/>
    </row>
    <row r="10" spans="1:8" ht="15.75" x14ac:dyDescent="0.2">
      <c r="A10" s="102">
        <v>1</v>
      </c>
      <c r="B10" s="95" t="s">
        <v>37</v>
      </c>
      <c r="C10" s="96"/>
      <c r="D10" s="97"/>
      <c r="E10" s="98"/>
      <c r="F10" s="99"/>
      <c r="G10" s="100"/>
      <c r="H10" s="101"/>
    </row>
    <row r="11" spans="1:8" ht="15.75" x14ac:dyDescent="0.2">
      <c r="A11" s="102">
        <v>1</v>
      </c>
      <c r="B11" s="103" t="s">
        <v>15</v>
      </c>
      <c r="C11" s="96"/>
      <c r="D11" s="97"/>
      <c r="E11" s="98"/>
      <c r="F11" s="99"/>
      <c r="G11" s="100"/>
      <c r="H11" s="101"/>
    </row>
    <row r="12" spans="1:8" ht="15.75" x14ac:dyDescent="0.2">
      <c r="A12" s="102">
        <v>1</v>
      </c>
      <c r="B12" s="103" t="s">
        <v>50</v>
      </c>
      <c r="C12" s="96"/>
      <c r="D12" s="97"/>
      <c r="E12" s="98"/>
      <c r="F12" s="99"/>
      <c r="G12" s="100"/>
      <c r="H12" s="101"/>
    </row>
    <row r="13" spans="1:8" ht="15.75" x14ac:dyDescent="0.2">
      <c r="A13" s="102">
        <v>1</v>
      </c>
      <c r="B13" s="103" t="s">
        <v>57</v>
      </c>
      <c r="C13" s="96"/>
      <c r="D13" s="97"/>
      <c r="E13" s="98"/>
      <c r="F13" s="99"/>
      <c r="G13" s="100"/>
      <c r="H13" s="101"/>
    </row>
    <row r="14" spans="1:8" ht="15.75" x14ac:dyDescent="0.2">
      <c r="A14" s="102">
        <v>1</v>
      </c>
      <c r="B14" s="103" t="s">
        <v>94</v>
      </c>
      <c r="C14" s="96"/>
      <c r="D14" s="97"/>
      <c r="E14" s="98"/>
      <c r="F14" s="99"/>
      <c r="G14" s="100"/>
      <c r="H14" s="101"/>
    </row>
    <row r="15" spans="1:8" ht="15.75" x14ac:dyDescent="0.2">
      <c r="A15" s="102">
        <v>1</v>
      </c>
      <c r="B15" s="103" t="s">
        <v>40</v>
      </c>
      <c r="C15" s="96"/>
      <c r="D15" s="97"/>
      <c r="E15" s="98"/>
      <c r="F15" s="99"/>
      <c r="G15" s="100"/>
      <c r="H15" s="101"/>
    </row>
    <row r="16" spans="1:8" ht="15.75" x14ac:dyDescent="0.2">
      <c r="A16" s="102">
        <v>1</v>
      </c>
      <c r="B16" s="103" t="s">
        <v>111</v>
      </c>
      <c r="C16" s="96"/>
      <c r="D16" s="97"/>
      <c r="E16" s="98"/>
      <c r="F16" s="99"/>
      <c r="G16" s="100"/>
      <c r="H16" s="101"/>
    </row>
    <row r="17" spans="1:8" ht="15.75" x14ac:dyDescent="0.2">
      <c r="A17" s="102">
        <v>1</v>
      </c>
      <c r="B17" s="103" t="s">
        <v>87</v>
      </c>
      <c r="C17" s="96"/>
      <c r="D17" s="97"/>
      <c r="E17" s="98"/>
      <c r="F17" s="99"/>
      <c r="G17" s="100"/>
      <c r="H17" s="101"/>
    </row>
    <row r="18" spans="1:8" ht="15.75" x14ac:dyDescent="0.2">
      <c r="A18" s="102">
        <v>1</v>
      </c>
      <c r="B18" s="103" t="s">
        <v>77</v>
      </c>
      <c r="C18" s="96"/>
      <c r="D18" s="97"/>
      <c r="E18" s="98"/>
      <c r="F18" s="99"/>
      <c r="G18" s="100"/>
      <c r="H18" s="101"/>
    </row>
    <row r="19" spans="1:8" ht="15.75" x14ac:dyDescent="0.2">
      <c r="A19" s="102">
        <v>1</v>
      </c>
      <c r="B19" s="103" t="s">
        <v>46</v>
      </c>
      <c r="C19" s="96"/>
      <c r="D19" s="97"/>
      <c r="E19" s="98"/>
      <c r="F19" s="99"/>
      <c r="G19" s="100"/>
      <c r="H19" s="101"/>
    </row>
    <row r="20" spans="1:8" ht="15.75" x14ac:dyDescent="0.2">
      <c r="A20" s="102">
        <v>1</v>
      </c>
      <c r="B20" s="103" t="s">
        <v>64</v>
      </c>
      <c r="C20" s="96"/>
      <c r="D20" s="97"/>
      <c r="E20" s="98"/>
      <c r="F20" s="99"/>
      <c r="G20" s="100"/>
      <c r="H20" s="101"/>
    </row>
    <row r="21" spans="1:8" ht="15.75" x14ac:dyDescent="0.2">
      <c r="A21" s="102">
        <v>1</v>
      </c>
      <c r="B21" s="103" t="s">
        <v>27</v>
      </c>
      <c r="C21" s="96"/>
      <c r="D21" s="97"/>
      <c r="E21" s="98"/>
      <c r="F21" s="99"/>
      <c r="G21" s="100"/>
      <c r="H21" s="101"/>
    </row>
    <row r="22" spans="1:8" ht="15.75" x14ac:dyDescent="0.2">
      <c r="A22" s="102">
        <v>1</v>
      </c>
      <c r="B22" s="103" t="s">
        <v>110</v>
      </c>
      <c r="C22" s="96"/>
      <c r="D22" s="97"/>
      <c r="E22" s="98"/>
      <c r="F22" s="99"/>
      <c r="G22" s="100"/>
      <c r="H22" s="101"/>
    </row>
    <row r="23" spans="1:8" ht="15.75" x14ac:dyDescent="0.2">
      <c r="A23" s="102">
        <v>1</v>
      </c>
      <c r="B23" s="103" t="s">
        <v>92</v>
      </c>
      <c r="C23" s="96"/>
      <c r="D23" s="97"/>
      <c r="E23" s="98"/>
      <c r="F23" s="99"/>
      <c r="G23" s="100"/>
      <c r="H23" s="101"/>
    </row>
    <row r="24" spans="1:8" ht="15.75" x14ac:dyDescent="0.2">
      <c r="A24" s="102">
        <v>1</v>
      </c>
      <c r="B24" s="103" t="s">
        <v>22</v>
      </c>
      <c r="C24" s="96"/>
      <c r="D24" s="97"/>
      <c r="E24" s="98"/>
      <c r="F24" s="99"/>
      <c r="G24" s="100"/>
      <c r="H24" s="101"/>
    </row>
    <row r="25" spans="1:8" ht="15.75" x14ac:dyDescent="0.2">
      <c r="A25" s="102">
        <v>1</v>
      </c>
      <c r="B25" s="103" t="s">
        <v>70</v>
      </c>
      <c r="C25" s="96"/>
      <c r="D25" s="97"/>
      <c r="E25" s="98"/>
      <c r="F25" s="99"/>
      <c r="G25" s="100"/>
      <c r="H25" s="101"/>
    </row>
    <row r="26" spans="1:8" ht="15.75" x14ac:dyDescent="0.2">
      <c r="A26" s="102">
        <v>1</v>
      </c>
      <c r="B26" s="103" t="s">
        <v>116</v>
      </c>
      <c r="C26" s="96"/>
      <c r="D26" s="97"/>
      <c r="E26" s="98"/>
      <c r="F26" s="99"/>
      <c r="G26" s="100"/>
      <c r="H26" s="101"/>
    </row>
    <row r="27" spans="1:8" ht="15.75" x14ac:dyDescent="0.2">
      <c r="A27" s="102">
        <v>1</v>
      </c>
      <c r="B27" s="103" t="s">
        <v>4</v>
      </c>
      <c r="C27" s="96"/>
      <c r="D27" s="97"/>
      <c r="E27" s="98"/>
      <c r="F27" s="99"/>
      <c r="G27" s="100"/>
      <c r="H27" s="101"/>
    </row>
    <row r="28" spans="1:8" ht="15.75" x14ac:dyDescent="0.2">
      <c r="A28" s="102">
        <v>1</v>
      </c>
      <c r="B28" s="103" t="s">
        <v>58</v>
      </c>
      <c r="C28" s="96"/>
      <c r="D28" s="97"/>
      <c r="E28" s="98"/>
      <c r="F28" s="99"/>
      <c r="G28" s="100"/>
      <c r="H28" s="101"/>
    </row>
    <row r="29" spans="1:8" ht="15.75" x14ac:dyDescent="0.2">
      <c r="A29" s="102">
        <v>1</v>
      </c>
      <c r="B29" s="103" t="s">
        <v>36</v>
      </c>
      <c r="C29" s="96"/>
      <c r="D29" s="97"/>
      <c r="E29" s="98"/>
      <c r="F29" s="99"/>
      <c r="G29" s="100"/>
      <c r="H29" s="101"/>
    </row>
    <row r="30" spans="1:8" ht="15.75" x14ac:dyDescent="0.2">
      <c r="A30" s="102">
        <v>1</v>
      </c>
      <c r="B30" s="103" t="s">
        <v>78</v>
      </c>
      <c r="C30" s="96"/>
      <c r="D30" s="97"/>
      <c r="E30" s="98"/>
      <c r="F30" s="99"/>
      <c r="G30" s="100"/>
      <c r="H30" s="101"/>
    </row>
    <row r="31" spans="1:8" ht="15.75" x14ac:dyDescent="0.2">
      <c r="A31" s="102">
        <v>1</v>
      </c>
      <c r="B31" s="103" t="s">
        <v>119</v>
      </c>
      <c r="C31" s="96"/>
      <c r="D31" s="97"/>
      <c r="E31" s="98"/>
      <c r="F31" s="99"/>
      <c r="G31" s="100"/>
      <c r="H31" s="101"/>
    </row>
    <row r="32" spans="1:8" ht="15.75" x14ac:dyDescent="0.2">
      <c r="A32" s="102">
        <v>1</v>
      </c>
      <c r="B32" s="103" t="s">
        <v>68</v>
      </c>
      <c r="C32" s="96"/>
      <c r="D32" s="97"/>
      <c r="E32" s="98"/>
      <c r="F32" s="99"/>
      <c r="G32" s="100"/>
      <c r="H32" s="101"/>
    </row>
    <row r="33" spans="1:8" ht="15.75" x14ac:dyDescent="0.2">
      <c r="A33" s="102">
        <v>1</v>
      </c>
      <c r="B33" s="103" t="s">
        <v>0</v>
      </c>
      <c r="C33" s="96"/>
      <c r="D33" s="97"/>
      <c r="E33" s="98"/>
      <c r="F33" s="99"/>
      <c r="G33" s="100"/>
      <c r="H33" s="101"/>
    </row>
    <row r="34" spans="1:8" ht="15.75" x14ac:dyDescent="0.2">
      <c r="A34" s="102">
        <v>1</v>
      </c>
      <c r="B34" s="103" t="s">
        <v>21</v>
      </c>
      <c r="C34" s="96"/>
      <c r="D34" s="97"/>
      <c r="E34" s="98"/>
      <c r="F34" s="99"/>
      <c r="G34" s="100"/>
      <c r="H34" s="101"/>
    </row>
    <row r="35" spans="1:8" ht="15.75" x14ac:dyDescent="0.2">
      <c r="A35" s="102">
        <v>1</v>
      </c>
      <c r="B35" s="103" t="s">
        <v>102</v>
      </c>
      <c r="C35" s="96"/>
      <c r="D35" s="97"/>
      <c r="E35" s="98"/>
      <c r="F35" s="99"/>
      <c r="G35" s="100"/>
      <c r="H35" s="101"/>
    </row>
    <row r="36" spans="1:8" ht="15.75" x14ac:dyDescent="0.2">
      <c r="A36" s="102">
        <v>1</v>
      </c>
      <c r="B36" s="103" t="s">
        <v>29</v>
      </c>
      <c r="C36" s="96"/>
      <c r="D36" s="97"/>
      <c r="E36" s="98"/>
      <c r="F36" s="99"/>
      <c r="G36" s="100"/>
      <c r="H36" s="101"/>
    </row>
    <row r="37" spans="1:8" ht="15.75" x14ac:dyDescent="0.2">
      <c r="A37" s="102">
        <v>1</v>
      </c>
      <c r="B37" s="103" t="s">
        <v>38</v>
      </c>
      <c r="C37" s="96"/>
      <c r="D37" s="97"/>
      <c r="E37" s="98"/>
      <c r="F37" s="99"/>
      <c r="G37" s="100"/>
      <c r="H37" s="101"/>
    </row>
    <row r="38" spans="1:8" ht="15.75" x14ac:dyDescent="0.2">
      <c r="A38" s="102">
        <v>1</v>
      </c>
      <c r="B38" s="103" t="s">
        <v>69</v>
      </c>
      <c r="C38" s="96"/>
      <c r="D38" s="97"/>
      <c r="E38" s="98"/>
      <c r="F38" s="99"/>
      <c r="G38" s="100"/>
      <c r="H38" s="101"/>
    </row>
    <row r="39" spans="1:8" ht="15.75" x14ac:dyDescent="0.2">
      <c r="A39" s="102">
        <v>1</v>
      </c>
      <c r="B39" s="103" t="s">
        <v>93</v>
      </c>
      <c r="C39" s="96"/>
      <c r="D39" s="97"/>
      <c r="E39" s="98"/>
      <c r="F39" s="99"/>
      <c r="G39" s="100"/>
      <c r="H39" s="101"/>
    </row>
    <row r="40" spans="1:8" ht="15.75" x14ac:dyDescent="0.2">
      <c r="A40" s="102">
        <v>1</v>
      </c>
      <c r="B40" s="103" t="s">
        <v>65</v>
      </c>
      <c r="C40" s="96"/>
      <c r="D40" s="97"/>
      <c r="E40" s="98"/>
      <c r="F40" s="99"/>
      <c r="G40" s="100"/>
      <c r="H40" s="101"/>
    </row>
    <row r="41" spans="1:8" ht="15.75" x14ac:dyDescent="0.2">
      <c r="A41" s="102">
        <v>1</v>
      </c>
      <c r="B41" s="103" t="s">
        <v>35</v>
      </c>
      <c r="C41" s="96"/>
      <c r="D41" s="97"/>
      <c r="E41" s="98"/>
      <c r="F41" s="99"/>
      <c r="G41" s="100"/>
      <c r="H41" s="101"/>
    </row>
    <row r="42" spans="1:8" ht="15.75" x14ac:dyDescent="0.2">
      <c r="A42" s="102">
        <v>1</v>
      </c>
      <c r="B42" s="103" t="s">
        <v>39</v>
      </c>
      <c r="C42" s="96"/>
      <c r="D42" s="97"/>
      <c r="E42" s="98"/>
      <c r="F42" s="99"/>
      <c r="G42" s="100"/>
      <c r="H42" s="101"/>
    </row>
    <row r="43" spans="1:8" ht="15.75" x14ac:dyDescent="0.2">
      <c r="A43" s="102">
        <v>1</v>
      </c>
      <c r="B43" s="103" t="s">
        <v>49</v>
      </c>
      <c r="C43" s="96"/>
      <c r="D43" s="97"/>
      <c r="E43" s="98"/>
      <c r="F43" s="99"/>
      <c r="G43" s="100"/>
      <c r="H43" s="101"/>
    </row>
    <row r="44" spans="1:8" ht="15.75" x14ac:dyDescent="0.2">
      <c r="A44" s="102">
        <v>1</v>
      </c>
      <c r="B44" s="103" t="s">
        <v>71</v>
      </c>
      <c r="C44" s="96"/>
      <c r="D44" s="97"/>
      <c r="E44" s="98"/>
      <c r="F44" s="99"/>
      <c r="G44" s="100"/>
      <c r="H44" s="101"/>
    </row>
    <row r="45" spans="1:8" ht="15.75" x14ac:dyDescent="0.2">
      <c r="A45" s="102">
        <v>1</v>
      </c>
      <c r="B45" s="103" t="s">
        <v>3</v>
      </c>
      <c r="C45" s="96"/>
      <c r="D45" s="97"/>
      <c r="E45" s="98"/>
      <c r="F45" s="99"/>
      <c r="G45" s="100"/>
      <c r="H45" s="101"/>
    </row>
    <row r="46" spans="1:8" ht="15.75" x14ac:dyDescent="0.2">
      <c r="A46" s="102">
        <v>1</v>
      </c>
      <c r="B46" s="103" t="s">
        <v>56</v>
      </c>
      <c r="C46" s="96"/>
      <c r="D46" s="97"/>
      <c r="E46" s="98"/>
      <c r="F46" s="99"/>
      <c r="G46" s="100"/>
      <c r="H46" s="101"/>
    </row>
    <row r="47" spans="1:8" ht="15.75" x14ac:dyDescent="0.2">
      <c r="A47" s="102">
        <v>1</v>
      </c>
      <c r="B47" s="103" t="s">
        <v>26</v>
      </c>
      <c r="C47" s="96"/>
      <c r="D47" s="97"/>
      <c r="E47" s="98"/>
      <c r="F47" s="99"/>
      <c r="G47" s="100"/>
      <c r="H47" s="101"/>
    </row>
    <row r="48" spans="1:8" ht="15.75" x14ac:dyDescent="0.2">
      <c r="A48" s="102">
        <v>1</v>
      </c>
      <c r="B48" s="103" t="s">
        <v>33</v>
      </c>
      <c r="C48" s="96"/>
      <c r="D48" s="97"/>
      <c r="E48" s="98"/>
      <c r="F48" s="99"/>
      <c r="G48" s="100"/>
      <c r="H48" s="101"/>
    </row>
    <row r="49" spans="1:8" ht="15.75" x14ac:dyDescent="0.2">
      <c r="A49" s="102">
        <v>1</v>
      </c>
      <c r="B49" s="103" t="s">
        <v>89</v>
      </c>
      <c r="C49" s="96"/>
      <c r="D49" s="97"/>
      <c r="E49" s="98"/>
      <c r="F49" s="99"/>
      <c r="G49" s="100"/>
      <c r="H49" s="101"/>
    </row>
    <row r="50" spans="1:8" ht="15.75" x14ac:dyDescent="0.2">
      <c r="A50" s="102">
        <v>1</v>
      </c>
      <c r="B50" s="103" t="s">
        <v>112</v>
      </c>
      <c r="C50" s="96"/>
      <c r="D50" s="97"/>
      <c r="E50" s="98"/>
      <c r="F50" s="99"/>
      <c r="G50" s="100"/>
      <c r="H50" s="101"/>
    </row>
    <row r="51" spans="1:8" ht="15.75" x14ac:dyDescent="0.2">
      <c r="A51" s="102">
        <v>1</v>
      </c>
      <c r="B51" s="103" t="s">
        <v>123</v>
      </c>
      <c r="C51" s="96"/>
      <c r="D51" s="97"/>
      <c r="E51" s="98"/>
      <c r="F51" s="99"/>
      <c r="G51" s="100"/>
      <c r="H51" s="101"/>
    </row>
    <row r="52" spans="1:8" ht="15.75" x14ac:dyDescent="0.2">
      <c r="A52" s="102">
        <v>1</v>
      </c>
      <c r="B52" s="103" t="s">
        <v>79</v>
      </c>
      <c r="C52" s="96"/>
      <c r="D52" s="97"/>
      <c r="E52" s="98"/>
      <c r="F52" s="99"/>
      <c r="G52" s="100"/>
      <c r="H52" s="101"/>
    </row>
    <row r="53" spans="1:8" ht="15.75" x14ac:dyDescent="0.2">
      <c r="A53" s="102">
        <v>1</v>
      </c>
      <c r="B53" s="103" t="s">
        <v>96</v>
      </c>
      <c r="C53" s="96"/>
      <c r="D53" s="97"/>
      <c r="E53" s="98"/>
      <c r="F53" s="99"/>
      <c r="G53" s="100"/>
      <c r="H53" s="101"/>
    </row>
    <row r="54" spans="1:8" ht="15.75" x14ac:dyDescent="0.2">
      <c r="A54" s="102">
        <v>1</v>
      </c>
      <c r="B54" s="103" t="s">
        <v>108</v>
      </c>
      <c r="C54" s="96"/>
      <c r="D54" s="97"/>
      <c r="E54" s="98"/>
      <c r="F54" s="99"/>
      <c r="G54" s="100"/>
      <c r="H54" s="101"/>
    </row>
    <row r="55" spans="1:8" ht="15.75" x14ac:dyDescent="0.2">
      <c r="A55" s="102">
        <v>1</v>
      </c>
      <c r="B55" s="103" t="s">
        <v>104</v>
      </c>
      <c r="C55" s="96"/>
      <c r="D55" s="97"/>
      <c r="E55" s="98"/>
      <c r="F55" s="99"/>
      <c r="G55" s="100"/>
      <c r="H55" s="101"/>
    </row>
    <row r="56" spans="1:8" ht="15.75" x14ac:dyDescent="0.2">
      <c r="A56" s="102">
        <v>1</v>
      </c>
      <c r="B56" s="103" t="s">
        <v>106</v>
      </c>
      <c r="C56" s="96"/>
      <c r="D56" s="97"/>
      <c r="E56" s="98"/>
      <c r="F56" s="99"/>
      <c r="G56" s="100"/>
      <c r="H56" s="101"/>
    </row>
    <row r="57" spans="1:8" ht="15.75" x14ac:dyDescent="0.2">
      <c r="A57" s="102">
        <v>1</v>
      </c>
      <c r="B57" s="103" t="s">
        <v>7</v>
      </c>
      <c r="C57" s="96"/>
      <c r="D57" s="97"/>
      <c r="E57" s="98"/>
      <c r="F57" s="99"/>
      <c r="G57" s="100"/>
      <c r="H57" s="101"/>
    </row>
    <row r="58" spans="1:8" ht="15.75" x14ac:dyDescent="0.2">
      <c r="A58" s="102">
        <v>1</v>
      </c>
      <c r="B58" s="103" t="s">
        <v>95</v>
      </c>
      <c r="C58" s="96"/>
      <c r="D58" s="97"/>
      <c r="E58" s="98"/>
      <c r="F58" s="99"/>
      <c r="G58" s="100"/>
      <c r="H58" s="101"/>
    </row>
    <row r="59" spans="1:8" ht="15.75" x14ac:dyDescent="0.2">
      <c r="A59" s="102">
        <v>1</v>
      </c>
      <c r="B59" s="103" t="s">
        <v>30</v>
      </c>
      <c r="C59" s="96"/>
      <c r="D59" s="97"/>
      <c r="E59" s="98"/>
      <c r="F59" s="99"/>
      <c r="G59" s="100"/>
      <c r="H59" s="101"/>
    </row>
    <row r="60" spans="1:8" ht="15.75" x14ac:dyDescent="0.2">
      <c r="A60" s="102">
        <v>1</v>
      </c>
      <c r="B60" s="103" t="s">
        <v>80</v>
      </c>
      <c r="C60" s="96"/>
      <c r="D60" s="97"/>
      <c r="E60" s="98"/>
      <c r="F60" s="99"/>
      <c r="G60" s="100"/>
      <c r="H60" s="101"/>
    </row>
    <row r="61" spans="1:8" ht="15.75" x14ac:dyDescent="0.2">
      <c r="A61" s="102">
        <v>1</v>
      </c>
      <c r="B61" s="103" t="s">
        <v>82</v>
      </c>
      <c r="C61" s="96"/>
      <c r="D61" s="97"/>
      <c r="E61" s="98"/>
      <c r="F61" s="99"/>
      <c r="G61" s="100"/>
      <c r="H61" s="101"/>
    </row>
    <row r="62" spans="1:8" ht="15.75" x14ac:dyDescent="0.2">
      <c r="A62" s="102">
        <v>1</v>
      </c>
      <c r="B62" s="103" t="s">
        <v>47</v>
      </c>
      <c r="C62" s="96"/>
      <c r="D62" s="97"/>
      <c r="E62" s="98"/>
      <c r="F62" s="99"/>
      <c r="G62" s="100"/>
      <c r="H62" s="101"/>
    </row>
    <row r="63" spans="1:8" ht="15.75" x14ac:dyDescent="0.2">
      <c r="A63" s="102">
        <v>1</v>
      </c>
      <c r="B63" s="103" t="s">
        <v>28</v>
      </c>
      <c r="C63" s="96"/>
      <c r="D63" s="97"/>
      <c r="E63" s="98"/>
      <c r="F63" s="99"/>
      <c r="G63" s="100"/>
      <c r="H63" s="101"/>
    </row>
    <row r="64" spans="1:8" ht="15.75" x14ac:dyDescent="0.2">
      <c r="A64" s="102">
        <v>1</v>
      </c>
      <c r="B64" s="103" t="s">
        <v>107</v>
      </c>
      <c r="C64" s="96"/>
      <c r="D64" s="97"/>
      <c r="E64" s="98"/>
      <c r="F64" s="99"/>
      <c r="G64" s="100"/>
      <c r="H64" s="101"/>
    </row>
    <row r="65" spans="1:8" ht="15.75" x14ac:dyDescent="0.2">
      <c r="A65" s="102">
        <v>1</v>
      </c>
      <c r="B65" s="103" t="s">
        <v>105</v>
      </c>
      <c r="C65" s="96"/>
      <c r="D65" s="97"/>
      <c r="E65" s="98"/>
      <c r="F65" s="99"/>
      <c r="G65" s="100"/>
      <c r="H65" s="101"/>
    </row>
    <row r="66" spans="1:8" ht="15.75" x14ac:dyDescent="0.2">
      <c r="A66" s="102">
        <v>1</v>
      </c>
      <c r="B66" s="103" t="s">
        <v>97</v>
      </c>
      <c r="C66" s="96"/>
      <c r="D66" s="97"/>
      <c r="E66" s="98"/>
      <c r="F66" s="99"/>
      <c r="G66" s="100"/>
      <c r="H66" s="101"/>
    </row>
    <row r="67" spans="1:8" ht="15.75" x14ac:dyDescent="0.2">
      <c r="A67" s="102">
        <v>1</v>
      </c>
      <c r="B67" s="103" t="s">
        <v>76</v>
      </c>
      <c r="C67" s="96"/>
      <c r="D67" s="97"/>
      <c r="E67" s="98"/>
      <c r="F67" s="99"/>
      <c r="G67" s="100"/>
      <c r="H67" s="101"/>
    </row>
    <row r="68" spans="1:8" ht="15.75" x14ac:dyDescent="0.2">
      <c r="A68" s="102">
        <v>1</v>
      </c>
      <c r="B68" s="103" t="s">
        <v>118</v>
      </c>
      <c r="C68" s="96"/>
      <c r="D68" s="97"/>
      <c r="E68" s="98"/>
      <c r="F68" s="99"/>
      <c r="G68" s="100"/>
      <c r="H68" s="101"/>
    </row>
    <row r="69" spans="1:8" ht="15.75" x14ac:dyDescent="0.2">
      <c r="A69" s="102">
        <v>1</v>
      </c>
      <c r="B69" s="103" t="s">
        <v>43</v>
      </c>
      <c r="C69" s="96"/>
      <c r="D69" s="97"/>
      <c r="E69" s="98"/>
      <c r="F69" s="99"/>
      <c r="G69" s="100"/>
      <c r="H69" s="101"/>
    </row>
    <row r="70" spans="1:8" ht="15.75" x14ac:dyDescent="0.2">
      <c r="A70" s="102">
        <v>1</v>
      </c>
      <c r="B70" s="103" t="s">
        <v>73</v>
      </c>
      <c r="C70" s="96"/>
      <c r="D70" s="97"/>
      <c r="E70" s="98"/>
      <c r="F70" s="99"/>
      <c r="G70" s="100"/>
      <c r="H70" s="101"/>
    </row>
    <row r="71" spans="1:8" ht="15.75" x14ac:dyDescent="0.2">
      <c r="A71" s="102">
        <v>1</v>
      </c>
      <c r="B71" s="103" t="s">
        <v>23</v>
      </c>
      <c r="C71" s="96"/>
      <c r="D71" s="97"/>
      <c r="E71" s="98"/>
      <c r="F71" s="99"/>
      <c r="G71" s="100"/>
      <c r="H71" s="101"/>
    </row>
    <row r="72" spans="1:8" ht="15.75" x14ac:dyDescent="0.2">
      <c r="A72" s="102">
        <v>1</v>
      </c>
      <c r="B72" s="103" t="s">
        <v>114</v>
      </c>
      <c r="C72" s="96"/>
      <c r="D72" s="97"/>
      <c r="E72" s="98"/>
      <c r="F72" s="99"/>
      <c r="G72" s="100"/>
      <c r="H72" s="101"/>
    </row>
    <row r="73" spans="1:8" ht="15.75" x14ac:dyDescent="0.2">
      <c r="A73" s="102">
        <v>1</v>
      </c>
      <c r="B73" s="103" t="s">
        <v>85</v>
      </c>
      <c r="C73" s="96"/>
      <c r="D73" s="97"/>
      <c r="E73" s="98"/>
      <c r="F73" s="99"/>
      <c r="G73" s="100"/>
      <c r="H73" s="101"/>
    </row>
    <row r="74" spans="1:8" ht="15.75" x14ac:dyDescent="0.2">
      <c r="A74" s="102">
        <v>1</v>
      </c>
      <c r="B74" s="103" t="s">
        <v>60</v>
      </c>
      <c r="C74" s="96"/>
      <c r="D74" s="97"/>
      <c r="E74" s="98"/>
      <c r="F74" s="99"/>
      <c r="G74" s="100"/>
      <c r="H74" s="101"/>
    </row>
    <row r="75" spans="1:8" ht="15.75" x14ac:dyDescent="0.2">
      <c r="A75" s="102">
        <v>1</v>
      </c>
      <c r="B75" s="103" t="s">
        <v>44</v>
      </c>
      <c r="C75" s="96"/>
      <c r="D75" s="97"/>
      <c r="E75" s="98"/>
      <c r="F75" s="99"/>
      <c r="G75" s="100"/>
      <c r="H75" s="101"/>
    </row>
    <row r="76" spans="1:8" ht="15.75" x14ac:dyDescent="0.2">
      <c r="A76" s="102">
        <v>1</v>
      </c>
      <c r="B76" s="103" t="s">
        <v>91</v>
      </c>
      <c r="C76" s="96"/>
      <c r="D76" s="97"/>
      <c r="E76" s="98"/>
      <c r="F76" s="99"/>
      <c r="G76" s="100"/>
      <c r="H76" s="101"/>
    </row>
    <row r="77" spans="1:8" ht="15.75" x14ac:dyDescent="0.2">
      <c r="A77" s="102">
        <v>1</v>
      </c>
      <c r="B77" s="103" t="s">
        <v>10</v>
      </c>
      <c r="C77" s="96"/>
      <c r="D77" s="97"/>
      <c r="E77" s="98"/>
      <c r="F77" s="99"/>
      <c r="G77" s="100"/>
      <c r="H77" s="101"/>
    </row>
    <row r="78" spans="1:8" ht="15.75" x14ac:dyDescent="0.2">
      <c r="A78" s="102">
        <v>1</v>
      </c>
      <c r="B78" s="103" t="s">
        <v>6</v>
      </c>
      <c r="C78" s="96"/>
      <c r="D78" s="97"/>
      <c r="E78" s="98"/>
      <c r="F78" s="99"/>
      <c r="G78" s="100"/>
      <c r="H78" s="101"/>
    </row>
    <row r="79" spans="1:8" ht="15.75" x14ac:dyDescent="0.2">
      <c r="A79" s="102">
        <v>1</v>
      </c>
      <c r="B79" s="103" t="s">
        <v>67</v>
      </c>
      <c r="C79" s="96"/>
      <c r="D79" s="97"/>
      <c r="E79" s="98"/>
      <c r="F79" s="99"/>
      <c r="G79" s="100"/>
      <c r="H79" s="101"/>
    </row>
    <row r="80" spans="1:8" ht="15.75" x14ac:dyDescent="0.2">
      <c r="A80" s="102">
        <v>1</v>
      </c>
      <c r="B80" s="103" t="s">
        <v>109</v>
      </c>
      <c r="C80" s="96"/>
      <c r="D80" s="97"/>
      <c r="E80" s="98"/>
      <c r="F80" s="99"/>
      <c r="G80" s="100"/>
      <c r="H80" s="101"/>
    </row>
    <row r="81" spans="1:8" ht="15.75" x14ac:dyDescent="0.2">
      <c r="A81" s="102">
        <v>1</v>
      </c>
      <c r="B81" s="103" t="s">
        <v>32</v>
      </c>
      <c r="C81" s="96"/>
      <c r="D81" s="97"/>
      <c r="E81" s="98"/>
      <c r="F81" s="99"/>
      <c r="G81" s="100"/>
      <c r="H81" s="101"/>
    </row>
    <row r="82" spans="1:8" ht="15.75" x14ac:dyDescent="0.2">
      <c r="A82" s="102">
        <v>1</v>
      </c>
      <c r="B82" s="103" t="s">
        <v>54</v>
      </c>
      <c r="C82" s="96"/>
      <c r="D82" s="97"/>
      <c r="E82" s="98"/>
      <c r="F82" s="99"/>
      <c r="G82" s="100"/>
      <c r="H82" s="101"/>
    </row>
    <row r="83" spans="1:8" ht="15.75" x14ac:dyDescent="0.2">
      <c r="A83" s="102">
        <v>1</v>
      </c>
      <c r="B83" s="103" t="s">
        <v>62</v>
      </c>
      <c r="C83" s="96"/>
      <c r="D83" s="97"/>
      <c r="E83" s="98"/>
      <c r="F83" s="99"/>
      <c r="G83" s="100"/>
      <c r="H83" s="101"/>
    </row>
    <row r="84" spans="1:8" ht="15.75" x14ac:dyDescent="0.2">
      <c r="A84" s="102">
        <v>1</v>
      </c>
      <c r="B84" s="103" t="s">
        <v>74</v>
      </c>
      <c r="C84" s="96"/>
      <c r="D84" s="97"/>
      <c r="E84" s="98"/>
      <c r="F84" s="99"/>
      <c r="G84" s="100"/>
      <c r="H84" s="101"/>
    </row>
    <row r="85" spans="1:8" ht="15.75" x14ac:dyDescent="0.2">
      <c r="A85" s="102">
        <v>1</v>
      </c>
      <c r="B85" s="103" t="s">
        <v>42</v>
      </c>
      <c r="C85" s="96"/>
      <c r="D85" s="97"/>
      <c r="E85" s="98"/>
      <c r="F85" s="99"/>
      <c r="G85" s="100"/>
      <c r="H85" s="101"/>
    </row>
    <row r="86" spans="1:8" ht="15.75" x14ac:dyDescent="0.2">
      <c r="A86" s="102">
        <v>1</v>
      </c>
      <c r="B86" s="103" t="s">
        <v>31</v>
      </c>
      <c r="C86" s="96"/>
      <c r="D86" s="97"/>
      <c r="E86" s="98"/>
      <c r="F86" s="99"/>
      <c r="G86" s="100"/>
      <c r="H86" s="101"/>
    </row>
    <row r="87" spans="1:8" ht="15.75" x14ac:dyDescent="0.2">
      <c r="A87" s="102">
        <v>1</v>
      </c>
      <c r="B87" s="103" t="s">
        <v>16</v>
      </c>
      <c r="C87" s="96"/>
      <c r="D87" s="97"/>
      <c r="E87" s="98"/>
      <c r="F87" s="99"/>
      <c r="G87" s="100"/>
      <c r="H87" s="101"/>
    </row>
    <row r="88" spans="1:8" ht="15.75" x14ac:dyDescent="0.2">
      <c r="A88" s="102">
        <v>1</v>
      </c>
      <c r="B88" s="103" t="s">
        <v>72</v>
      </c>
      <c r="C88" s="96"/>
      <c r="D88" s="97"/>
      <c r="E88" s="98"/>
      <c r="F88" s="99"/>
      <c r="G88" s="100"/>
      <c r="H88" s="101"/>
    </row>
    <row r="89" spans="1:8" ht="15.75" x14ac:dyDescent="0.2">
      <c r="A89" s="102">
        <v>1</v>
      </c>
      <c r="B89" s="103" t="s">
        <v>63</v>
      </c>
      <c r="C89" s="96"/>
      <c r="D89" s="97"/>
      <c r="E89" s="98"/>
      <c r="F89" s="99"/>
      <c r="G89" s="100"/>
      <c r="H89" s="101"/>
    </row>
    <row r="90" spans="1:8" ht="15.75" x14ac:dyDescent="0.2">
      <c r="A90" s="102">
        <v>1</v>
      </c>
      <c r="B90" s="103" t="s">
        <v>52</v>
      </c>
      <c r="C90" s="96"/>
      <c r="D90" s="97"/>
      <c r="E90" s="98"/>
      <c r="F90" s="99"/>
      <c r="G90" s="100"/>
      <c r="H90" s="101"/>
    </row>
    <row r="91" spans="1:8" ht="15.75" x14ac:dyDescent="0.2">
      <c r="A91" s="102">
        <v>1</v>
      </c>
      <c r="B91" s="103" t="s">
        <v>9</v>
      </c>
      <c r="C91" s="96"/>
      <c r="D91" s="97"/>
      <c r="E91" s="98"/>
      <c r="F91" s="99"/>
      <c r="G91" s="100"/>
      <c r="H91" s="101"/>
    </row>
    <row r="92" spans="1:8" ht="15.75" x14ac:dyDescent="0.2">
      <c r="A92" s="102">
        <v>1</v>
      </c>
      <c r="B92" s="103" t="s">
        <v>83</v>
      </c>
      <c r="C92" s="96"/>
      <c r="D92" s="97"/>
      <c r="E92" s="98"/>
      <c r="F92" s="99"/>
      <c r="G92" s="100"/>
      <c r="H92" s="101"/>
    </row>
    <row r="93" spans="1:8" ht="15.75" x14ac:dyDescent="0.2">
      <c r="A93" s="102">
        <v>1</v>
      </c>
      <c r="B93" s="103" t="s">
        <v>117</v>
      </c>
      <c r="C93" s="96"/>
      <c r="D93" s="97"/>
      <c r="E93" s="98"/>
      <c r="F93" s="99"/>
      <c r="G93" s="100"/>
      <c r="H93" s="101"/>
    </row>
    <row r="94" spans="1:8" ht="15.75" x14ac:dyDescent="0.2">
      <c r="A94" s="102">
        <v>1</v>
      </c>
      <c r="B94" s="103" t="s">
        <v>45</v>
      </c>
      <c r="C94" s="96"/>
      <c r="D94" s="97"/>
      <c r="E94" s="98"/>
      <c r="F94" s="99"/>
      <c r="G94" s="100"/>
      <c r="H94" s="101"/>
    </row>
    <row r="95" spans="1:8" ht="15.75" x14ac:dyDescent="0.2">
      <c r="A95" s="102">
        <v>1</v>
      </c>
      <c r="B95" s="103" t="s">
        <v>51</v>
      </c>
      <c r="C95" s="96"/>
      <c r="D95" s="97"/>
      <c r="E95" s="98"/>
      <c r="F95" s="99"/>
      <c r="G95" s="100"/>
      <c r="H95" s="101"/>
    </row>
    <row r="96" spans="1:8" ht="15.75" x14ac:dyDescent="0.2">
      <c r="A96" s="102">
        <v>1</v>
      </c>
      <c r="B96" s="103" t="s">
        <v>8</v>
      </c>
      <c r="C96" s="96"/>
      <c r="D96" s="97"/>
      <c r="E96" s="98"/>
      <c r="F96" s="99"/>
      <c r="G96" s="100"/>
      <c r="H96" s="101"/>
    </row>
    <row r="97" spans="1:8" ht="15.75" x14ac:dyDescent="0.2">
      <c r="A97" s="102">
        <v>1</v>
      </c>
      <c r="B97" s="103" t="s">
        <v>86</v>
      </c>
      <c r="C97" s="96"/>
      <c r="D97" s="97"/>
      <c r="E97" s="98"/>
      <c r="F97" s="99"/>
      <c r="G97" s="100"/>
      <c r="H97" s="101"/>
    </row>
    <row r="98" spans="1:8" ht="15.75" x14ac:dyDescent="0.2">
      <c r="A98" s="102">
        <v>1</v>
      </c>
      <c r="B98" s="103" t="s">
        <v>100</v>
      </c>
      <c r="C98" s="96"/>
      <c r="D98" s="97"/>
      <c r="E98" s="98"/>
      <c r="F98" s="99"/>
      <c r="G98" s="100"/>
      <c r="H98" s="101"/>
    </row>
    <row r="99" spans="1:8" ht="15.75" x14ac:dyDescent="0.2">
      <c r="A99" s="102">
        <v>1</v>
      </c>
      <c r="B99" s="103" t="s">
        <v>122</v>
      </c>
      <c r="C99" s="96"/>
      <c r="D99" s="97"/>
      <c r="E99" s="98"/>
      <c r="F99" s="99"/>
      <c r="G99" s="100"/>
      <c r="H99" s="101"/>
    </row>
    <row r="100" spans="1:8" ht="15.75" x14ac:dyDescent="0.2">
      <c r="A100" s="102">
        <v>1</v>
      </c>
      <c r="B100" s="103" t="s">
        <v>103</v>
      </c>
      <c r="C100" s="96"/>
      <c r="D100" s="97"/>
      <c r="E100" s="98"/>
      <c r="F100" s="99"/>
      <c r="G100" s="100"/>
      <c r="H100" s="101"/>
    </row>
    <row r="101" spans="1:8" ht="15.75" x14ac:dyDescent="0.2">
      <c r="A101" s="102">
        <v>1</v>
      </c>
      <c r="B101" s="103" t="s">
        <v>115</v>
      </c>
      <c r="C101" s="96"/>
      <c r="D101" s="97"/>
      <c r="E101" s="98"/>
      <c r="F101" s="99"/>
      <c r="G101" s="100"/>
      <c r="H101" s="101"/>
    </row>
    <row r="102" spans="1:8" ht="15.75" x14ac:dyDescent="0.2">
      <c r="A102" s="102">
        <v>1</v>
      </c>
      <c r="B102" s="103" t="s">
        <v>14</v>
      </c>
      <c r="C102" s="96"/>
      <c r="D102" s="97"/>
      <c r="E102" s="98"/>
      <c r="F102" s="99"/>
      <c r="G102" s="100"/>
      <c r="H102" s="101"/>
    </row>
    <row r="103" spans="1:8" ht="15.75" x14ac:dyDescent="0.2">
      <c r="A103" s="102">
        <v>1</v>
      </c>
      <c r="B103" s="103" t="s">
        <v>90</v>
      </c>
      <c r="C103" s="96"/>
      <c r="D103" s="97"/>
      <c r="E103" s="98"/>
      <c r="F103" s="99"/>
      <c r="G103" s="100"/>
      <c r="H103" s="101"/>
    </row>
    <row r="104" spans="1:8" ht="15.75" x14ac:dyDescent="0.2">
      <c r="A104" s="102">
        <v>1</v>
      </c>
      <c r="B104" s="103" t="s">
        <v>84</v>
      </c>
      <c r="C104" s="96"/>
      <c r="D104" s="97"/>
      <c r="E104" s="98"/>
      <c r="F104" s="99"/>
      <c r="G104" s="100"/>
      <c r="H104" s="101"/>
    </row>
    <row r="105" spans="1:8" ht="15.75" x14ac:dyDescent="0.2">
      <c r="A105" s="102">
        <v>1</v>
      </c>
      <c r="B105" s="103" t="s">
        <v>101</v>
      </c>
      <c r="C105" s="96"/>
      <c r="D105" s="97"/>
      <c r="E105" s="98"/>
      <c r="F105" s="99"/>
      <c r="G105" s="100"/>
      <c r="H105" s="101"/>
    </row>
    <row r="106" spans="1:8" ht="15.75" x14ac:dyDescent="0.2">
      <c r="A106" s="102">
        <v>1</v>
      </c>
      <c r="B106" s="103" t="s">
        <v>55</v>
      </c>
      <c r="C106" s="96"/>
      <c r="D106" s="97"/>
      <c r="E106" s="98"/>
      <c r="F106" s="99"/>
      <c r="G106" s="100"/>
      <c r="H106" s="101"/>
    </row>
    <row r="107" spans="1:8" ht="15.75" x14ac:dyDescent="0.2">
      <c r="A107" s="102">
        <v>1</v>
      </c>
      <c r="B107" s="103" t="s">
        <v>48</v>
      </c>
      <c r="C107" s="96"/>
      <c r="D107" s="97"/>
      <c r="E107" s="98"/>
      <c r="F107" s="99"/>
      <c r="G107" s="100"/>
      <c r="H107" s="101"/>
    </row>
    <row r="108" spans="1:8" ht="15.75" x14ac:dyDescent="0.2">
      <c r="A108" s="102">
        <v>1</v>
      </c>
      <c r="B108" s="103" t="s">
        <v>12</v>
      </c>
      <c r="C108" s="96"/>
      <c r="D108" s="97"/>
      <c r="E108" s="98"/>
      <c r="F108" s="99"/>
      <c r="G108" s="100"/>
      <c r="H108" s="101"/>
    </row>
    <row r="109" spans="1:8" ht="15.75" x14ac:dyDescent="0.2">
      <c r="A109" s="102">
        <v>1</v>
      </c>
      <c r="B109" s="103" t="s">
        <v>34</v>
      </c>
      <c r="C109" s="96"/>
      <c r="D109" s="97"/>
      <c r="E109" s="98"/>
      <c r="F109" s="99"/>
      <c r="G109" s="100"/>
      <c r="H109" s="101"/>
    </row>
    <row r="110" spans="1:8" ht="15.75" x14ac:dyDescent="0.2">
      <c r="A110" s="102">
        <v>1</v>
      </c>
      <c r="B110" s="103" t="s">
        <v>120</v>
      </c>
      <c r="C110" s="96"/>
      <c r="D110" s="97"/>
      <c r="E110" s="98"/>
      <c r="F110" s="99"/>
      <c r="G110" s="100"/>
      <c r="H110" s="101"/>
    </row>
    <row r="111" spans="1:8" ht="15.75" x14ac:dyDescent="0.2">
      <c r="A111" s="102">
        <v>1</v>
      </c>
      <c r="B111" s="103" t="s">
        <v>61</v>
      </c>
      <c r="C111" s="96"/>
      <c r="D111" s="97"/>
      <c r="E111" s="98"/>
      <c r="F111" s="99"/>
      <c r="G111" s="100"/>
      <c r="H111" s="101"/>
    </row>
    <row r="112" spans="1:8" ht="15.75" x14ac:dyDescent="0.2">
      <c r="A112" s="102">
        <v>1</v>
      </c>
      <c r="B112" s="103" t="s">
        <v>20</v>
      </c>
      <c r="C112" s="96"/>
      <c r="D112" s="97"/>
      <c r="E112" s="98"/>
      <c r="F112" s="99"/>
      <c r="G112" s="100"/>
      <c r="H112" s="101"/>
    </row>
    <row r="113" spans="1:8" ht="15.75" x14ac:dyDescent="0.2">
      <c r="A113" s="102">
        <v>1</v>
      </c>
      <c r="B113" s="103" t="s">
        <v>113</v>
      </c>
      <c r="C113" s="96"/>
      <c r="D113" s="97"/>
      <c r="E113" s="98"/>
      <c r="F113" s="99"/>
      <c r="G113" s="100"/>
      <c r="H113" s="101"/>
    </row>
    <row r="114" spans="1:8" ht="15.75" x14ac:dyDescent="0.2">
      <c r="A114" s="102">
        <v>1</v>
      </c>
      <c r="B114" s="103" t="s">
        <v>13</v>
      </c>
      <c r="C114" s="96"/>
      <c r="D114" s="97"/>
      <c r="E114" s="98"/>
      <c r="F114" s="99"/>
      <c r="G114" s="100"/>
      <c r="H114" s="101"/>
    </row>
    <row r="115" spans="1:8" ht="15.75" x14ac:dyDescent="0.2">
      <c r="A115" s="102">
        <v>1</v>
      </c>
      <c r="B115" s="103" t="s">
        <v>18</v>
      </c>
      <c r="C115" s="96"/>
      <c r="D115" s="97"/>
      <c r="E115" s="98"/>
      <c r="F115" s="99"/>
      <c r="G115" s="100"/>
      <c r="H115" s="101"/>
    </row>
    <row r="116" spans="1:8" ht="15.75" x14ac:dyDescent="0.2">
      <c r="A116" s="102">
        <v>1</v>
      </c>
      <c r="B116" s="103" t="s">
        <v>66</v>
      </c>
      <c r="C116" s="96"/>
      <c r="D116" s="97"/>
      <c r="E116" s="98"/>
      <c r="F116" s="99"/>
      <c r="G116" s="100"/>
      <c r="H116" s="101"/>
    </row>
    <row r="117" spans="1:8" ht="15.75" x14ac:dyDescent="0.2">
      <c r="A117" s="102">
        <v>1</v>
      </c>
      <c r="B117" s="103" t="s">
        <v>98</v>
      </c>
      <c r="C117" s="96"/>
      <c r="D117" s="97"/>
      <c r="E117" s="98"/>
      <c r="F117" s="99"/>
      <c r="G117" s="100"/>
      <c r="H117" s="101"/>
    </row>
    <row r="118" spans="1:8" ht="15.75" x14ac:dyDescent="0.2">
      <c r="A118" s="102">
        <v>1</v>
      </c>
      <c r="B118" s="103" t="s">
        <v>75</v>
      </c>
      <c r="C118" s="96"/>
      <c r="D118" s="97"/>
      <c r="E118" s="98"/>
      <c r="F118" s="99"/>
      <c r="G118" s="100"/>
      <c r="H118" s="101"/>
    </row>
    <row r="119" spans="1:8" ht="15.75" x14ac:dyDescent="0.2">
      <c r="A119" s="102">
        <v>1</v>
      </c>
      <c r="B119" s="103" t="s">
        <v>19</v>
      </c>
      <c r="C119" s="96"/>
      <c r="D119" s="97"/>
      <c r="E119" s="98"/>
      <c r="F119" s="99"/>
      <c r="G119" s="100"/>
      <c r="H119" s="101"/>
    </row>
    <row r="120" spans="1:8" ht="15.75" x14ac:dyDescent="0.2">
      <c r="A120" s="102">
        <v>1</v>
      </c>
      <c r="B120" s="103" t="s">
        <v>81</v>
      </c>
      <c r="C120" s="96"/>
      <c r="D120" s="97"/>
      <c r="E120" s="98"/>
      <c r="F120" s="99"/>
      <c r="G120" s="100"/>
      <c r="H120" s="101"/>
    </row>
    <row r="121" spans="1:8" ht="15.75" x14ac:dyDescent="0.2">
      <c r="A121" s="102">
        <v>1</v>
      </c>
      <c r="B121" s="103" t="s">
        <v>88</v>
      </c>
      <c r="C121" s="96"/>
      <c r="D121" s="97"/>
      <c r="E121" s="98"/>
      <c r="F121" s="99"/>
      <c r="G121" s="100"/>
      <c r="H121" s="101"/>
    </row>
    <row r="122" spans="1:8" ht="15.75" x14ac:dyDescent="0.2">
      <c r="A122" s="102">
        <v>1</v>
      </c>
      <c r="B122" s="103" t="s">
        <v>41</v>
      </c>
      <c r="C122" s="96"/>
      <c r="D122" s="97"/>
      <c r="E122" s="98"/>
      <c r="F122" s="99"/>
      <c r="G122" s="100"/>
      <c r="H122" s="101"/>
    </row>
    <row r="123" spans="1:8" ht="15.75" x14ac:dyDescent="0.2">
      <c r="A123" s="102">
        <v>1</v>
      </c>
      <c r="B123" s="103" t="s">
        <v>53</v>
      </c>
      <c r="C123" s="96"/>
      <c r="D123" s="97"/>
      <c r="E123" s="98"/>
      <c r="F123" s="99"/>
      <c r="G123" s="100"/>
      <c r="H123" s="101"/>
    </row>
    <row r="124" spans="1:8" ht="15.75" x14ac:dyDescent="0.2">
      <c r="A124" s="102">
        <v>1</v>
      </c>
      <c r="B124" s="103" t="s">
        <v>1</v>
      </c>
      <c r="C124" s="96"/>
      <c r="D124" s="97"/>
      <c r="E124" s="98"/>
      <c r="F124" s="99"/>
      <c r="G124" s="100"/>
      <c r="H124" s="101"/>
    </row>
    <row r="125" spans="1:8" ht="15.75" x14ac:dyDescent="0.2">
      <c r="A125" s="102">
        <v>1</v>
      </c>
      <c r="B125" s="103" t="s">
        <v>99</v>
      </c>
      <c r="C125" s="96"/>
      <c r="D125" s="97"/>
      <c r="E125" s="98"/>
      <c r="F125" s="99"/>
      <c r="G125" s="100"/>
      <c r="H125" s="101"/>
    </row>
    <row r="126" spans="1:8" ht="15.75" x14ac:dyDescent="0.2">
      <c r="A126" s="102">
        <v>1</v>
      </c>
      <c r="B126" s="103" t="s">
        <v>25</v>
      </c>
      <c r="C126" s="96"/>
      <c r="D126" s="97"/>
      <c r="E126" s="98"/>
      <c r="F126" s="99"/>
      <c r="G126" s="100"/>
      <c r="H126" s="101"/>
    </row>
    <row r="127" spans="1:8" ht="15.75" x14ac:dyDescent="0.2">
      <c r="A127" s="102">
        <v>1</v>
      </c>
      <c r="B127" s="103" t="s">
        <v>121</v>
      </c>
      <c r="C127" s="96"/>
      <c r="D127" s="97"/>
      <c r="E127" s="98"/>
      <c r="F127" s="99"/>
      <c r="G127" s="100"/>
      <c r="H127" s="101"/>
    </row>
    <row r="128" spans="1:8" ht="14.25" x14ac:dyDescent="0.2">
      <c r="A128" s="104"/>
      <c r="B128" s="104"/>
      <c r="C128" s="104"/>
      <c r="D128" s="104"/>
      <c r="E128" s="105"/>
      <c r="F128" s="104"/>
      <c r="G128" s="104"/>
      <c r="H128" s="104"/>
    </row>
    <row r="129" spans="1:8" ht="14.25" x14ac:dyDescent="0.2">
      <c r="A129" s="104"/>
      <c r="B129" s="104"/>
      <c r="C129" s="104"/>
      <c r="D129" s="104"/>
      <c r="E129" s="105"/>
      <c r="F129" s="104"/>
      <c r="G129" s="104"/>
      <c r="H129" s="104"/>
    </row>
    <row r="130" spans="1:8" ht="14.25" x14ac:dyDescent="0.2">
      <c r="A130" s="104"/>
      <c r="B130" s="104"/>
      <c r="C130" s="104"/>
      <c r="D130" s="104"/>
      <c r="E130" s="105"/>
      <c r="F130" s="104"/>
      <c r="G130" s="104"/>
      <c r="H130" s="104"/>
    </row>
    <row r="131" spans="1:8" ht="14.25" x14ac:dyDescent="0.2">
      <c r="A131" s="104"/>
      <c r="B131" s="104"/>
      <c r="C131" s="104"/>
      <c r="D131" s="104"/>
      <c r="E131" s="105"/>
      <c r="F131" s="104"/>
      <c r="G131" s="104"/>
      <c r="H131" s="104"/>
    </row>
    <row r="132" spans="1:8" ht="14.25" x14ac:dyDescent="0.2">
      <c r="A132" s="104"/>
      <c r="B132" s="104"/>
      <c r="C132" s="104"/>
      <c r="D132" s="104"/>
      <c r="E132" s="105"/>
      <c r="F132" s="104"/>
      <c r="G132" s="104"/>
      <c r="H132" s="104"/>
    </row>
    <row r="133" spans="1:8" ht="14.25" x14ac:dyDescent="0.2">
      <c r="A133" s="104"/>
      <c r="B133" s="104"/>
      <c r="C133" s="104"/>
      <c r="D133" s="104"/>
      <c r="E133" s="105"/>
      <c r="F133" s="104"/>
      <c r="G133" s="104"/>
      <c r="H133" s="104"/>
    </row>
    <row r="134" spans="1:8" ht="14.25" x14ac:dyDescent="0.2">
      <c r="A134" s="104"/>
      <c r="B134" s="104"/>
      <c r="C134" s="104"/>
      <c r="D134" s="104"/>
      <c r="E134" s="105"/>
      <c r="F134" s="104"/>
      <c r="G134" s="104"/>
      <c r="H134" s="104"/>
    </row>
    <row r="135" spans="1:8" ht="14.25" x14ac:dyDescent="0.2">
      <c r="A135" s="104"/>
      <c r="B135" s="104"/>
      <c r="C135" s="104"/>
      <c r="D135" s="104"/>
      <c r="E135" s="105"/>
      <c r="F135" s="104"/>
      <c r="G135" s="104"/>
      <c r="H135" s="104"/>
    </row>
    <row r="136" spans="1:8" ht="14.25" x14ac:dyDescent="0.2">
      <c r="A136" s="104"/>
      <c r="B136" s="104"/>
      <c r="C136" s="104"/>
      <c r="D136" s="104"/>
      <c r="E136" s="105"/>
      <c r="F136" s="104"/>
      <c r="G136" s="104"/>
      <c r="H136" s="104"/>
    </row>
    <row r="137" spans="1:8" ht="14.25" x14ac:dyDescent="0.2">
      <c r="A137" s="104"/>
      <c r="B137" s="104"/>
      <c r="C137" s="104"/>
      <c r="D137" s="104"/>
      <c r="E137" s="105"/>
      <c r="F137" s="104"/>
      <c r="G137" s="104"/>
      <c r="H137" s="104"/>
    </row>
    <row r="138" spans="1:8" ht="14.25" x14ac:dyDescent="0.2">
      <c r="A138" s="104"/>
      <c r="B138" s="104"/>
      <c r="C138" s="104"/>
      <c r="D138" s="104"/>
      <c r="E138" s="105"/>
      <c r="F138" s="104"/>
      <c r="G138" s="104"/>
      <c r="H138" s="104"/>
    </row>
    <row r="139" spans="1:8" ht="14.25" x14ac:dyDescent="0.2">
      <c r="A139" s="104"/>
      <c r="B139" s="104"/>
      <c r="C139" s="104"/>
      <c r="D139" s="104"/>
      <c r="E139" s="105"/>
      <c r="F139" s="104"/>
      <c r="G139" s="104"/>
      <c r="H139" s="104"/>
    </row>
    <row r="140" spans="1:8" ht="14.25" x14ac:dyDescent="0.2">
      <c r="A140" s="104"/>
      <c r="B140" s="104"/>
      <c r="C140" s="104"/>
      <c r="D140" s="104"/>
      <c r="E140" s="105"/>
      <c r="F140" s="104"/>
      <c r="G140" s="104"/>
      <c r="H140" s="104"/>
    </row>
    <row r="141" spans="1:8" ht="14.25" x14ac:dyDescent="0.2">
      <c r="A141" s="104"/>
      <c r="B141" s="104"/>
      <c r="C141" s="104"/>
      <c r="D141" s="104"/>
      <c r="E141" s="105"/>
      <c r="F141" s="104"/>
      <c r="G141" s="104"/>
      <c r="H141" s="104"/>
    </row>
    <row r="142" spans="1:8" ht="14.25" x14ac:dyDescent="0.2">
      <c r="A142" s="104"/>
      <c r="B142" s="104"/>
      <c r="C142" s="104"/>
      <c r="D142" s="104"/>
      <c r="E142" s="105"/>
      <c r="F142" s="104"/>
      <c r="G142" s="104"/>
      <c r="H142" s="104"/>
    </row>
    <row r="143" spans="1:8" ht="14.25" x14ac:dyDescent="0.2">
      <c r="A143" s="104"/>
      <c r="B143" s="104"/>
      <c r="C143" s="104"/>
      <c r="D143" s="104"/>
      <c r="E143" s="105"/>
      <c r="F143" s="104"/>
      <c r="G143" s="104"/>
      <c r="H143" s="104"/>
    </row>
    <row r="144" spans="1:8" ht="14.25" x14ac:dyDescent="0.2">
      <c r="A144" s="104"/>
      <c r="B144" s="104"/>
      <c r="C144" s="104"/>
      <c r="D144" s="104"/>
      <c r="E144" s="105"/>
      <c r="F144" s="104"/>
      <c r="G144" s="104"/>
      <c r="H144" s="104"/>
    </row>
    <row r="145" spans="1:8" ht="14.25" x14ac:dyDescent="0.2">
      <c r="A145" s="104"/>
      <c r="B145" s="104"/>
      <c r="C145" s="104"/>
      <c r="D145" s="104"/>
      <c r="E145" s="105"/>
      <c r="F145" s="104"/>
      <c r="G145" s="104"/>
      <c r="H145" s="104"/>
    </row>
    <row r="146" spans="1:8" ht="14.25" x14ac:dyDescent="0.2">
      <c r="A146" s="104"/>
      <c r="B146" s="104"/>
      <c r="C146" s="104"/>
      <c r="D146" s="104"/>
      <c r="E146" s="105"/>
      <c r="F146" s="104"/>
      <c r="G146" s="104"/>
      <c r="H146" s="104"/>
    </row>
    <row r="147" spans="1:8" ht="14.25" x14ac:dyDescent="0.2">
      <c r="A147" s="104"/>
      <c r="B147" s="104"/>
      <c r="C147" s="104"/>
      <c r="D147" s="104"/>
      <c r="E147" s="105"/>
      <c r="F147" s="104"/>
      <c r="G147" s="104"/>
      <c r="H147" s="104"/>
    </row>
    <row r="148" spans="1:8" ht="14.25" x14ac:dyDescent="0.2">
      <c r="A148" s="104"/>
      <c r="B148" s="104"/>
      <c r="C148" s="104"/>
      <c r="D148" s="104"/>
      <c r="E148" s="105"/>
      <c r="F148" s="104"/>
      <c r="G148" s="104"/>
      <c r="H148" s="104"/>
    </row>
    <row r="149" spans="1:8" ht="14.25" x14ac:dyDescent="0.2">
      <c r="A149" s="104"/>
      <c r="B149" s="104"/>
      <c r="C149" s="104"/>
      <c r="D149" s="104"/>
      <c r="E149" s="105"/>
      <c r="F149" s="104"/>
      <c r="G149" s="104"/>
      <c r="H149" s="104"/>
    </row>
    <row r="150" spans="1:8" ht="14.25" x14ac:dyDescent="0.2">
      <c r="A150" s="104"/>
      <c r="B150" s="104"/>
      <c r="C150" s="104"/>
      <c r="D150" s="104"/>
      <c r="E150" s="105"/>
      <c r="F150" s="104"/>
      <c r="G150" s="104"/>
      <c r="H150" s="104"/>
    </row>
    <row r="151" spans="1:8" ht="14.25" x14ac:dyDescent="0.2">
      <c r="A151" s="104"/>
      <c r="B151" s="104"/>
      <c r="C151" s="104"/>
      <c r="D151" s="104"/>
      <c r="E151" s="105"/>
      <c r="F151" s="104"/>
      <c r="G151" s="104"/>
      <c r="H151" s="104"/>
    </row>
    <row r="152" spans="1:8" ht="14.25" x14ac:dyDescent="0.2">
      <c r="A152" s="104"/>
      <c r="B152" s="104"/>
      <c r="C152" s="104"/>
      <c r="D152" s="104"/>
      <c r="E152" s="105"/>
      <c r="F152" s="104"/>
      <c r="G152" s="104"/>
      <c r="H152" s="104"/>
    </row>
    <row r="153" spans="1:8" ht="14.25" x14ac:dyDescent="0.2">
      <c r="A153" s="104"/>
      <c r="B153" s="104"/>
      <c r="C153" s="104"/>
      <c r="D153" s="104"/>
      <c r="E153" s="105"/>
      <c r="F153" s="104"/>
      <c r="G153" s="104"/>
      <c r="H153" s="104"/>
    </row>
    <row r="154" spans="1:8" ht="14.25" x14ac:dyDescent="0.2">
      <c r="A154" s="104"/>
      <c r="B154" s="104"/>
      <c r="C154" s="104"/>
      <c r="D154" s="104"/>
      <c r="E154" s="105"/>
      <c r="F154" s="104"/>
      <c r="G154" s="104"/>
      <c r="H154" s="104"/>
    </row>
    <row r="155" spans="1:8" ht="14.25" x14ac:dyDescent="0.2">
      <c r="A155" s="104"/>
      <c r="B155" s="104"/>
      <c r="C155" s="104"/>
      <c r="D155" s="104"/>
      <c r="E155" s="105"/>
      <c r="F155" s="104"/>
      <c r="G155" s="104"/>
      <c r="H155" s="104"/>
    </row>
    <row r="156" spans="1:8" ht="14.25" x14ac:dyDescent="0.2">
      <c r="A156" s="104"/>
      <c r="B156" s="104"/>
      <c r="C156" s="104"/>
      <c r="D156" s="104"/>
      <c r="E156" s="105"/>
      <c r="F156" s="104"/>
      <c r="G156" s="104"/>
      <c r="H156" s="104"/>
    </row>
    <row r="157" spans="1:8" ht="14.25" x14ac:dyDescent="0.2">
      <c r="A157" s="104"/>
      <c r="B157" s="104"/>
      <c r="C157" s="104"/>
      <c r="D157" s="104"/>
      <c r="E157" s="105"/>
      <c r="F157" s="104"/>
      <c r="G157" s="104"/>
      <c r="H157" s="104"/>
    </row>
    <row r="158" spans="1:8" ht="14.25" x14ac:dyDescent="0.2">
      <c r="A158" s="104"/>
      <c r="B158" s="104"/>
      <c r="C158" s="104"/>
      <c r="D158" s="104"/>
      <c r="E158" s="105"/>
      <c r="F158" s="104"/>
      <c r="G158" s="104"/>
      <c r="H158" s="104"/>
    </row>
    <row r="159" spans="1:8" ht="14.25" x14ac:dyDescent="0.2">
      <c r="A159" s="104"/>
      <c r="B159" s="104"/>
      <c r="C159" s="104"/>
      <c r="D159" s="104"/>
      <c r="E159" s="105"/>
      <c r="F159" s="104"/>
      <c r="G159" s="104"/>
      <c r="H159" s="104"/>
    </row>
    <row r="160" spans="1:8" ht="14.25" x14ac:dyDescent="0.2">
      <c r="A160" s="104"/>
      <c r="B160" s="104"/>
      <c r="C160" s="104"/>
      <c r="D160" s="104"/>
      <c r="E160" s="105"/>
      <c r="F160" s="104"/>
      <c r="G160" s="104"/>
      <c r="H160" s="104"/>
    </row>
    <row r="161" spans="1:8" ht="14.25" x14ac:dyDescent="0.2">
      <c r="A161" s="104"/>
      <c r="B161" s="104"/>
      <c r="C161" s="104"/>
      <c r="D161" s="104"/>
      <c r="E161" s="105"/>
      <c r="F161" s="104"/>
      <c r="G161" s="104"/>
      <c r="H161" s="104"/>
    </row>
    <row r="162" spans="1:8" ht="14.25" x14ac:dyDescent="0.2">
      <c r="A162" s="104"/>
      <c r="B162" s="104"/>
      <c r="C162" s="104"/>
      <c r="D162" s="104"/>
      <c r="E162" s="105"/>
      <c r="F162" s="104"/>
      <c r="G162" s="104"/>
      <c r="H162" s="104"/>
    </row>
    <row r="163" spans="1:8" ht="14.25" x14ac:dyDescent="0.2">
      <c r="A163" s="104"/>
      <c r="B163" s="104"/>
      <c r="C163" s="104"/>
      <c r="D163" s="104"/>
      <c r="E163" s="105"/>
      <c r="F163" s="104"/>
      <c r="G163" s="104"/>
      <c r="H163" s="104"/>
    </row>
    <row r="164" spans="1:8" ht="14.25" x14ac:dyDescent="0.2">
      <c r="A164" s="104"/>
      <c r="B164" s="104"/>
      <c r="C164" s="104"/>
      <c r="D164" s="104"/>
      <c r="E164" s="105"/>
      <c r="F164" s="104"/>
      <c r="G164" s="104"/>
      <c r="H164" s="104"/>
    </row>
    <row r="165" spans="1:8" ht="14.25" x14ac:dyDescent="0.2">
      <c r="A165" s="104"/>
      <c r="B165" s="104"/>
      <c r="C165" s="104"/>
      <c r="D165" s="104"/>
      <c r="E165" s="105"/>
      <c r="F165" s="104"/>
      <c r="G165" s="104"/>
      <c r="H165" s="104"/>
    </row>
    <row r="166" spans="1:8" ht="14.25" x14ac:dyDescent="0.2">
      <c r="A166" s="104"/>
      <c r="B166" s="104"/>
      <c r="C166" s="104"/>
      <c r="D166" s="104"/>
      <c r="E166" s="105"/>
      <c r="F166" s="104"/>
      <c r="G166" s="104"/>
      <c r="H166" s="104"/>
    </row>
    <row r="167" spans="1:8" ht="14.25" x14ac:dyDescent="0.2">
      <c r="A167" s="104"/>
      <c r="B167" s="104"/>
      <c r="C167" s="104"/>
      <c r="D167" s="104"/>
      <c r="E167" s="105"/>
      <c r="F167" s="104"/>
      <c r="G167" s="104"/>
      <c r="H167" s="104"/>
    </row>
    <row r="168" spans="1:8" ht="14.25" x14ac:dyDescent="0.2">
      <c r="A168" s="104"/>
      <c r="B168" s="104"/>
      <c r="C168" s="104"/>
      <c r="D168" s="104"/>
      <c r="E168" s="105"/>
      <c r="F168" s="104"/>
      <c r="G168" s="104"/>
      <c r="H168" s="104"/>
    </row>
    <row r="169" spans="1:8" ht="14.25" x14ac:dyDescent="0.2">
      <c r="A169" s="104"/>
      <c r="B169" s="104"/>
      <c r="C169" s="104"/>
      <c r="D169" s="104"/>
      <c r="E169" s="105"/>
      <c r="F169" s="104"/>
      <c r="G169" s="104"/>
      <c r="H169" s="104"/>
    </row>
    <row r="170" spans="1:8" ht="14.25" x14ac:dyDescent="0.2">
      <c r="A170" s="104"/>
      <c r="B170" s="104"/>
      <c r="C170" s="104"/>
      <c r="D170" s="104"/>
      <c r="E170" s="105"/>
      <c r="F170" s="104"/>
      <c r="G170" s="104"/>
      <c r="H170" s="104"/>
    </row>
    <row r="171" spans="1:8" ht="14.25" x14ac:dyDescent="0.2">
      <c r="A171" s="104"/>
      <c r="B171" s="104"/>
      <c r="C171" s="104"/>
      <c r="D171" s="104"/>
      <c r="E171" s="105"/>
      <c r="F171" s="104"/>
      <c r="G171" s="104"/>
      <c r="H171" s="104"/>
    </row>
    <row r="172" spans="1:8" ht="14.25" x14ac:dyDescent="0.2">
      <c r="A172" s="104"/>
      <c r="B172" s="104"/>
      <c r="C172" s="104"/>
      <c r="D172" s="104"/>
      <c r="E172" s="105"/>
      <c r="F172" s="104"/>
      <c r="G172" s="104"/>
      <c r="H172" s="104"/>
    </row>
    <row r="173" spans="1:8" ht="14.25" x14ac:dyDescent="0.2">
      <c r="A173" s="104"/>
      <c r="B173" s="104"/>
      <c r="C173" s="104"/>
      <c r="D173" s="104"/>
      <c r="E173" s="105"/>
      <c r="F173" s="104"/>
      <c r="G173" s="104"/>
      <c r="H173" s="104"/>
    </row>
    <row r="174" spans="1:8" ht="14.25" x14ac:dyDescent="0.2">
      <c r="A174" s="104"/>
      <c r="B174" s="104"/>
      <c r="C174" s="104"/>
      <c r="D174" s="104"/>
      <c r="E174" s="105"/>
      <c r="F174" s="104"/>
      <c r="G174" s="104"/>
      <c r="H174" s="104"/>
    </row>
    <row r="175" spans="1:8" ht="14.25" x14ac:dyDescent="0.2">
      <c r="A175" s="104"/>
      <c r="B175" s="104"/>
      <c r="C175" s="104"/>
      <c r="D175" s="104"/>
      <c r="E175" s="105"/>
      <c r="F175" s="104"/>
      <c r="G175" s="104"/>
      <c r="H175" s="104"/>
    </row>
    <row r="176" spans="1:8" ht="14.25" x14ac:dyDescent="0.2">
      <c r="A176" s="104"/>
      <c r="B176" s="104"/>
      <c r="C176" s="104"/>
      <c r="D176" s="104"/>
      <c r="E176" s="105"/>
      <c r="F176" s="104"/>
      <c r="G176" s="104"/>
      <c r="H176" s="104"/>
    </row>
    <row r="177" spans="1:8" ht="14.25" x14ac:dyDescent="0.2">
      <c r="A177" s="104"/>
      <c r="B177" s="104"/>
      <c r="C177" s="104"/>
      <c r="D177" s="104"/>
      <c r="E177" s="105"/>
      <c r="F177" s="104"/>
      <c r="G177" s="104"/>
      <c r="H177" s="104"/>
    </row>
    <row r="178" spans="1:8" ht="14.25" x14ac:dyDescent="0.2">
      <c r="A178" s="104"/>
      <c r="B178" s="104"/>
      <c r="C178" s="104"/>
      <c r="D178" s="104"/>
      <c r="E178" s="105"/>
      <c r="F178" s="104"/>
      <c r="G178" s="104"/>
      <c r="H178" s="104"/>
    </row>
    <row r="179" spans="1:8" ht="14.25" x14ac:dyDescent="0.2">
      <c r="A179" s="104"/>
      <c r="B179" s="104"/>
      <c r="C179" s="104"/>
      <c r="D179" s="104"/>
      <c r="E179" s="105"/>
      <c r="F179" s="104"/>
      <c r="G179" s="104"/>
      <c r="H179" s="104"/>
    </row>
    <row r="180" spans="1:8" ht="14.25" x14ac:dyDescent="0.2">
      <c r="A180" s="104"/>
      <c r="B180" s="104"/>
      <c r="C180" s="104"/>
      <c r="D180" s="104"/>
      <c r="E180" s="105"/>
      <c r="F180" s="104"/>
      <c r="G180" s="104"/>
      <c r="H180" s="104"/>
    </row>
    <row r="181" spans="1:8" ht="14.25" x14ac:dyDescent="0.2">
      <c r="A181" s="104"/>
      <c r="B181" s="104"/>
      <c r="C181" s="104"/>
      <c r="D181" s="104"/>
      <c r="E181" s="105"/>
      <c r="F181" s="104"/>
      <c r="G181" s="104"/>
      <c r="H181" s="104"/>
    </row>
    <row r="182" spans="1:8" ht="14.25" x14ac:dyDescent="0.2">
      <c r="A182" s="104"/>
      <c r="B182" s="104"/>
      <c r="C182" s="104"/>
      <c r="D182" s="104"/>
      <c r="E182" s="105"/>
      <c r="F182" s="104"/>
      <c r="G182" s="104"/>
      <c r="H182" s="104"/>
    </row>
    <row r="183" spans="1:8" ht="14.25" x14ac:dyDescent="0.2">
      <c r="A183" s="104"/>
      <c r="B183" s="104"/>
      <c r="C183" s="104"/>
      <c r="D183" s="104"/>
      <c r="E183" s="105"/>
      <c r="F183" s="104"/>
      <c r="G183" s="104"/>
      <c r="H183" s="104"/>
    </row>
    <row r="184" spans="1:8" ht="14.25" x14ac:dyDescent="0.2">
      <c r="A184" s="104"/>
      <c r="B184" s="104"/>
      <c r="C184" s="104"/>
      <c r="D184" s="104"/>
      <c r="E184" s="105"/>
      <c r="F184" s="104"/>
      <c r="G184" s="104"/>
      <c r="H184" s="104"/>
    </row>
    <row r="185" spans="1:8" ht="14.25" x14ac:dyDescent="0.2">
      <c r="A185" s="104"/>
      <c r="B185" s="104"/>
      <c r="C185" s="104"/>
      <c r="D185" s="104"/>
      <c r="E185" s="105"/>
      <c r="F185" s="104"/>
      <c r="G185" s="104"/>
      <c r="H185" s="104"/>
    </row>
    <row r="186" spans="1:8" ht="14.25" x14ac:dyDescent="0.2">
      <c r="A186" s="104"/>
      <c r="B186" s="104"/>
      <c r="C186" s="104"/>
      <c r="D186" s="104"/>
      <c r="E186" s="105"/>
      <c r="F186" s="104"/>
      <c r="G186" s="104"/>
      <c r="H186" s="104"/>
    </row>
    <row r="187" spans="1:8" ht="14.25" x14ac:dyDescent="0.2">
      <c r="A187" s="104"/>
      <c r="B187" s="104"/>
      <c r="C187" s="104"/>
      <c r="D187" s="104"/>
      <c r="E187" s="105"/>
      <c r="F187" s="104"/>
      <c r="G187" s="104"/>
      <c r="H187" s="104"/>
    </row>
    <row r="188" spans="1:8" ht="14.25" x14ac:dyDescent="0.2">
      <c r="A188" s="104"/>
      <c r="B188" s="104"/>
      <c r="C188" s="104"/>
      <c r="D188" s="104"/>
      <c r="E188" s="105"/>
      <c r="F188" s="104"/>
      <c r="G188" s="104"/>
      <c r="H188" s="104"/>
    </row>
    <row r="189" spans="1:8" ht="14.25" x14ac:dyDescent="0.2">
      <c r="A189" s="104"/>
      <c r="B189" s="104"/>
      <c r="C189" s="104"/>
      <c r="D189" s="104"/>
      <c r="E189" s="105"/>
      <c r="F189" s="104"/>
      <c r="G189" s="104"/>
      <c r="H189" s="104"/>
    </row>
    <row r="190" spans="1:8" ht="14.25" x14ac:dyDescent="0.2">
      <c r="A190" s="104"/>
      <c r="B190" s="104"/>
      <c r="C190" s="104"/>
      <c r="D190" s="104"/>
      <c r="E190" s="105"/>
      <c r="F190" s="104"/>
      <c r="G190" s="104"/>
      <c r="H190" s="104"/>
    </row>
    <row r="191" spans="1:8" ht="14.25" x14ac:dyDescent="0.2">
      <c r="A191" s="104"/>
      <c r="B191" s="104"/>
      <c r="C191" s="104"/>
      <c r="D191" s="104"/>
      <c r="E191" s="105"/>
      <c r="F191" s="104"/>
      <c r="G191" s="104"/>
      <c r="H191" s="104"/>
    </row>
    <row r="192" spans="1:8" ht="14.25" x14ac:dyDescent="0.2">
      <c r="A192" s="104"/>
      <c r="B192" s="104"/>
      <c r="C192" s="104"/>
      <c r="D192" s="104"/>
      <c r="E192" s="105"/>
      <c r="F192" s="104"/>
      <c r="G192" s="104"/>
      <c r="H192" s="104"/>
    </row>
    <row r="193" spans="1:8" ht="14.25" x14ac:dyDescent="0.2">
      <c r="A193" s="104"/>
      <c r="B193" s="104"/>
      <c r="C193" s="104"/>
      <c r="D193" s="104"/>
      <c r="E193" s="105"/>
      <c r="F193" s="104"/>
      <c r="G193" s="104"/>
      <c r="H193" s="104"/>
    </row>
    <row r="194" spans="1:8" ht="14.25" x14ac:dyDescent="0.2">
      <c r="A194" s="104"/>
      <c r="B194" s="104"/>
      <c r="C194" s="104"/>
      <c r="D194" s="104"/>
      <c r="E194" s="105"/>
      <c r="F194" s="104"/>
      <c r="G194" s="104"/>
      <c r="H194" s="104"/>
    </row>
    <row r="195" spans="1:8" ht="14.25" x14ac:dyDescent="0.2">
      <c r="A195" s="104"/>
      <c r="B195" s="104"/>
      <c r="C195" s="104"/>
      <c r="D195" s="104"/>
      <c r="E195" s="105"/>
      <c r="F195" s="104"/>
      <c r="G195" s="104"/>
      <c r="H195" s="104"/>
    </row>
    <row r="196" spans="1:8" ht="14.25" x14ac:dyDescent="0.2">
      <c r="A196" s="104"/>
      <c r="B196" s="104"/>
      <c r="C196" s="104"/>
      <c r="D196" s="104"/>
      <c r="E196" s="105"/>
      <c r="F196" s="104"/>
      <c r="G196" s="104"/>
      <c r="H196" s="104"/>
    </row>
    <row r="197" spans="1:8" ht="14.25" x14ac:dyDescent="0.2">
      <c r="A197" s="104"/>
      <c r="B197" s="104"/>
      <c r="C197" s="104"/>
      <c r="D197" s="104"/>
      <c r="E197" s="105"/>
      <c r="F197" s="104"/>
      <c r="G197" s="104"/>
      <c r="H197" s="104"/>
    </row>
    <row r="198" spans="1:8" ht="14.25" x14ac:dyDescent="0.2">
      <c r="A198" s="104"/>
      <c r="B198" s="104"/>
      <c r="C198" s="104"/>
      <c r="D198" s="104"/>
      <c r="E198" s="105"/>
      <c r="F198" s="104"/>
      <c r="G198" s="104"/>
      <c r="H198" s="104"/>
    </row>
    <row r="199" spans="1:8" ht="14.25" x14ac:dyDescent="0.2">
      <c r="A199" s="104"/>
      <c r="B199" s="104"/>
      <c r="C199" s="104"/>
      <c r="D199" s="104"/>
      <c r="E199" s="105"/>
      <c r="F199" s="104"/>
      <c r="G199" s="104"/>
      <c r="H199" s="104"/>
    </row>
    <row r="200" spans="1:8" ht="14.25" x14ac:dyDescent="0.2">
      <c r="A200" s="104"/>
      <c r="B200" s="104"/>
      <c r="C200" s="104"/>
      <c r="D200" s="104"/>
      <c r="E200" s="105"/>
      <c r="F200" s="104"/>
      <c r="G200" s="104"/>
      <c r="H200" s="104"/>
    </row>
    <row r="201" spans="1:8" ht="14.25" x14ac:dyDescent="0.2">
      <c r="A201" s="104"/>
      <c r="B201" s="104"/>
      <c r="C201" s="104"/>
      <c r="D201" s="104"/>
      <c r="E201" s="105"/>
      <c r="F201" s="104"/>
      <c r="G201" s="104"/>
      <c r="H201" s="104"/>
    </row>
    <row r="202" spans="1:8" ht="14.25" x14ac:dyDescent="0.2">
      <c r="A202" s="104"/>
      <c r="B202" s="104"/>
      <c r="C202" s="104"/>
      <c r="D202" s="104"/>
      <c r="E202" s="105"/>
      <c r="F202" s="104"/>
      <c r="G202" s="104"/>
      <c r="H202" s="104"/>
    </row>
    <row r="203" spans="1:8" ht="14.25" x14ac:dyDescent="0.2">
      <c r="A203" s="104"/>
      <c r="B203" s="104"/>
      <c r="C203" s="104"/>
      <c r="D203" s="104"/>
      <c r="E203" s="105"/>
      <c r="F203" s="104"/>
      <c r="G203" s="104"/>
      <c r="H203" s="104"/>
    </row>
    <row r="204" spans="1:8" ht="14.25" x14ac:dyDescent="0.2">
      <c r="A204" s="104"/>
      <c r="B204" s="104"/>
      <c r="C204" s="104"/>
      <c r="D204" s="104"/>
      <c r="E204" s="105"/>
      <c r="F204" s="104"/>
      <c r="G204" s="104"/>
      <c r="H204" s="104"/>
    </row>
    <row r="205" spans="1:8" ht="14.25" x14ac:dyDescent="0.2">
      <c r="A205" s="104"/>
      <c r="B205" s="104"/>
      <c r="C205" s="104"/>
      <c r="D205" s="104"/>
      <c r="E205" s="105"/>
      <c r="F205" s="104"/>
      <c r="G205" s="104"/>
      <c r="H205" s="104"/>
    </row>
    <row r="206" spans="1:8" ht="14.25" x14ac:dyDescent="0.2">
      <c r="A206" s="104"/>
      <c r="B206" s="104"/>
      <c r="C206" s="104"/>
      <c r="D206" s="104"/>
      <c r="E206" s="105"/>
      <c r="F206" s="104"/>
      <c r="G206" s="104"/>
      <c r="H206" s="104"/>
    </row>
    <row r="207" spans="1:8" ht="14.25" x14ac:dyDescent="0.2">
      <c r="A207" s="104"/>
      <c r="B207" s="104"/>
      <c r="C207" s="104"/>
      <c r="D207" s="104"/>
      <c r="E207" s="105"/>
      <c r="F207" s="104"/>
      <c r="G207" s="104"/>
      <c r="H207" s="104"/>
    </row>
    <row r="208" spans="1:8" ht="14.25" x14ac:dyDescent="0.2">
      <c r="A208" s="104"/>
      <c r="B208" s="104"/>
      <c r="C208" s="104"/>
      <c r="D208" s="104"/>
      <c r="E208" s="105"/>
      <c r="F208" s="104"/>
      <c r="G208" s="104"/>
      <c r="H208" s="104"/>
    </row>
    <row r="209" spans="1:8" ht="14.25" x14ac:dyDescent="0.2">
      <c r="A209" s="104"/>
      <c r="B209" s="104"/>
      <c r="C209" s="104"/>
      <c r="D209" s="104"/>
      <c r="E209" s="105"/>
      <c r="F209" s="104"/>
      <c r="G209" s="104"/>
      <c r="H209" s="104"/>
    </row>
    <row r="210" spans="1:8" ht="14.25" x14ac:dyDescent="0.2">
      <c r="A210" s="104"/>
      <c r="B210" s="104"/>
      <c r="C210" s="104"/>
      <c r="D210" s="104"/>
      <c r="E210" s="105"/>
      <c r="F210" s="104"/>
      <c r="G210" s="104"/>
      <c r="H210" s="104"/>
    </row>
    <row r="211" spans="1:8" ht="14.25" x14ac:dyDescent="0.2">
      <c r="A211" s="104"/>
      <c r="B211" s="104"/>
      <c r="C211" s="104"/>
      <c r="D211" s="104"/>
      <c r="E211" s="105"/>
      <c r="F211" s="104"/>
      <c r="G211" s="104"/>
      <c r="H211" s="104"/>
    </row>
    <row r="212" spans="1:8" ht="14.25" x14ac:dyDescent="0.2">
      <c r="A212" s="104"/>
      <c r="B212" s="104"/>
      <c r="C212" s="104"/>
      <c r="D212" s="104"/>
      <c r="E212" s="105"/>
      <c r="F212" s="104"/>
      <c r="G212" s="104"/>
      <c r="H212" s="104"/>
    </row>
    <row r="213" spans="1:8" ht="14.25" x14ac:dyDescent="0.2">
      <c r="A213" s="104"/>
      <c r="B213" s="104"/>
      <c r="C213" s="104"/>
      <c r="D213" s="104"/>
      <c r="E213" s="105"/>
      <c r="F213" s="104"/>
      <c r="G213" s="104"/>
      <c r="H213" s="104"/>
    </row>
    <row r="214" spans="1:8" ht="14.25" x14ac:dyDescent="0.2">
      <c r="A214" s="104"/>
      <c r="B214" s="104"/>
      <c r="C214" s="104"/>
      <c r="D214" s="104"/>
      <c r="E214" s="105"/>
      <c r="F214" s="104"/>
      <c r="G214" s="104"/>
      <c r="H214" s="104"/>
    </row>
    <row r="215" spans="1:8" ht="14.25" x14ac:dyDescent="0.2">
      <c r="A215" s="104"/>
      <c r="B215" s="104"/>
      <c r="C215" s="104"/>
      <c r="D215" s="104"/>
      <c r="E215" s="105"/>
      <c r="F215" s="104"/>
      <c r="G215" s="104"/>
      <c r="H215" s="104"/>
    </row>
    <row r="216" spans="1:8" ht="14.25" x14ac:dyDescent="0.2">
      <c r="A216" s="104"/>
      <c r="B216" s="104"/>
      <c r="C216" s="104"/>
      <c r="D216" s="104"/>
      <c r="E216" s="105"/>
      <c r="F216" s="104"/>
      <c r="G216" s="104"/>
      <c r="H216" s="104"/>
    </row>
    <row r="217" spans="1:8" ht="14.25" x14ac:dyDescent="0.2">
      <c r="A217" s="104"/>
      <c r="B217" s="104"/>
      <c r="C217" s="104"/>
      <c r="D217" s="104"/>
      <c r="E217" s="105"/>
      <c r="F217" s="104"/>
      <c r="G217" s="104"/>
      <c r="H217" s="104"/>
    </row>
    <row r="218" spans="1:8" ht="14.25" x14ac:dyDescent="0.2">
      <c r="A218" s="104"/>
      <c r="B218" s="104"/>
      <c r="C218" s="104"/>
      <c r="D218" s="104"/>
      <c r="E218" s="105"/>
      <c r="F218" s="104"/>
      <c r="G218" s="104"/>
      <c r="H218" s="104"/>
    </row>
    <row r="219" spans="1:8" ht="14.25" x14ac:dyDescent="0.2">
      <c r="A219" s="104"/>
      <c r="B219" s="104"/>
      <c r="C219" s="104"/>
      <c r="D219" s="104"/>
      <c r="E219" s="105"/>
      <c r="F219" s="104"/>
      <c r="G219" s="104"/>
      <c r="H219" s="104"/>
    </row>
    <row r="220" spans="1:8" ht="14.25" x14ac:dyDescent="0.2">
      <c r="A220" s="104"/>
      <c r="B220" s="104"/>
      <c r="C220" s="104"/>
      <c r="D220" s="104"/>
      <c r="E220" s="105"/>
      <c r="F220" s="104"/>
      <c r="G220" s="104"/>
      <c r="H220" s="104"/>
    </row>
    <row r="221" spans="1:8" ht="14.25" x14ac:dyDescent="0.2">
      <c r="A221" s="104"/>
      <c r="B221" s="104"/>
      <c r="C221" s="104"/>
      <c r="D221" s="104"/>
      <c r="E221" s="105"/>
      <c r="F221" s="104"/>
      <c r="G221" s="104"/>
      <c r="H221" s="104"/>
    </row>
    <row r="222" spans="1:8" ht="14.25" x14ac:dyDescent="0.2">
      <c r="A222" s="104"/>
      <c r="B222" s="104"/>
      <c r="C222" s="104"/>
      <c r="D222" s="104"/>
      <c r="E222" s="105"/>
      <c r="F222" s="104"/>
      <c r="G222" s="104"/>
      <c r="H222" s="104"/>
    </row>
    <row r="223" spans="1:8" ht="14.25" x14ac:dyDescent="0.2">
      <c r="A223" s="104"/>
      <c r="B223" s="104"/>
      <c r="C223" s="104"/>
      <c r="D223" s="104"/>
      <c r="E223" s="105"/>
      <c r="F223" s="104"/>
      <c r="G223" s="104"/>
      <c r="H223" s="104"/>
    </row>
    <row r="224" spans="1:8" ht="14.25" x14ac:dyDescent="0.2">
      <c r="A224" s="104"/>
      <c r="B224" s="104"/>
      <c r="C224" s="104"/>
      <c r="D224" s="104"/>
      <c r="E224" s="105"/>
      <c r="F224" s="104"/>
      <c r="G224" s="104"/>
      <c r="H224" s="104"/>
    </row>
    <row r="225" spans="1:8" ht="14.25" x14ac:dyDescent="0.2">
      <c r="A225" s="104"/>
      <c r="B225" s="104"/>
      <c r="C225" s="104"/>
      <c r="D225" s="104"/>
      <c r="E225" s="105"/>
      <c r="F225" s="104"/>
      <c r="G225" s="104"/>
      <c r="H225" s="104"/>
    </row>
    <row r="226" spans="1:8" ht="14.25" x14ac:dyDescent="0.2">
      <c r="A226" s="104"/>
      <c r="B226" s="104"/>
      <c r="C226" s="104"/>
      <c r="D226" s="104"/>
      <c r="E226" s="105"/>
      <c r="F226" s="104"/>
      <c r="G226" s="104"/>
      <c r="H226" s="104"/>
    </row>
    <row r="227" spans="1:8" ht="14.25" x14ac:dyDescent="0.2">
      <c r="A227" s="104"/>
      <c r="B227" s="104"/>
      <c r="C227" s="104"/>
      <c r="D227" s="104"/>
      <c r="E227" s="105"/>
      <c r="F227" s="104"/>
      <c r="G227" s="104"/>
      <c r="H227" s="104"/>
    </row>
    <row r="228" spans="1:8" ht="14.25" x14ac:dyDescent="0.2">
      <c r="A228" s="104"/>
      <c r="B228" s="104"/>
      <c r="C228" s="104"/>
      <c r="D228" s="104"/>
      <c r="E228" s="105"/>
      <c r="F228" s="104"/>
      <c r="G228" s="104"/>
      <c r="H228" s="104"/>
    </row>
    <row r="229" spans="1:8" ht="14.25" x14ac:dyDescent="0.2">
      <c r="A229" s="104"/>
      <c r="B229" s="104"/>
      <c r="C229" s="104"/>
      <c r="D229" s="104"/>
      <c r="E229" s="105"/>
      <c r="F229" s="104"/>
      <c r="G229" s="104"/>
      <c r="H229" s="104"/>
    </row>
    <row r="230" spans="1:8" ht="14.25" x14ac:dyDescent="0.2">
      <c r="A230" s="104"/>
      <c r="B230" s="104"/>
      <c r="C230" s="104"/>
      <c r="D230" s="104"/>
      <c r="E230" s="105"/>
      <c r="F230" s="104"/>
      <c r="G230" s="104"/>
      <c r="H230" s="104"/>
    </row>
    <row r="231" spans="1:8" ht="14.25" x14ac:dyDescent="0.2">
      <c r="A231" s="104"/>
      <c r="B231" s="104"/>
      <c r="C231" s="104"/>
      <c r="D231" s="104"/>
      <c r="E231" s="105"/>
      <c r="F231" s="104"/>
      <c r="G231" s="104"/>
      <c r="H231" s="104"/>
    </row>
    <row r="232" spans="1:8" ht="14.25" x14ac:dyDescent="0.2">
      <c r="A232" s="104"/>
      <c r="B232" s="104"/>
      <c r="C232" s="104"/>
      <c r="D232" s="104"/>
      <c r="E232" s="105"/>
      <c r="F232" s="104"/>
      <c r="G232" s="104"/>
      <c r="H232" s="104"/>
    </row>
    <row r="233" spans="1:8" ht="14.25" x14ac:dyDescent="0.2">
      <c r="A233" s="104"/>
      <c r="B233" s="104"/>
      <c r="C233" s="104"/>
      <c r="D233" s="104"/>
      <c r="E233" s="105"/>
      <c r="F233" s="104"/>
      <c r="G233" s="104"/>
      <c r="H233" s="104"/>
    </row>
    <row r="234" spans="1:8" ht="14.25" x14ac:dyDescent="0.2">
      <c r="A234" s="104"/>
      <c r="B234" s="104"/>
      <c r="C234" s="104"/>
      <c r="D234" s="104"/>
      <c r="E234" s="105"/>
      <c r="F234" s="104"/>
      <c r="G234" s="104"/>
      <c r="H234" s="104"/>
    </row>
    <row r="235" spans="1:8" ht="14.25" x14ac:dyDescent="0.2">
      <c r="A235" s="104"/>
      <c r="B235" s="104"/>
      <c r="C235" s="104"/>
      <c r="D235" s="104"/>
      <c r="E235" s="105"/>
      <c r="F235" s="104"/>
      <c r="G235" s="104"/>
      <c r="H235" s="104"/>
    </row>
    <row r="236" spans="1:8" ht="14.25" x14ac:dyDescent="0.2">
      <c r="A236" s="104"/>
      <c r="B236" s="104"/>
      <c r="C236" s="104"/>
      <c r="D236" s="104"/>
      <c r="E236" s="105"/>
      <c r="F236" s="104"/>
      <c r="G236" s="104"/>
      <c r="H236" s="104"/>
    </row>
    <row r="237" spans="1:8" ht="14.25" x14ac:dyDescent="0.2">
      <c r="A237" s="104"/>
      <c r="B237" s="104"/>
      <c r="C237" s="104"/>
      <c r="D237" s="104"/>
      <c r="E237" s="105"/>
      <c r="F237" s="104"/>
      <c r="G237" s="104"/>
      <c r="H237" s="104"/>
    </row>
    <row r="238" spans="1:8" ht="14.25" x14ac:dyDescent="0.2">
      <c r="A238" s="104"/>
      <c r="B238" s="104"/>
      <c r="C238" s="104"/>
      <c r="D238" s="104"/>
      <c r="E238" s="105"/>
      <c r="F238" s="104"/>
      <c r="G238" s="104"/>
      <c r="H238" s="104"/>
    </row>
    <row r="239" spans="1:8" ht="14.25" x14ac:dyDescent="0.2">
      <c r="A239" s="104"/>
      <c r="B239" s="104"/>
      <c r="C239" s="104"/>
      <c r="D239" s="104"/>
      <c r="E239" s="105"/>
      <c r="F239" s="104"/>
      <c r="G239" s="104"/>
      <c r="H239" s="104"/>
    </row>
    <row r="240" spans="1:8" ht="14.25" x14ac:dyDescent="0.2">
      <c r="A240" s="104"/>
      <c r="B240" s="104"/>
      <c r="C240" s="104"/>
      <c r="D240" s="104"/>
      <c r="E240" s="105"/>
      <c r="F240" s="104"/>
      <c r="G240" s="104"/>
      <c r="H240" s="104"/>
    </row>
    <row r="241" spans="1:8" ht="14.25" x14ac:dyDescent="0.2">
      <c r="A241" s="104"/>
      <c r="B241" s="104"/>
      <c r="C241" s="104"/>
      <c r="D241" s="104"/>
      <c r="E241" s="105"/>
      <c r="F241" s="104"/>
      <c r="G241" s="104"/>
      <c r="H241" s="104"/>
    </row>
    <row r="242" spans="1:8" ht="14.25" x14ac:dyDescent="0.2">
      <c r="A242" s="104"/>
      <c r="B242" s="104"/>
      <c r="C242" s="104"/>
      <c r="D242" s="104"/>
      <c r="E242" s="105"/>
      <c r="F242" s="104"/>
      <c r="G242" s="104"/>
      <c r="H242" s="104"/>
    </row>
    <row r="243" spans="1:8" ht="14.25" x14ac:dyDescent="0.2">
      <c r="A243" s="104"/>
      <c r="B243" s="104"/>
      <c r="C243" s="104"/>
      <c r="D243" s="104"/>
      <c r="E243" s="105"/>
      <c r="F243" s="104"/>
      <c r="G243" s="104"/>
      <c r="H243" s="104"/>
    </row>
    <row r="244" spans="1:8" ht="14.25" x14ac:dyDescent="0.2">
      <c r="A244" s="104"/>
      <c r="B244" s="104"/>
      <c r="C244" s="104"/>
      <c r="D244" s="104"/>
      <c r="E244" s="105"/>
      <c r="F244" s="104"/>
      <c r="G244" s="104"/>
      <c r="H244" s="104"/>
    </row>
    <row r="245" spans="1:8" ht="14.25" x14ac:dyDescent="0.2">
      <c r="A245" s="104"/>
      <c r="B245" s="104"/>
      <c r="C245" s="104"/>
      <c r="D245" s="104"/>
      <c r="E245" s="105"/>
      <c r="F245" s="104"/>
      <c r="G245" s="104"/>
      <c r="H245" s="104"/>
    </row>
    <row r="246" spans="1:8" ht="14.25" x14ac:dyDescent="0.2">
      <c r="A246" s="104"/>
      <c r="B246" s="104"/>
      <c r="C246" s="104"/>
      <c r="D246" s="104"/>
      <c r="E246" s="105"/>
      <c r="F246" s="104"/>
      <c r="G246" s="104"/>
      <c r="H246" s="104"/>
    </row>
    <row r="247" spans="1:8" ht="14.25" x14ac:dyDescent="0.2">
      <c r="A247" s="104"/>
      <c r="B247" s="104"/>
      <c r="C247" s="104"/>
      <c r="D247" s="104"/>
      <c r="E247" s="105"/>
      <c r="F247" s="104"/>
      <c r="G247" s="104"/>
      <c r="H247" s="104"/>
    </row>
    <row r="248" spans="1:8" ht="14.25" x14ac:dyDescent="0.2">
      <c r="A248" s="104"/>
      <c r="B248" s="104"/>
      <c r="C248" s="104"/>
      <c r="D248" s="104"/>
      <c r="E248" s="105"/>
      <c r="F248" s="104"/>
      <c r="G248" s="104"/>
      <c r="H248" s="104"/>
    </row>
    <row r="249" spans="1:8" ht="14.25" x14ac:dyDescent="0.2">
      <c r="A249" s="104"/>
      <c r="B249" s="104"/>
      <c r="C249" s="104"/>
      <c r="D249" s="104"/>
      <c r="E249" s="105"/>
      <c r="F249" s="104"/>
      <c r="G249" s="104"/>
      <c r="H249" s="104"/>
    </row>
    <row r="250" spans="1:8" ht="14.25" x14ac:dyDescent="0.2">
      <c r="A250" s="104"/>
      <c r="B250" s="104"/>
      <c r="C250" s="104"/>
      <c r="D250" s="104"/>
      <c r="E250" s="105"/>
      <c r="F250" s="104"/>
      <c r="G250" s="104"/>
      <c r="H250" s="104"/>
    </row>
    <row r="251" spans="1:8" ht="14.25" x14ac:dyDescent="0.2">
      <c r="A251" s="104"/>
      <c r="B251" s="104"/>
      <c r="C251" s="104"/>
      <c r="D251" s="104"/>
      <c r="E251" s="105"/>
      <c r="F251" s="104"/>
      <c r="G251" s="104"/>
      <c r="H251" s="104"/>
    </row>
    <row r="252" spans="1:8" ht="14.25" x14ac:dyDescent="0.2">
      <c r="A252" s="104"/>
      <c r="B252" s="104"/>
      <c r="C252" s="104"/>
      <c r="D252" s="104"/>
      <c r="E252" s="105"/>
      <c r="F252" s="104"/>
      <c r="G252" s="104"/>
      <c r="H252" s="104"/>
    </row>
    <row r="253" spans="1:8" ht="14.25" x14ac:dyDescent="0.2">
      <c r="A253" s="104"/>
      <c r="B253" s="104"/>
      <c r="C253" s="104"/>
      <c r="D253" s="104"/>
      <c r="E253" s="105"/>
      <c r="F253" s="104"/>
      <c r="G253" s="104"/>
      <c r="H253" s="104"/>
    </row>
    <row r="254" spans="1:8" ht="14.25" x14ac:dyDescent="0.2">
      <c r="A254" s="104"/>
      <c r="B254" s="104"/>
      <c r="C254" s="104"/>
      <c r="D254" s="104"/>
      <c r="E254" s="105"/>
      <c r="F254" s="104"/>
      <c r="G254" s="104"/>
      <c r="H254" s="104"/>
    </row>
    <row r="255" spans="1:8" ht="14.25" x14ac:dyDescent="0.2">
      <c r="A255" s="104"/>
      <c r="B255" s="104"/>
      <c r="C255" s="104"/>
      <c r="D255" s="104"/>
      <c r="E255" s="105"/>
      <c r="F255" s="104"/>
      <c r="G255" s="104"/>
      <c r="H255" s="104"/>
    </row>
    <row r="256" spans="1:8" ht="14.25" x14ac:dyDescent="0.2">
      <c r="A256" s="104"/>
      <c r="B256" s="104"/>
      <c r="C256" s="104"/>
      <c r="D256" s="104"/>
      <c r="E256" s="105"/>
      <c r="F256" s="104"/>
      <c r="G256" s="104"/>
      <c r="H256" s="104"/>
    </row>
    <row r="257" spans="1:8" ht="14.25" x14ac:dyDescent="0.2">
      <c r="A257" s="104"/>
      <c r="B257" s="104"/>
      <c r="C257" s="104"/>
      <c r="D257" s="104"/>
      <c r="E257" s="105"/>
      <c r="F257" s="104"/>
      <c r="G257" s="104"/>
      <c r="H257" s="104"/>
    </row>
    <row r="258" spans="1:8" ht="14.25" x14ac:dyDescent="0.2">
      <c r="A258" s="104"/>
      <c r="B258" s="104"/>
      <c r="C258" s="104"/>
      <c r="D258" s="104"/>
      <c r="E258" s="105"/>
      <c r="F258" s="104"/>
      <c r="G258" s="104"/>
      <c r="H258" s="104"/>
    </row>
    <row r="259" spans="1:8" ht="14.25" x14ac:dyDescent="0.2">
      <c r="A259" s="104"/>
      <c r="B259" s="104"/>
      <c r="C259" s="104"/>
      <c r="D259" s="104"/>
      <c r="E259" s="105"/>
      <c r="F259" s="104"/>
      <c r="G259" s="104"/>
      <c r="H259" s="104"/>
    </row>
    <row r="260" spans="1:8" ht="14.25" x14ac:dyDescent="0.2">
      <c r="A260" s="104"/>
      <c r="B260" s="104"/>
      <c r="C260" s="104"/>
      <c r="D260" s="104"/>
      <c r="E260" s="105"/>
      <c r="F260" s="104"/>
      <c r="G260" s="104"/>
      <c r="H260" s="104"/>
    </row>
    <row r="261" spans="1:8" ht="14.25" x14ac:dyDescent="0.2">
      <c r="A261" s="104"/>
      <c r="B261" s="104"/>
      <c r="C261" s="104"/>
      <c r="D261" s="104"/>
      <c r="E261" s="105"/>
      <c r="F261" s="104"/>
      <c r="G261" s="104"/>
      <c r="H261" s="104"/>
    </row>
    <row r="262" spans="1:8" ht="14.25" x14ac:dyDescent="0.2">
      <c r="A262" s="104"/>
      <c r="B262" s="104"/>
      <c r="C262" s="104"/>
      <c r="D262" s="104"/>
      <c r="E262" s="105"/>
      <c r="F262" s="104"/>
      <c r="G262" s="104"/>
      <c r="H262" s="104"/>
    </row>
    <row r="263" spans="1:8" ht="14.25" x14ac:dyDescent="0.2">
      <c r="A263" s="104"/>
      <c r="B263" s="104"/>
      <c r="C263" s="104"/>
      <c r="D263" s="104"/>
      <c r="E263" s="105"/>
      <c r="F263" s="104"/>
      <c r="G263" s="104"/>
      <c r="H263" s="104"/>
    </row>
    <row r="264" spans="1:8" ht="14.25" x14ac:dyDescent="0.2">
      <c r="A264" s="104"/>
      <c r="B264" s="104"/>
      <c r="C264" s="104"/>
      <c r="D264" s="104"/>
      <c r="E264" s="105"/>
      <c r="F264" s="104"/>
      <c r="G264" s="104"/>
      <c r="H264" s="104"/>
    </row>
    <row r="265" spans="1:8" ht="14.25" x14ac:dyDescent="0.2">
      <c r="A265" s="104"/>
      <c r="B265" s="104"/>
      <c r="C265" s="104"/>
      <c r="D265" s="104"/>
      <c r="E265" s="105"/>
      <c r="F265" s="104"/>
      <c r="G265" s="104"/>
      <c r="H265" s="104"/>
    </row>
    <row r="266" spans="1:8" ht="14.25" x14ac:dyDescent="0.2">
      <c r="A266" s="104"/>
      <c r="B266" s="104"/>
      <c r="C266" s="104"/>
      <c r="D266" s="104"/>
      <c r="E266" s="105"/>
      <c r="F266" s="104"/>
      <c r="G266" s="104"/>
      <c r="H266" s="104"/>
    </row>
    <row r="267" spans="1:8" ht="14.25" x14ac:dyDescent="0.2">
      <c r="A267" s="104"/>
      <c r="B267" s="104"/>
      <c r="C267" s="104"/>
      <c r="D267" s="104"/>
      <c r="E267" s="105"/>
      <c r="F267" s="104"/>
      <c r="G267" s="104"/>
      <c r="H267" s="104"/>
    </row>
    <row r="268" spans="1:8" ht="14.25" x14ac:dyDescent="0.2">
      <c r="A268" s="104"/>
      <c r="B268" s="104"/>
      <c r="C268" s="104"/>
      <c r="D268" s="104"/>
      <c r="E268" s="105"/>
      <c r="F268" s="104"/>
      <c r="G268" s="104"/>
      <c r="H268" s="104"/>
    </row>
    <row r="269" spans="1:8" ht="14.25" x14ac:dyDescent="0.2">
      <c r="A269" s="104"/>
      <c r="B269" s="104"/>
      <c r="C269" s="104"/>
      <c r="D269" s="104"/>
      <c r="E269" s="105"/>
      <c r="F269" s="104"/>
      <c r="G269" s="104"/>
      <c r="H269" s="104"/>
    </row>
    <row r="270" spans="1:8" ht="14.25" x14ac:dyDescent="0.2">
      <c r="A270" s="104"/>
      <c r="B270" s="104"/>
      <c r="C270" s="104"/>
      <c r="D270" s="104"/>
      <c r="E270" s="105"/>
      <c r="F270" s="104"/>
      <c r="G270" s="104"/>
      <c r="H270" s="104"/>
    </row>
    <row r="271" spans="1:8" ht="14.25" x14ac:dyDescent="0.2">
      <c r="A271" s="104"/>
      <c r="B271" s="104"/>
      <c r="C271" s="104"/>
      <c r="D271" s="104"/>
      <c r="E271" s="105"/>
      <c r="F271" s="104"/>
      <c r="G271" s="104"/>
      <c r="H271" s="104"/>
    </row>
    <row r="272" spans="1:8" ht="14.25" x14ac:dyDescent="0.2">
      <c r="A272" s="104"/>
      <c r="B272" s="104"/>
      <c r="C272" s="104"/>
      <c r="D272" s="104"/>
      <c r="E272" s="105"/>
      <c r="F272" s="104"/>
      <c r="G272" s="104"/>
      <c r="H272" s="104"/>
    </row>
    <row r="273" spans="1:8" ht="14.25" x14ac:dyDescent="0.2">
      <c r="A273" s="104"/>
      <c r="B273" s="104"/>
      <c r="C273" s="104"/>
      <c r="D273" s="104"/>
      <c r="E273" s="105"/>
      <c r="F273" s="104"/>
      <c r="G273" s="104"/>
      <c r="H273" s="104"/>
    </row>
    <row r="274" spans="1:8" ht="14.25" x14ac:dyDescent="0.2">
      <c r="A274" s="104"/>
      <c r="B274" s="104"/>
      <c r="C274" s="104"/>
      <c r="D274" s="104"/>
      <c r="E274" s="105"/>
      <c r="F274" s="104"/>
      <c r="G274" s="104"/>
      <c r="H274" s="104"/>
    </row>
    <row r="275" spans="1:8" ht="14.25" x14ac:dyDescent="0.2">
      <c r="A275" s="104"/>
      <c r="B275" s="104"/>
      <c r="C275" s="104"/>
      <c r="D275" s="104"/>
      <c r="E275" s="105"/>
      <c r="F275" s="104"/>
      <c r="G275" s="104"/>
      <c r="H275" s="104"/>
    </row>
    <row r="276" spans="1:8" ht="14.25" x14ac:dyDescent="0.2">
      <c r="A276" s="104"/>
      <c r="B276" s="104"/>
      <c r="C276" s="104"/>
      <c r="D276" s="104"/>
      <c r="E276" s="105"/>
      <c r="F276" s="104"/>
      <c r="G276" s="104"/>
      <c r="H276" s="104"/>
    </row>
    <row r="277" spans="1:8" ht="14.25" x14ac:dyDescent="0.2">
      <c r="A277" s="104"/>
      <c r="B277" s="104"/>
      <c r="C277" s="104"/>
      <c r="D277" s="104"/>
      <c r="E277" s="105"/>
      <c r="F277" s="104"/>
      <c r="G277" s="104"/>
      <c r="H277" s="104"/>
    </row>
    <row r="278" spans="1:8" ht="14.25" x14ac:dyDescent="0.2">
      <c r="A278" s="104"/>
      <c r="B278" s="104"/>
      <c r="C278" s="104"/>
      <c r="D278" s="104"/>
      <c r="E278" s="105"/>
      <c r="F278" s="104"/>
      <c r="G278" s="104"/>
      <c r="H278" s="104"/>
    </row>
    <row r="279" spans="1:8" ht="14.25" x14ac:dyDescent="0.2">
      <c r="A279" s="104"/>
      <c r="B279" s="104"/>
      <c r="C279" s="104"/>
      <c r="D279" s="104"/>
      <c r="E279" s="105"/>
      <c r="F279" s="104"/>
      <c r="G279" s="104"/>
      <c r="H279" s="104"/>
    </row>
    <row r="280" spans="1:8" ht="14.25" x14ac:dyDescent="0.2">
      <c r="A280" s="104"/>
      <c r="B280" s="104"/>
      <c r="C280" s="104"/>
      <c r="D280" s="104"/>
      <c r="E280" s="105"/>
      <c r="F280" s="104"/>
      <c r="G280" s="104"/>
      <c r="H280" s="104"/>
    </row>
    <row r="281" spans="1:8" ht="14.25" x14ac:dyDescent="0.2">
      <c r="A281" s="104"/>
      <c r="B281" s="104"/>
      <c r="C281" s="104"/>
      <c r="D281" s="104"/>
      <c r="E281" s="105"/>
      <c r="F281" s="104"/>
      <c r="G281" s="104"/>
      <c r="H281" s="104"/>
    </row>
    <row r="282" spans="1:8" ht="14.25" x14ac:dyDescent="0.2">
      <c r="A282" s="104"/>
      <c r="B282" s="104"/>
      <c r="C282" s="104"/>
      <c r="D282" s="104"/>
      <c r="E282" s="105"/>
      <c r="F282" s="104"/>
      <c r="G282" s="104"/>
      <c r="H282" s="104"/>
    </row>
    <row r="283" spans="1:8" ht="14.25" x14ac:dyDescent="0.2">
      <c r="A283" s="104"/>
      <c r="B283" s="104"/>
      <c r="C283" s="104"/>
      <c r="D283" s="104"/>
      <c r="E283" s="105"/>
      <c r="F283" s="104"/>
      <c r="G283" s="104"/>
      <c r="H283" s="104"/>
    </row>
    <row r="284" spans="1:8" ht="14.25" x14ac:dyDescent="0.2">
      <c r="A284" s="104"/>
      <c r="B284" s="104"/>
      <c r="C284" s="104"/>
      <c r="D284" s="104"/>
      <c r="E284" s="105"/>
      <c r="F284" s="104"/>
      <c r="G284" s="104"/>
      <c r="H284" s="104"/>
    </row>
    <row r="285" spans="1:8" ht="14.25" x14ac:dyDescent="0.2">
      <c r="A285" s="104"/>
      <c r="B285" s="104"/>
      <c r="C285" s="104"/>
      <c r="D285" s="104"/>
      <c r="E285" s="105"/>
      <c r="F285" s="104"/>
      <c r="G285" s="104"/>
      <c r="H285" s="104"/>
    </row>
    <row r="286" spans="1:8" ht="14.25" x14ac:dyDescent="0.2">
      <c r="A286" s="104"/>
      <c r="B286" s="104"/>
      <c r="C286" s="104"/>
      <c r="D286" s="104"/>
      <c r="E286" s="105"/>
      <c r="F286" s="104"/>
      <c r="G286" s="104"/>
      <c r="H286" s="104"/>
    </row>
    <row r="287" spans="1:8" ht="14.25" x14ac:dyDescent="0.2">
      <c r="A287" s="104"/>
      <c r="B287" s="104"/>
      <c r="C287" s="104"/>
      <c r="D287" s="104"/>
      <c r="E287" s="105"/>
      <c r="F287" s="104"/>
      <c r="G287" s="104"/>
      <c r="H287" s="104"/>
    </row>
    <row r="288" spans="1:8" ht="14.25" x14ac:dyDescent="0.2">
      <c r="A288" s="104"/>
      <c r="B288" s="104"/>
      <c r="C288" s="104"/>
      <c r="D288" s="104"/>
      <c r="E288" s="105"/>
      <c r="F288" s="104"/>
      <c r="G288" s="104"/>
      <c r="H288" s="104"/>
    </row>
    <row r="289" spans="1:8" ht="14.25" x14ac:dyDescent="0.2">
      <c r="A289" s="104"/>
      <c r="B289" s="104"/>
      <c r="C289" s="104"/>
      <c r="D289" s="104"/>
      <c r="E289" s="105"/>
      <c r="F289" s="104"/>
      <c r="G289" s="104"/>
      <c r="H289" s="104"/>
    </row>
    <row r="290" spans="1:8" ht="14.25" x14ac:dyDescent="0.2">
      <c r="A290" s="104"/>
      <c r="B290" s="104"/>
      <c r="C290" s="104"/>
      <c r="D290" s="104"/>
      <c r="E290" s="105"/>
      <c r="F290" s="104"/>
      <c r="G290" s="104"/>
      <c r="H290" s="104"/>
    </row>
    <row r="291" spans="1:8" ht="14.25" x14ac:dyDescent="0.2">
      <c r="A291" s="104"/>
      <c r="B291" s="104"/>
      <c r="C291" s="104"/>
      <c r="D291" s="104"/>
      <c r="E291" s="105"/>
      <c r="F291" s="104"/>
      <c r="G291" s="104"/>
      <c r="H291" s="104"/>
    </row>
    <row r="292" spans="1:8" ht="14.25" x14ac:dyDescent="0.2">
      <c r="A292" s="104"/>
      <c r="B292" s="104"/>
      <c r="C292" s="104"/>
      <c r="D292" s="104"/>
      <c r="E292" s="105"/>
      <c r="F292" s="104"/>
      <c r="G292" s="104"/>
      <c r="H292" s="104"/>
    </row>
    <row r="293" spans="1:8" ht="14.25" x14ac:dyDescent="0.2">
      <c r="A293" s="104"/>
      <c r="B293" s="104"/>
      <c r="C293" s="104"/>
      <c r="D293" s="104"/>
      <c r="E293" s="105"/>
      <c r="F293" s="104"/>
      <c r="G293" s="104"/>
      <c r="H293" s="104"/>
    </row>
    <row r="294" spans="1:8" ht="14.25" x14ac:dyDescent="0.2">
      <c r="A294" s="104"/>
      <c r="B294" s="104"/>
      <c r="C294" s="104"/>
      <c r="D294" s="104"/>
      <c r="E294" s="105"/>
      <c r="F294" s="104"/>
      <c r="G294" s="104"/>
      <c r="H294" s="104"/>
    </row>
    <row r="295" spans="1:8" ht="14.25" x14ac:dyDescent="0.2">
      <c r="A295" s="104"/>
      <c r="B295" s="104"/>
      <c r="C295" s="104"/>
      <c r="D295" s="104"/>
      <c r="E295" s="105"/>
      <c r="F295" s="104"/>
      <c r="G295" s="104"/>
      <c r="H295" s="104"/>
    </row>
    <row r="296" spans="1:8" ht="14.25" x14ac:dyDescent="0.2">
      <c r="A296" s="104"/>
      <c r="B296" s="104"/>
      <c r="C296" s="104"/>
      <c r="D296" s="104"/>
      <c r="E296" s="105"/>
      <c r="F296" s="104"/>
      <c r="G296" s="104"/>
      <c r="H296" s="104"/>
    </row>
    <row r="297" spans="1:8" ht="14.25" x14ac:dyDescent="0.2">
      <c r="A297" s="104"/>
      <c r="B297" s="104"/>
      <c r="C297" s="104"/>
      <c r="D297" s="104"/>
      <c r="E297" s="105"/>
      <c r="F297" s="104"/>
      <c r="G297" s="104"/>
      <c r="H297" s="104"/>
    </row>
    <row r="298" spans="1:8" ht="14.25" x14ac:dyDescent="0.2">
      <c r="A298" s="104"/>
      <c r="B298" s="104"/>
      <c r="C298" s="104"/>
      <c r="D298" s="104"/>
      <c r="E298" s="105"/>
      <c r="F298" s="104"/>
      <c r="G298" s="104"/>
      <c r="H298" s="104"/>
    </row>
    <row r="299" spans="1:8" ht="14.25" x14ac:dyDescent="0.2">
      <c r="A299" s="104"/>
      <c r="B299" s="104"/>
      <c r="C299" s="104"/>
      <c r="D299" s="104"/>
      <c r="E299" s="105"/>
      <c r="F299" s="104"/>
      <c r="G299" s="104"/>
      <c r="H299" s="104"/>
    </row>
    <row r="300" spans="1:8" ht="14.25" x14ac:dyDescent="0.2">
      <c r="A300" s="104"/>
      <c r="B300" s="104"/>
      <c r="C300" s="104"/>
      <c r="D300" s="104"/>
      <c r="E300" s="105"/>
      <c r="F300" s="104"/>
      <c r="G300" s="104"/>
      <c r="H300" s="104"/>
    </row>
    <row r="301" spans="1:8" ht="14.25" x14ac:dyDescent="0.2">
      <c r="A301" s="104"/>
      <c r="B301" s="104"/>
      <c r="C301" s="104"/>
      <c r="D301" s="104"/>
      <c r="E301" s="105"/>
      <c r="F301" s="104"/>
      <c r="G301" s="104"/>
      <c r="H301" s="104"/>
    </row>
    <row r="302" spans="1:8" ht="14.25" x14ac:dyDescent="0.2">
      <c r="A302" s="104"/>
      <c r="B302" s="104"/>
      <c r="C302" s="104"/>
      <c r="D302" s="104"/>
      <c r="E302" s="105"/>
      <c r="F302" s="104"/>
      <c r="G302" s="104"/>
      <c r="H302" s="104"/>
    </row>
    <row r="303" spans="1:8" ht="14.25" x14ac:dyDescent="0.2">
      <c r="A303" s="104"/>
      <c r="B303" s="104"/>
      <c r="C303" s="104"/>
      <c r="D303" s="104"/>
      <c r="E303" s="105"/>
      <c r="F303" s="104"/>
      <c r="G303" s="104"/>
      <c r="H303" s="104"/>
    </row>
    <row r="304" spans="1:8" ht="14.25" x14ac:dyDescent="0.2">
      <c r="A304" s="104"/>
      <c r="B304" s="104"/>
      <c r="C304" s="104"/>
      <c r="D304" s="104"/>
      <c r="E304" s="105"/>
      <c r="F304" s="104"/>
      <c r="G304" s="104"/>
      <c r="H304" s="104"/>
    </row>
    <row r="305" spans="1:8" ht="14.25" x14ac:dyDescent="0.2">
      <c r="A305" s="104"/>
      <c r="B305" s="104"/>
      <c r="C305" s="104"/>
      <c r="D305" s="104"/>
      <c r="E305" s="105"/>
      <c r="F305" s="104"/>
      <c r="G305" s="104"/>
      <c r="H305" s="104"/>
    </row>
    <row r="306" spans="1:8" ht="14.25" x14ac:dyDescent="0.2">
      <c r="A306" s="104"/>
      <c r="B306" s="104"/>
      <c r="C306" s="104"/>
      <c r="D306" s="104"/>
      <c r="E306" s="105"/>
      <c r="F306" s="104"/>
      <c r="G306" s="104"/>
      <c r="H306" s="104"/>
    </row>
    <row r="307" spans="1:8" ht="14.25" x14ac:dyDescent="0.2">
      <c r="A307" s="104"/>
      <c r="B307" s="104"/>
      <c r="C307" s="104"/>
      <c r="D307" s="104"/>
      <c r="E307" s="105"/>
      <c r="F307" s="104"/>
      <c r="G307" s="104"/>
      <c r="H307" s="104"/>
    </row>
    <row r="308" spans="1:8" ht="14.25" x14ac:dyDescent="0.2">
      <c r="A308" s="104"/>
      <c r="B308" s="104"/>
      <c r="C308" s="104"/>
      <c r="D308" s="104"/>
      <c r="E308" s="105"/>
      <c r="F308" s="104"/>
      <c r="G308" s="104"/>
      <c r="H308" s="104"/>
    </row>
    <row r="309" spans="1:8" ht="14.25" x14ac:dyDescent="0.2">
      <c r="A309" s="104"/>
      <c r="B309" s="104"/>
      <c r="C309" s="104"/>
      <c r="D309" s="104"/>
      <c r="E309" s="105"/>
      <c r="F309" s="104"/>
      <c r="G309" s="104"/>
      <c r="H309" s="104"/>
    </row>
    <row r="310" spans="1:8" ht="14.25" x14ac:dyDescent="0.2">
      <c r="A310" s="104"/>
      <c r="B310" s="104"/>
      <c r="C310" s="104"/>
      <c r="D310" s="104"/>
      <c r="E310" s="105"/>
      <c r="F310" s="104"/>
      <c r="G310" s="104"/>
      <c r="H310" s="104"/>
    </row>
    <row r="311" spans="1:8" ht="14.25" x14ac:dyDescent="0.2">
      <c r="A311" s="104"/>
      <c r="B311" s="104"/>
      <c r="C311" s="104"/>
      <c r="D311" s="104"/>
      <c r="E311" s="105"/>
      <c r="F311" s="104"/>
      <c r="G311" s="104"/>
      <c r="H311" s="104"/>
    </row>
    <row r="312" spans="1:8" ht="14.25" x14ac:dyDescent="0.2">
      <c r="A312" s="104"/>
      <c r="B312" s="104"/>
      <c r="C312" s="104"/>
      <c r="D312" s="104"/>
      <c r="E312" s="105"/>
      <c r="F312" s="104"/>
      <c r="G312" s="104"/>
      <c r="H312" s="104"/>
    </row>
    <row r="313" spans="1:8" ht="14.25" x14ac:dyDescent="0.2">
      <c r="A313" s="104"/>
      <c r="B313" s="104"/>
      <c r="C313" s="104"/>
      <c r="D313" s="104"/>
      <c r="E313" s="105"/>
      <c r="F313" s="104"/>
      <c r="G313" s="104"/>
      <c r="H313" s="104"/>
    </row>
    <row r="314" spans="1:8" ht="14.25" x14ac:dyDescent="0.2">
      <c r="A314" s="104"/>
      <c r="B314" s="104"/>
      <c r="C314" s="104"/>
      <c r="D314" s="104"/>
      <c r="E314" s="105"/>
      <c r="F314" s="104"/>
      <c r="G314" s="104"/>
      <c r="H314" s="104"/>
    </row>
    <row r="315" spans="1:8" ht="14.25" x14ac:dyDescent="0.2">
      <c r="A315" s="104"/>
      <c r="B315" s="104"/>
      <c r="C315" s="104"/>
      <c r="D315" s="104"/>
      <c r="E315" s="105"/>
      <c r="F315" s="104"/>
      <c r="G315" s="104"/>
      <c r="H315" s="104"/>
    </row>
    <row r="316" spans="1:8" ht="14.25" x14ac:dyDescent="0.2">
      <c r="A316" s="104"/>
      <c r="B316" s="104"/>
      <c r="C316" s="104"/>
      <c r="D316" s="104"/>
      <c r="E316" s="105"/>
      <c r="F316" s="104"/>
      <c r="G316" s="104"/>
      <c r="H316" s="104"/>
    </row>
    <row r="317" spans="1:8" ht="14.25" x14ac:dyDescent="0.2">
      <c r="A317" s="104"/>
      <c r="B317" s="104"/>
      <c r="C317" s="104"/>
      <c r="D317" s="104"/>
      <c r="E317" s="105"/>
      <c r="F317" s="104"/>
      <c r="G317" s="104"/>
      <c r="H317" s="104"/>
    </row>
    <row r="318" spans="1:8" ht="14.25" x14ac:dyDescent="0.2">
      <c r="A318" s="104"/>
      <c r="B318" s="104"/>
      <c r="C318" s="104"/>
      <c r="D318" s="104"/>
      <c r="E318" s="105"/>
      <c r="F318" s="104"/>
      <c r="G318" s="104"/>
      <c r="H318" s="104"/>
    </row>
    <row r="319" spans="1:8" ht="14.25" x14ac:dyDescent="0.2">
      <c r="A319" s="104"/>
      <c r="B319" s="104"/>
      <c r="C319" s="104"/>
      <c r="D319" s="104"/>
      <c r="E319" s="105"/>
      <c r="F319" s="104"/>
      <c r="G319" s="104"/>
      <c r="H319" s="104"/>
    </row>
    <row r="320" spans="1:8" ht="14.25" x14ac:dyDescent="0.2">
      <c r="A320" s="104"/>
      <c r="B320" s="104"/>
      <c r="C320" s="104"/>
      <c r="D320" s="104"/>
      <c r="E320" s="105"/>
      <c r="F320" s="104"/>
      <c r="G320" s="104"/>
      <c r="H320" s="104"/>
    </row>
    <row r="321" spans="1:8" ht="14.25" x14ac:dyDescent="0.2">
      <c r="A321" s="104"/>
      <c r="B321" s="104"/>
      <c r="C321" s="104"/>
      <c r="D321" s="104"/>
      <c r="E321" s="105"/>
      <c r="F321" s="104"/>
      <c r="G321" s="104"/>
      <c r="H321" s="104"/>
    </row>
    <row r="322" spans="1:8" ht="14.25" x14ac:dyDescent="0.2">
      <c r="A322" s="104"/>
      <c r="B322" s="104"/>
      <c r="C322" s="104"/>
      <c r="D322" s="104"/>
      <c r="E322" s="105"/>
      <c r="F322" s="104"/>
      <c r="G322" s="104"/>
      <c r="H322" s="104"/>
    </row>
    <row r="323" spans="1:8" ht="14.25" x14ac:dyDescent="0.2">
      <c r="A323" s="104"/>
      <c r="B323" s="104"/>
      <c r="C323" s="104"/>
      <c r="D323" s="104"/>
      <c r="E323" s="105"/>
      <c r="F323" s="104"/>
      <c r="G323" s="104"/>
      <c r="H323" s="104"/>
    </row>
    <row r="324" spans="1:8" ht="14.25" x14ac:dyDescent="0.2">
      <c r="A324" s="104"/>
      <c r="B324" s="104"/>
      <c r="C324" s="104"/>
      <c r="D324" s="104"/>
      <c r="E324" s="105"/>
      <c r="F324" s="104"/>
      <c r="G324" s="104"/>
      <c r="H324" s="104"/>
    </row>
    <row r="325" spans="1:8" ht="14.25" x14ac:dyDescent="0.2">
      <c r="A325" s="104"/>
      <c r="B325" s="104"/>
      <c r="C325" s="104"/>
      <c r="D325" s="104"/>
      <c r="E325" s="105"/>
      <c r="F325" s="104"/>
      <c r="G325" s="104"/>
      <c r="H325" s="104"/>
    </row>
    <row r="326" spans="1:8" ht="14.25" x14ac:dyDescent="0.2">
      <c r="A326" s="104"/>
      <c r="B326" s="104"/>
      <c r="C326" s="104"/>
      <c r="D326" s="104"/>
      <c r="E326" s="105"/>
      <c r="F326" s="104"/>
      <c r="G326" s="104"/>
      <c r="H326" s="104"/>
    </row>
    <row r="327" spans="1:8" ht="14.25" x14ac:dyDescent="0.2">
      <c r="A327" s="104"/>
      <c r="B327" s="104"/>
      <c r="C327" s="104"/>
      <c r="D327" s="104"/>
      <c r="E327" s="105"/>
      <c r="F327" s="104"/>
      <c r="G327" s="104"/>
      <c r="H327" s="104"/>
    </row>
    <row r="328" spans="1:8" ht="14.25" x14ac:dyDescent="0.2">
      <c r="A328" s="104"/>
      <c r="B328" s="104"/>
      <c r="C328" s="104"/>
      <c r="D328" s="104"/>
      <c r="E328" s="105"/>
      <c r="F328" s="104"/>
      <c r="G328" s="104"/>
      <c r="H328" s="104"/>
    </row>
    <row r="329" spans="1:8" ht="14.25" x14ac:dyDescent="0.2">
      <c r="A329" s="104"/>
      <c r="B329" s="104"/>
      <c r="C329" s="104"/>
      <c r="D329" s="104"/>
      <c r="E329" s="105"/>
      <c r="F329" s="104"/>
      <c r="G329" s="104"/>
      <c r="H329" s="104"/>
    </row>
    <row r="330" spans="1:8" ht="14.25" x14ac:dyDescent="0.2">
      <c r="A330" s="104"/>
      <c r="B330" s="104"/>
      <c r="C330" s="104"/>
      <c r="D330" s="104"/>
      <c r="E330" s="105"/>
      <c r="F330" s="104"/>
      <c r="G330" s="104"/>
      <c r="H330" s="104"/>
    </row>
    <row r="331" spans="1:8" ht="14.25" x14ac:dyDescent="0.2">
      <c r="A331" s="104"/>
      <c r="B331" s="104"/>
      <c r="C331" s="104"/>
      <c r="D331" s="104"/>
      <c r="E331" s="105"/>
      <c r="F331" s="104"/>
      <c r="G331" s="104"/>
      <c r="H331" s="104"/>
    </row>
    <row r="332" spans="1:8" ht="14.25" x14ac:dyDescent="0.2">
      <c r="A332" s="104"/>
      <c r="B332" s="104"/>
      <c r="C332" s="104"/>
      <c r="D332" s="104"/>
      <c r="E332" s="105"/>
      <c r="F332" s="104"/>
      <c r="G332" s="104"/>
      <c r="H332" s="104"/>
    </row>
    <row r="333" spans="1:8" ht="14.25" x14ac:dyDescent="0.2">
      <c r="A333" s="104"/>
      <c r="B333" s="104"/>
      <c r="C333" s="104"/>
      <c r="D333" s="104"/>
      <c r="E333" s="105"/>
      <c r="F333" s="104"/>
      <c r="G333" s="104"/>
      <c r="H333" s="104"/>
    </row>
    <row r="334" spans="1:8" ht="14.25" x14ac:dyDescent="0.2">
      <c r="A334" s="104"/>
      <c r="B334" s="104"/>
      <c r="C334" s="104"/>
      <c r="D334" s="104"/>
      <c r="E334" s="105"/>
      <c r="F334" s="104"/>
      <c r="G334" s="104"/>
      <c r="H334" s="104"/>
    </row>
    <row r="335" spans="1:8" ht="14.25" x14ac:dyDescent="0.2">
      <c r="A335" s="104"/>
      <c r="B335" s="104"/>
      <c r="C335" s="104"/>
      <c r="D335" s="104"/>
      <c r="E335" s="105"/>
      <c r="F335" s="104"/>
      <c r="G335" s="104"/>
      <c r="H335" s="104"/>
    </row>
    <row r="336" spans="1:8" ht="14.25" x14ac:dyDescent="0.2">
      <c r="A336" s="104"/>
      <c r="B336" s="104"/>
      <c r="C336" s="104"/>
      <c r="D336" s="104"/>
      <c r="E336" s="105"/>
      <c r="F336" s="104"/>
      <c r="G336" s="104"/>
      <c r="H336" s="104"/>
    </row>
    <row r="337" spans="1:8" ht="14.25" x14ac:dyDescent="0.2">
      <c r="A337" s="104"/>
      <c r="B337" s="104"/>
      <c r="C337" s="104"/>
      <c r="D337" s="104"/>
      <c r="E337" s="105"/>
      <c r="F337" s="104"/>
      <c r="G337" s="104"/>
      <c r="H337" s="104"/>
    </row>
    <row r="338" spans="1:8" ht="14.25" x14ac:dyDescent="0.2">
      <c r="A338" s="104"/>
      <c r="B338" s="104"/>
      <c r="C338" s="104"/>
      <c r="D338" s="104"/>
      <c r="E338" s="105"/>
      <c r="F338" s="104"/>
      <c r="G338" s="104"/>
      <c r="H338" s="104"/>
    </row>
    <row r="339" spans="1:8" ht="14.25" x14ac:dyDescent="0.2">
      <c r="A339" s="104"/>
      <c r="B339" s="104"/>
      <c r="C339" s="104"/>
      <c r="D339" s="104"/>
      <c r="E339" s="105"/>
      <c r="F339" s="104"/>
      <c r="G339" s="104"/>
      <c r="H339" s="104"/>
    </row>
    <row r="340" spans="1:8" ht="14.25" x14ac:dyDescent="0.2">
      <c r="A340" s="104"/>
      <c r="B340" s="104"/>
      <c r="C340" s="104"/>
      <c r="D340" s="104"/>
      <c r="E340" s="105"/>
      <c r="F340" s="104"/>
      <c r="G340" s="104"/>
      <c r="H340" s="104"/>
    </row>
    <row r="341" spans="1:8" ht="14.25" x14ac:dyDescent="0.2">
      <c r="A341" s="104"/>
      <c r="B341" s="104"/>
      <c r="C341" s="104"/>
      <c r="D341" s="104"/>
      <c r="E341" s="105"/>
      <c r="F341" s="104"/>
      <c r="G341" s="104"/>
      <c r="H341" s="104"/>
    </row>
    <row r="342" spans="1:8" ht="14.25" x14ac:dyDescent="0.2">
      <c r="A342" s="104"/>
      <c r="B342" s="104"/>
      <c r="C342" s="104"/>
      <c r="D342" s="104"/>
      <c r="E342" s="105"/>
      <c r="F342" s="104"/>
      <c r="G342" s="104"/>
      <c r="H342" s="104"/>
    </row>
    <row r="343" spans="1:8" ht="14.25" x14ac:dyDescent="0.2">
      <c r="A343" s="104"/>
      <c r="B343" s="104"/>
      <c r="C343" s="104"/>
      <c r="D343" s="104"/>
      <c r="E343" s="105"/>
      <c r="F343" s="104"/>
      <c r="G343" s="104"/>
      <c r="H343" s="104"/>
    </row>
    <row r="344" spans="1:8" ht="14.25" x14ac:dyDescent="0.2">
      <c r="A344" s="104"/>
      <c r="B344" s="104"/>
      <c r="C344" s="104"/>
      <c r="D344" s="104"/>
      <c r="E344" s="105"/>
      <c r="F344" s="104"/>
      <c r="G344" s="104"/>
      <c r="H344" s="104"/>
    </row>
    <row r="345" spans="1:8" ht="14.25" x14ac:dyDescent="0.2">
      <c r="A345" s="104"/>
      <c r="B345" s="104"/>
      <c r="C345" s="104"/>
      <c r="D345" s="104"/>
      <c r="E345" s="105"/>
      <c r="F345" s="104"/>
      <c r="G345" s="104"/>
      <c r="H345" s="104"/>
    </row>
    <row r="346" spans="1:8" ht="14.25" x14ac:dyDescent="0.2">
      <c r="A346" s="104"/>
      <c r="B346" s="104"/>
      <c r="C346" s="104"/>
      <c r="D346" s="104"/>
      <c r="E346" s="105"/>
      <c r="F346" s="104"/>
      <c r="G346" s="104"/>
      <c r="H346" s="104"/>
    </row>
    <row r="347" spans="1:8" ht="14.25" x14ac:dyDescent="0.2">
      <c r="A347" s="104"/>
      <c r="B347" s="104"/>
      <c r="C347" s="104"/>
      <c r="D347" s="104"/>
      <c r="E347" s="105"/>
      <c r="F347" s="104"/>
      <c r="G347" s="104"/>
      <c r="H347" s="104"/>
    </row>
    <row r="348" spans="1:8" ht="14.25" x14ac:dyDescent="0.2">
      <c r="A348" s="104"/>
      <c r="B348" s="104"/>
      <c r="C348" s="104"/>
      <c r="D348" s="104"/>
      <c r="E348" s="105"/>
      <c r="F348" s="104"/>
      <c r="G348" s="104"/>
      <c r="H348" s="104"/>
    </row>
    <row r="349" spans="1:8" ht="14.25" x14ac:dyDescent="0.2">
      <c r="A349" s="104"/>
      <c r="B349" s="104"/>
      <c r="C349" s="104"/>
      <c r="D349" s="104"/>
      <c r="E349" s="105"/>
      <c r="F349" s="104"/>
      <c r="G349" s="104"/>
      <c r="H349" s="104"/>
    </row>
    <row r="350" spans="1:8" ht="14.25" x14ac:dyDescent="0.2">
      <c r="A350" s="104"/>
      <c r="B350" s="104"/>
      <c r="C350" s="104"/>
      <c r="D350" s="104"/>
      <c r="E350" s="105"/>
      <c r="F350" s="104"/>
      <c r="G350" s="104"/>
      <c r="H350" s="104"/>
    </row>
    <row r="351" spans="1:8" ht="14.25" x14ac:dyDescent="0.2">
      <c r="A351" s="104"/>
      <c r="B351" s="104"/>
      <c r="C351" s="104"/>
      <c r="D351" s="104"/>
      <c r="E351" s="105"/>
      <c r="F351" s="104"/>
      <c r="G351" s="104"/>
      <c r="H351" s="104"/>
    </row>
    <row r="352" spans="1:8" ht="14.25" x14ac:dyDescent="0.2">
      <c r="A352" s="104"/>
      <c r="B352" s="104"/>
      <c r="C352" s="104"/>
      <c r="D352" s="104"/>
      <c r="E352" s="105"/>
      <c r="F352" s="104"/>
      <c r="G352" s="104"/>
      <c r="H352" s="104"/>
    </row>
    <row r="353" spans="1:8" ht="14.25" x14ac:dyDescent="0.2">
      <c r="A353" s="104"/>
      <c r="B353" s="104"/>
      <c r="C353" s="104"/>
      <c r="D353" s="104"/>
      <c r="E353" s="105"/>
      <c r="F353" s="104"/>
      <c r="G353" s="104"/>
      <c r="H353" s="104"/>
    </row>
    <row r="354" spans="1:8" ht="14.25" x14ac:dyDescent="0.2">
      <c r="A354" s="104"/>
      <c r="B354" s="104"/>
      <c r="C354" s="104"/>
      <c r="D354" s="104"/>
      <c r="E354" s="105"/>
      <c r="F354" s="104"/>
      <c r="G354" s="104"/>
      <c r="H354" s="104"/>
    </row>
    <row r="355" spans="1:8" ht="14.25" x14ac:dyDescent="0.2">
      <c r="A355" s="104"/>
      <c r="B355" s="104"/>
      <c r="C355" s="104"/>
      <c r="D355" s="104"/>
      <c r="E355" s="105"/>
      <c r="F355" s="104"/>
      <c r="G355" s="104"/>
      <c r="H355" s="104"/>
    </row>
    <row r="356" spans="1:8" ht="14.25" x14ac:dyDescent="0.2">
      <c r="A356" s="104"/>
      <c r="B356" s="104"/>
      <c r="C356" s="104"/>
      <c r="D356" s="104"/>
      <c r="E356" s="105"/>
      <c r="F356" s="104"/>
      <c r="G356" s="104"/>
      <c r="H356" s="104"/>
    </row>
    <row r="357" spans="1:8" ht="14.25" x14ac:dyDescent="0.2">
      <c r="A357" s="104"/>
      <c r="B357" s="104"/>
      <c r="C357" s="104"/>
      <c r="D357" s="104"/>
      <c r="E357" s="105"/>
      <c r="F357" s="104"/>
      <c r="G357" s="104"/>
      <c r="H357" s="104"/>
    </row>
    <row r="358" spans="1:8" ht="14.25" x14ac:dyDescent="0.2">
      <c r="A358" s="104"/>
      <c r="B358" s="104"/>
      <c r="C358" s="104"/>
      <c r="D358" s="104"/>
      <c r="E358" s="105"/>
      <c r="F358" s="104"/>
      <c r="G358" s="104"/>
      <c r="H358" s="104"/>
    </row>
    <row r="359" spans="1:8" ht="14.25" x14ac:dyDescent="0.2">
      <c r="A359" s="104"/>
      <c r="B359" s="104"/>
      <c r="C359" s="104"/>
      <c r="D359" s="104"/>
      <c r="E359" s="105"/>
      <c r="F359" s="104"/>
      <c r="G359" s="104"/>
      <c r="H359" s="104"/>
    </row>
    <row r="360" spans="1:8" ht="14.25" x14ac:dyDescent="0.2">
      <c r="A360" s="104"/>
      <c r="B360" s="104"/>
      <c r="C360" s="104"/>
      <c r="D360" s="104"/>
      <c r="E360" s="105"/>
      <c r="F360" s="104"/>
      <c r="G360" s="104"/>
      <c r="H360" s="104"/>
    </row>
    <row r="361" spans="1:8" ht="14.25" x14ac:dyDescent="0.2">
      <c r="A361" s="104"/>
      <c r="B361" s="104"/>
      <c r="C361" s="104"/>
      <c r="D361" s="104"/>
      <c r="E361" s="105"/>
      <c r="F361" s="104"/>
      <c r="G361" s="104"/>
      <c r="H361" s="104"/>
    </row>
    <row r="362" spans="1:8" ht="14.25" x14ac:dyDescent="0.2">
      <c r="A362" s="104"/>
      <c r="B362" s="104"/>
      <c r="C362" s="104"/>
      <c r="D362" s="104"/>
      <c r="E362" s="105"/>
      <c r="F362" s="104"/>
      <c r="G362" s="104"/>
      <c r="H362" s="104"/>
    </row>
    <row r="363" spans="1:8" ht="14.25" x14ac:dyDescent="0.2">
      <c r="A363" s="104"/>
      <c r="B363" s="104"/>
      <c r="C363" s="104"/>
      <c r="D363" s="104"/>
      <c r="E363" s="105"/>
      <c r="F363" s="104"/>
      <c r="G363" s="104"/>
      <c r="H363" s="104"/>
    </row>
    <row r="364" spans="1:8" ht="14.25" x14ac:dyDescent="0.2">
      <c r="A364" s="104"/>
      <c r="B364" s="104"/>
      <c r="C364" s="104"/>
      <c r="D364" s="104"/>
      <c r="E364" s="105"/>
      <c r="F364" s="104"/>
      <c r="G364" s="104"/>
      <c r="H364" s="104"/>
    </row>
    <row r="365" spans="1:8" ht="14.25" x14ac:dyDescent="0.2">
      <c r="A365" s="104"/>
      <c r="B365" s="104"/>
      <c r="C365" s="104"/>
      <c r="D365" s="104"/>
      <c r="E365" s="105"/>
      <c r="F365" s="104"/>
      <c r="G365" s="104"/>
      <c r="H365" s="104"/>
    </row>
    <row r="366" spans="1:8" ht="14.25" x14ac:dyDescent="0.2">
      <c r="A366" s="104"/>
      <c r="B366" s="104"/>
      <c r="C366" s="104"/>
      <c r="D366" s="104"/>
      <c r="E366" s="105"/>
      <c r="F366" s="104"/>
      <c r="G366" s="104"/>
      <c r="H366" s="104"/>
    </row>
    <row r="367" spans="1:8" ht="14.25" x14ac:dyDescent="0.2">
      <c r="A367" s="104"/>
      <c r="B367" s="104"/>
      <c r="C367" s="104"/>
      <c r="D367" s="104"/>
      <c r="E367" s="105"/>
      <c r="F367" s="104"/>
      <c r="G367" s="104"/>
      <c r="H367" s="104"/>
    </row>
    <row r="368" spans="1:8" ht="14.25" x14ac:dyDescent="0.2">
      <c r="A368" s="104"/>
      <c r="B368" s="104"/>
      <c r="C368" s="104"/>
      <c r="D368" s="104"/>
      <c r="E368" s="105"/>
      <c r="F368" s="104"/>
      <c r="G368" s="104"/>
      <c r="H368" s="104"/>
    </row>
    <row r="369" spans="1:8" ht="14.25" x14ac:dyDescent="0.2">
      <c r="A369" s="104"/>
      <c r="B369" s="104"/>
      <c r="C369" s="104"/>
      <c r="D369" s="104"/>
      <c r="E369" s="105"/>
      <c r="F369" s="104"/>
      <c r="G369" s="104"/>
      <c r="H369" s="104"/>
    </row>
    <row r="370" spans="1:8" ht="14.25" x14ac:dyDescent="0.2">
      <c r="A370" s="104"/>
      <c r="B370" s="104"/>
      <c r="C370" s="104"/>
      <c r="D370" s="104"/>
      <c r="E370" s="105"/>
      <c r="F370" s="104"/>
      <c r="G370" s="104"/>
      <c r="H370" s="104"/>
    </row>
    <row r="371" spans="1:8" ht="14.25" x14ac:dyDescent="0.2">
      <c r="A371" s="104"/>
      <c r="B371" s="104"/>
      <c r="C371" s="104"/>
      <c r="D371" s="104"/>
      <c r="E371" s="105"/>
      <c r="F371" s="104"/>
      <c r="G371" s="104"/>
      <c r="H371" s="104"/>
    </row>
    <row r="372" spans="1:8" ht="14.25" x14ac:dyDescent="0.2">
      <c r="A372" s="104"/>
      <c r="B372" s="104"/>
      <c r="C372" s="104"/>
      <c r="D372" s="104"/>
      <c r="E372" s="105"/>
      <c r="F372" s="104"/>
      <c r="G372" s="104"/>
      <c r="H372" s="104"/>
    </row>
    <row r="373" spans="1:8" ht="14.25" x14ac:dyDescent="0.2">
      <c r="A373" s="104"/>
      <c r="B373" s="104"/>
      <c r="C373" s="104"/>
      <c r="D373" s="104"/>
      <c r="E373" s="105"/>
      <c r="F373" s="104"/>
      <c r="G373" s="104"/>
      <c r="H373" s="104"/>
    </row>
    <row r="374" spans="1:8" ht="14.25" x14ac:dyDescent="0.2">
      <c r="A374" s="104"/>
      <c r="B374" s="104"/>
      <c r="C374" s="104"/>
      <c r="D374" s="104"/>
      <c r="E374" s="105"/>
      <c r="F374" s="104"/>
      <c r="G374" s="104"/>
      <c r="H374" s="104"/>
    </row>
    <row r="375" spans="1:8" ht="14.25" x14ac:dyDescent="0.2">
      <c r="A375" s="104"/>
      <c r="B375" s="104"/>
      <c r="C375" s="104"/>
      <c r="D375" s="104"/>
      <c r="E375" s="105"/>
      <c r="F375" s="104"/>
      <c r="G375" s="104"/>
      <c r="H375" s="104"/>
    </row>
    <row r="376" spans="1:8" ht="14.25" x14ac:dyDescent="0.2">
      <c r="A376" s="104"/>
      <c r="B376" s="104"/>
      <c r="C376" s="104"/>
      <c r="D376" s="104"/>
      <c r="E376" s="105"/>
      <c r="F376" s="104"/>
      <c r="G376" s="104"/>
      <c r="H376" s="104"/>
    </row>
    <row r="377" spans="1:8" ht="14.25" x14ac:dyDescent="0.2">
      <c r="A377" s="104"/>
      <c r="B377" s="104"/>
      <c r="C377" s="104"/>
      <c r="D377" s="104"/>
      <c r="E377" s="105"/>
      <c r="F377" s="104"/>
      <c r="G377" s="104"/>
      <c r="H377" s="104"/>
    </row>
    <row r="378" spans="1:8" ht="14.25" x14ac:dyDescent="0.2">
      <c r="A378" s="104"/>
      <c r="B378" s="104"/>
      <c r="C378" s="104"/>
      <c r="D378" s="104"/>
      <c r="E378" s="105"/>
      <c r="F378" s="104"/>
      <c r="G378" s="104"/>
      <c r="H378" s="104"/>
    </row>
    <row r="379" spans="1:8" ht="14.25" x14ac:dyDescent="0.2">
      <c r="A379" s="104"/>
      <c r="B379" s="104"/>
      <c r="C379" s="104"/>
      <c r="D379" s="104"/>
      <c r="E379" s="105"/>
      <c r="F379" s="104"/>
      <c r="G379" s="104"/>
      <c r="H379" s="104"/>
    </row>
    <row r="380" spans="1:8" ht="14.25" x14ac:dyDescent="0.2">
      <c r="A380" s="104"/>
      <c r="B380" s="104"/>
      <c r="C380" s="104"/>
      <c r="D380" s="104"/>
      <c r="E380" s="105"/>
      <c r="F380" s="104"/>
      <c r="G380" s="104"/>
      <c r="H380" s="104"/>
    </row>
    <row r="381" spans="1:8" ht="14.25" x14ac:dyDescent="0.2">
      <c r="A381" s="104"/>
      <c r="B381" s="104"/>
      <c r="C381" s="104"/>
      <c r="D381" s="104"/>
      <c r="E381" s="105"/>
      <c r="F381" s="104"/>
      <c r="G381" s="104"/>
      <c r="H381" s="104"/>
    </row>
    <row r="382" spans="1:8" ht="14.25" x14ac:dyDescent="0.2">
      <c r="A382" s="104"/>
      <c r="B382" s="104"/>
      <c r="C382" s="104"/>
      <c r="D382" s="104"/>
      <c r="E382" s="105"/>
      <c r="F382" s="104"/>
      <c r="G382" s="104"/>
      <c r="H382" s="104"/>
    </row>
    <row r="383" spans="1:8" ht="14.25" x14ac:dyDescent="0.2">
      <c r="A383" s="104"/>
      <c r="B383" s="104"/>
      <c r="C383" s="104"/>
      <c r="D383" s="104"/>
      <c r="E383" s="105"/>
      <c r="F383" s="104"/>
      <c r="G383" s="104"/>
      <c r="H383" s="104"/>
    </row>
    <row r="384" spans="1:8" ht="14.25" x14ac:dyDescent="0.2">
      <c r="A384" s="104"/>
      <c r="B384" s="104"/>
      <c r="C384" s="104"/>
      <c r="D384" s="104"/>
      <c r="E384" s="105"/>
      <c r="F384" s="104"/>
      <c r="G384" s="104"/>
      <c r="H384" s="104"/>
    </row>
    <row r="385" spans="1:8" ht="14.25" x14ac:dyDescent="0.2">
      <c r="A385" s="104"/>
      <c r="B385" s="104"/>
      <c r="C385" s="104"/>
      <c r="D385" s="104"/>
      <c r="E385" s="105"/>
      <c r="F385" s="104"/>
      <c r="G385" s="104"/>
      <c r="H385" s="104"/>
    </row>
    <row r="386" spans="1:8" ht="14.25" x14ac:dyDescent="0.2">
      <c r="A386" s="104"/>
      <c r="B386" s="104"/>
      <c r="C386" s="104"/>
      <c r="D386" s="104"/>
      <c r="E386" s="105"/>
      <c r="F386" s="104"/>
      <c r="G386" s="104"/>
      <c r="H386" s="104"/>
    </row>
    <row r="387" spans="1:8" ht="14.25" x14ac:dyDescent="0.2">
      <c r="A387" s="104"/>
      <c r="B387" s="104"/>
      <c r="C387" s="104"/>
      <c r="D387" s="104"/>
      <c r="E387" s="105"/>
      <c r="F387" s="104"/>
      <c r="G387" s="104"/>
      <c r="H387" s="104"/>
    </row>
    <row r="388" spans="1:8" ht="14.25" x14ac:dyDescent="0.2">
      <c r="A388" s="104"/>
      <c r="B388" s="104"/>
      <c r="C388" s="104"/>
      <c r="D388" s="104"/>
      <c r="E388" s="105"/>
      <c r="F388" s="104"/>
      <c r="G388" s="104"/>
      <c r="H388" s="104"/>
    </row>
    <row r="389" spans="1:8" ht="14.25" x14ac:dyDescent="0.2">
      <c r="A389" s="104"/>
      <c r="B389" s="104"/>
      <c r="C389" s="104"/>
      <c r="D389" s="104"/>
      <c r="E389" s="105"/>
      <c r="F389" s="104"/>
      <c r="G389" s="104"/>
      <c r="H389" s="104"/>
    </row>
    <row r="390" spans="1:8" ht="14.25" x14ac:dyDescent="0.2">
      <c r="A390" s="104"/>
      <c r="B390" s="104"/>
      <c r="C390" s="104"/>
      <c r="D390" s="104"/>
      <c r="E390" s="105"/>
      <c r="F390" s="104"/>
      <c r="G390" s="104"/>
      <c r="H390" s="104"/>
    </row>
    <row r="391" spans="1:8" ht="14.25" x14ac:dyDescent="0.2">
      <c r="A391" s="104"/>
      <c r="B391" s="104"/>
      <c r="C391" s="104"/>
      <c r="D391" s="104"/>
      <c r="E391" s="105"/>
      <c r="F391" s="104"/>
      <c r="G391" s="104"/>
      <c r="H391" s="104"/>
    </row>
    <row r="392" spans="1:8" ht="14.25" x14ac:dyDescent="0.2">
      <c r="A392" s="104"/>
      <c r="B392" s="104"/>
      <c r="C392" s="104"/>
      <c r="D392" s="104"/>
      <c r="E392" s="105"/>
      <c r="F392" s="104"/>
      <c r="G392" s="104"/>
      <c r="H392" s="104"/>
    </row>
    <row r="393" spans="1:8" ht="14.25" x14ac:dyDescent="0.2">
      <c r="A393" s="104"/>
      <c r="B393" s="104"/>
      <c r="C393" s="104"/>
      <c r="D393" s="104"/>
      <c r="E393" s="105"/>
      <c r="F393" s="104"/>
      <c r="G393" s="104"/>
      <c r="H393" s="104"/>
    </row>
    <row r="394" spans="1:8" ht="14.25" x14ac:dyDescent="0.2">
      <c r="A394" s="104"/>
      <c r="B394" s="104"/>
      <c r="C394" s="104"/>
      <c r="D394" s="104"/>
      <c r="E394" s="105"/>
      <c r="F394" s="104"/>
      <c r="G394" s="104"/>
      <c r="H394" s="104"/>
    </row>
    <row r="395" spans="1:8" ht="14.25" x14ac:dyDescent="0.2">
      <c r="A395" s="104"/>
      <c r="B395" s="104"/>
      <c r="C395" s="104"/>
      <c r="D395" s="104"/>
      <c r="E395" s="105"/>
      <c r="F395" s="104"/>
      <c r="G395" s="104"/>
      <c r="H395" s="104"/>
    </row>
    <row r="396" spans="1:8" ht="14.25" x14ac:dyDescent="0.2">
      <c r="A396" s="104"/>
      <c r="B396" s="104"/>
      <c r="C396" s="104"/>
      <c r="D396" s="104"/>
      <c r="E396" s="105"/>
      <c r="F396" s="104"/>
      <c r="G396" s="104"/>
      <c r="H396" s="104"/>
    </row>
    <row r="397" spans="1:8" ht="14.25" x14ac:dyDescent="0.2">
      <c r="A397" s="104"/>
      <c r="B397" s="104"/>
      <c r="C397" s="104"/>
      <c r="D397" s="104"/>
      <c r="E397" s="105"/>
      <c r="F397" s="104"/>
      <c r="G397" s="104"/>
      <c r="H397" s="104"/>
    </row>
    <row r="398" spans="1:8" ht="14.25" x14ac:dyDescent="0.2">
      <c r="A398" s="104"/>
      <c r="B398" s="104"/>
      <c r="C398" s="104"/>
      <c r="D398" s="104"/>
      <c r="E398" s="105"/>
      <c r="F398" s="104"/>
      <c r="G398" s="104"/>
      <c r="H398" s="104"/>
    </row>
    <row r="399" spans="1:8" ht="14.25" x14ac:dyDescent="0.2">
      <c r="A399" s="104"/>
      <c r="B399" s="104"/>
      <c r="C399" s="104"/>
      <c r="D399" s="104"/>
      <c r="E399" s="105"/>
      <c r="F399" s="104"/>
      <c r="G399" s="104"/>
      <c r="H399" s="104"/>
    </row>
    <row r="400" spans="1:8" ht="14.25" x14ac:dyDescent="0.2">
      <c r="A400" s="104"/>
      <c r="B400" s="104"/>
      <c r="C400" s="104"/>
      <c r="D400" s="104"/>
      <c r="E400" s="105"/>
      <c r="F400" s="104"/>
      <c r="G400" s="104"/>
      <c r="H400" s="104"/>
    </row>
    <row r="401" spans="1:8" ht="14.25" x14ac:dyDescent="0.2">
      <c r="A401" s="104"/>
      <c r="B401" s="104"/>
      <c r="C401" s="104"/>
      <c r="D401" s="104"/>
      <c r="E401" s="105"/>
      <c r="F401" s="104"/>
      <c r="G401" s="104"/>
      <c r="H401" s="104"/>
    </row>
    <row r="402" spans="1:8" ht="14.25" x14ac:dyDescent="0.2">
      <c r="A402" s="104"/>
      <c r="B402" s="104"/>
      <c r="C402" s="104"/>
      <c r="D402" s="104"/>
      <c r="E402" s="105"/>
      <c r="F402" s="104"/>
      <c r="G402" s="104"/>
      <c r="H402" s="104"/>
    </row>
    <row r="403" spans="1:8" ht="14.25" x14ac:dyDescent="0.2">
      <c r="A403" s="104"/>
      <c r="B403" s="104"/>
      <c r="C403" s="104"/>
      <c r="D403" s="104"/>
      <c r="E403" s="105"/>
      <c r="F403" s="104"/>
      <c r="G403" s="104"/>
      <c r="H403" s="104"/>
    </row>
    <row r="404" spans="1:8" ht="14.25" x14ac:dyDescent="0.2">
      <c r="A404" s="104"/>
      <c r="B404" s="104"/>
      <c r="C404" s="104"/>
      <c r="D404" s="104"/>
      <c r="E404" s="105"/>
      <c r="F404" s="104"/>
      <c r="G404" s="104"/>
      <c r="H404" s="104"/>
    </row>
    <row r="405" spans="1:8" ht="14.25" x14ac:dyDescent="0.2">
      <c r="A405" s="104"/>
      <c r="B405" s="104"/>
      <c r="C405" s="104"/>
      <c r="D405" s="104"/>
      <c r="E405" s="105"/>
      <c r="F405" s="104"/>
      <c r="G405" s="104"/>
      <c r="H405" s="104"/>
    </row>
    <row r="406" spans="1:8" ht="14.25" x14ac:dyDescent="0.2">
      <c r="A406" s="104"/>
      <c r="B406" s="104"/>
      <c r="C406" s="104"/>
      <c r="D406" s="104"/>
      <c r="E406" s="105"/>
      <c r="F406" s="104"/>
      <c r="G406" s="104"/>
      <c r="H406" s="104"/>
    </row>
    <row r="407" spans="1:8" ht="14.25" x14ac:dyDescent="0.2">
      <c r="A407" s="104"/>
      <c r="B407" s="104"/>
      <c r="C407" s="104"/>
      <c r="D407" s="104"/>
      <c r="E407" s="105"/>
      <c r="F407" s="104"/>
      <c r="G407" s="104"/>
      <c r="H407" s="104"/>
    </row>
    <row r="408" spans="1:8" ht="14.25" x14ac:dyDescent="0.2">
      <c r="A408" s="104"/>
      <c r="B408" s="104"/>
      <c r="C408" s="104"/>
      <c r="D408" s="104"/>
      <c r="E408" s="105"/>
      <c r="F408" s="104"/>
      <c r="G408" s="104"/>
      <c r="H408" s="104"/>
    </row>
    <row r="409" spans="1:8" ht="14.25" x14ac:dyDescent="0.2">
      <c r="A409" s="104"/>
      <c r="B409" s="104"/>
      <c r="C409" s="104"/>
      <c r="D409" s="104"/>
      <c r="E409" s="105"/>
      <c r="F409" s="104"/>
      <c r="G409" s="104"/>
      <c r="H409" s="104"/>
    </row>
    <row r="410" spans="1:8" ht="14.25" x14ac:dyDescent="0.2">
      <c r="A410" s="104"/>
      <c r="B410" s="104"/>
      <c r="C410" s="104"/>
      <c r="D410" s="104"/>
      <c r="E410" s="105"/>
      <c r="F410" s="104"/>
      <c r="G410" s="104"/>
      <c r="H410" s="104"/>
    </row>
    <row r="411" spans="1:8" ht="14.25" x14ac:dyDescent="0.2">
      <c r="A411" s="104"/>
      <c r="B411" s="104"/>
      <c r="C411" s="104"/>
      <c r="D411" s="104"/>
      <c r="E411" s="105"/>
      <c r="F411" s="104"/>
      <c r="G411" s="104"/>
      <c r="H411" s="104"/>
    </row>
    <row r="412" spans="1:8" ht="14.25" x14ac:dyDescent="0.2">
      <c r="A412" s="104"/>
      <c r="B412" s="104"/>
      <c r="C412" s="104"/>
      <c r="D412" s="104"/>
      <c r="E412" s="105"/>
      <c r="F412" s="104"/>
      <c r="G412" s="104"/>
      <c r="H412" s="104"/>
    </row>
    <row r="413" spans="1:8" ht="14.25" x14ac:dyDescent="0.2">
      <c r="A413" s="104"/>
      <c r="B413" s="104"/>
      <c r="C413" s="104"/>
      <c r="D413" s="104"/>
      <c r="E413" s="105"/>
      <c r="F413" s="104"/>
      <c r="G413" s="104"/>
      <c r="H413" s="104"/>
    </row>
    <row r="414" spans="1:8" ht="14.25" x14ac:dyDescent="0.2">
      <c r="A414" s="104"/>
      <c r="B414" s="104"/>
      <c r="C414" s="104"/>
      <c r="D414" s="104"/>
      <c r="E414" s="105"/>
      <c r="F414" s="104"/>
      <c r="G414" s="104"/>
      <c r="H414" s="104"/>
    </row>
    <row r="415" spans="1:8" ht="14.25" x14ac:dyDescent="0.2">
      <c r="A415" s="104"/>
      <c r="B415" s="104"/>
      <c r="C415" s="104"/>
      <c r="D415" s="104"/>
      <c r="E415" s="105"/>
      <c r="F415" s="104"/>
      <c r="G415" s="104"/>
      <c r="H415" s="104"/>
    </row>
    <row r="416" spans="1:8" ht="14.25" x14ac:dyDescent="0.2">
      <c r="A416" s="104"/>
      <c r="B416" s="104"/>
      <c r="C416" s="104"/>
      <c r="D416" s="104"/>
      <c r="E416" s="105"/>
      <c r="F416" s="104"/>
      <c r="G416" s="104"/>
      <c r="H416" s="104"/>
    </row>
    <row r="417" spans="1:8" ht="14.25" x14ac:dyDescent="0.2">
      <c r="A417" s="104"/>
      <c r="B417" s="104"/>
      <c r="C417" s="104"/>
      <c r="D417" s="104"/>
      <c r="E417" s="105"/>
      <c r="F417" s="104"/>
      <c r="G417" s="104"/>
      <c r="H417" s="104"/>
    </row>
    <row r="418" spans="1:8" ht="14.25" x14ac:dyDescent="0.2">
      <c r="A418" s="104"/>
      <c r="B418" s="104"/>
      <c r="C418" s="104"/>
      <c r="D418" s="104"/>
      <c r="E418" s="105"/>
      <c r="F418" s="104"/>
      <c r="G418" s="104"/>
      <c r="H418" s="104"/>
    </row>
    <row r="419" spans="1:8" ht="14.25" x14ac:dyDescent="0.2">
      <c r="A419" s="104"/>
      <c r="B419" s="104"/>
      <c r="C419" s="104"/>
      <c r="D419" s="104"/>
      <c r="E419" s="105"/>
      <c r="F419" s="104"/>
      <c r="G419" s="104"/>
      <c r="H419" s="104"/>
    </row>
    <row r="420" spans="1:8" ht="14.25" x14ac:dyDescent="0.2">
      <c r="A420" s="104"/>
      <c r="B420" s="104"/>
      <c r="C420" s="104"/>
      <c r="D420" s="104"/>
      <c r="E420" s="105"/>
      <c r="F420" s="104"/>
      <c r="G420" s="104"/>
      <c r="H420" s="104"/>
    </row>
    <row r="421" spans="1:8" ht="14.25" x14ac:dyDescent="0.2">
      <c r="A421" s="104"/>
      <c r="B421" s="104"/>
      <c r="C421" s="104"/>
      <c r="D421" s="104"/>
      <c r="E421" s="105"/>
      <c r="F421" s="104"/>
      <c r="G421" s="104"/>
      <c r="H421" s="104"/>
    </row>
    <row r="422" spans="1:8" ht="14.25" x14ac:dyDescent="0.2">
      <c r="A422" s="104"/>
      <c r="B422" s="104"/>
      <c r="C422" s="104"/>
      <c r="D422" s="104"/>
      <c r="E422" s="105"/>
      <c r="F422" s="104"/>
      <c r="G422" s="104"/>
      <c r="H422" s="104"/>
    </row>
    <row r="423" spans="1:8" ht="14.25" x14ac:dyDescent="0.2">
      <c r="A423" s="104"/>
      <c r="B423" s="104"/>
      <c r="C423" s="104"/>
      <c r="D423" s="104"/>
      <c r="E423" s="105"/>
      <c r="F423" s="104"/>
      <c r="G423" s="104"/>
      <c r="H423" s="104"/>
    </row>
    <row r="424" spans="1:8" ht="14.25" x14ac:dyDescent="0.2">
      <c r="A424" s="104"/>
      <c r="B424" s="104"/>
      <c r="C424" s="104"/>
      <c r="D424" s="104"/>
      <c r="E424" s="105"/>
      <c r="F424" s="104"/>
      <c r="G424" s="104"/>
      <c r="H424" s="104"/>
    </row>
    <row r="425" spans="1:8" ht="14.25" x14ac:dyDescent="0.2">
      <c r="A425" s="104"/>
      <c r="B425" s="104"/>
      <c r="C425" s="104"/>
      <c r="D425" s="104"/>
      <c r="E425" s="105"/>
      <c r="F425" s="104"/>
      <c r="G425" s="104"/>
      <c r="H425" s="104"/>
    </row>
    <row r="426" spans="1:8" ht="14.25" x14ac:dyDescent="0.2">
      <c r="A426" s="104"/>
      <c r="B426" s="104"/>
      <c r="C426" s="104"/>
      <c r="D426" s="104"/>
      <c r="E426" s="105"/>
      <c r="F426" s="104"/>
      <c r="G426" s="104"/>
      <c r="H426" s="104"/>
    </row>
    <row r="427" spans="1:8" ht="14.25" x14ac:dyDescent="0.2">
      <c r="A427" s="104"/>
      <c r="B427" s="104"/>
      <c r="C427" s="104"/>
      <c r="D427" s="104"/>
      <c r="E427" s="105"/>
      <c r="F427" s="104"/>
      <c r="G427" s="104"/>
      <c r="H427" s="104"/>
    </row>
    <row r="428" spans="1:8" ht="14.25" x14ac:dyDescent="0.2">
      <c r="A428" s="104"/>
      <c r="B428" s="104"/>
      <c r="C428" s="104"/>
      <c r="D428" s="104"/>
      <c r="E428" s="105"/>
      <c r="F428" s="104"/>
      <c r="G428" s="104"/>
      <c r="H428" s="104"/>
    </row>
    <row r="429" spans="1:8" ht="14.25" x14ac:dyDescent="0.2">
      <c r="A429" s="104"/>
      <c r="B429" s="104"/>
      <c r="C429" s="104"/>
      <c r="D429" s="104"/>
      <c r="E429" s="105"/>
      <c r="F429" s="104"/>
      <c r="G429" s="104"/>
      <c r="H429" s="104"/>
    </row>
    <row r="430" spans="1:8" ht="14.25" x14ac:dyDescent="0.2">
      <c r="A430" s="104"/>
      <c r="B430" s="104"/>
      <c r="C430" s="104"/>
      <c r="D430" s="104"/>
      <c r="E430" s="105"/>
      <c r="F430" s="104"/>
      <c r="G430" s="104"/>
      <c r="H430" s="104"/>
    </row>
    <row r="431" spans="1:8" ht="14.25" x14ac:dyDescent="0.2">
      <c r="A431" s="104"/>
      <c r="B431" s="104"/>
      <c r="C431" s="104"/>
      <c r="D431" s="104"/>
      <c r="E431" s="105"/>
      <c r="F431" s="104"/>
      <c r="G431" s="104"/>
      <c r="H431" s="104"/>
    </row>
    <row r="432" spans="1:8" ht="14.25" x14ac:dyDescent="0.2">
      <c r="A432" s="104"/>
      <c r="B432" s="104"/>
      <c r="C432" s="104"/>
      <c r="D432" s="104"/>
      <c r="E432" s="105"/>
      <c r="F432" s="104"/>
      <c r="G432" s="104"/>
      <c r="H432" s="104"/>
    </row>
    <row r="433" spans="1:8" ht="14.25" x14ac:dyDescent="0.2">
      <c r="A433" s="104"/>
      <c r="B433" s="104"/>
      <c r="C433" s="104"/>
      <c r="D433" s="104"/>
      <c r="E433" s="105"/>
      <c r="F433" s="104"/>
      <c r="G433" s="104"/>
      <c r="H433" s="104"/>
    </row>
    <row r="434" spans="1:8" ht="14.25" x14ac:dyDescent="0.2">
      <c r="A434" s="104"/>
      <c r="B434" s="104"/>
      <c r="C434" s="104"/>
      <c r="D434" s="104"/>
      <c r="E434" s="105"/>
      <c r="F434" s="104"/>
      <c r="G434" s="104"/>
      <c r="H434" s="104"/>
    </row>
    <row r="435" spans="1:8" ht="14.25" x14ac:dyDescent="0.2">
      <c r="A435" s="104"/>
      <c r="B435" s="104"/>
      <c r="C435" s="104"/>
      <c r="D435" s="104"/>
      <c r="E435" s="105"/>
      <c r="F435" s="104"/>
      <c r="G435" s="104"/>
      <c r="H435" s="104"/>
    </row>
    <row r="436" spans="1:8" ht="14.25" x14ac:dyDescent="0.2">
      <c r="A436" s="104"/>
      <c r="B436" s="104"/>
      <c r="C436" s="104"/>
      <c r="D436" s="104"/>
      <c r="E436" s="105"/>
      <c r="F436" s="104"/>
      <c r="G436" s="104"/>
      <c r="H436" s="104"/>
    </row>
    <row r="437" spans="1:8" ht="14.25" x14ac:dyDescent="0.2">
      <c r="A437" s="104"/>
      <c r="B437" s="104"/>
      <c r="C437" s="104"/>
      <c r="D437" s="104"/>
      <c r="E437" s="105"/>
      <c r="F437" s="104"/>
      <c r="G437" s="104"/>
      <c r="H437" s="104"/>
    </row>
    <row r="438" spans="1:8" ht="14.25" x14ac:dyDescent="0.2">
      <c r="A438" s="104"/>
      <c r="B438" s="104"/>
      <c r="C438" s="104"/>
      <c r="D438" s="104"/>
      <c r="E438" s="105"/>
      <c r="F438" s="104"/>
      <c r="G438" s="104"/>
      <c r="H438" s="104"/>
    </row>
    <row r="439" spans="1:8" ht="14.25" x14ac:dyDescent="0.2">
      <c r="A439" s="104"/>
      <c r="B439" s="104"/>
      <c r="C439" s="104"/>
      <c r="D439" s="104"/>
      <c r="E439" s="105"/>
      <c r="F439" s="104"/>
      <c r="G439" s="104"/>
      <c r="H439" s="104"/>
    </row>
    <row r="440" spans="1:8" ht="14.25" x14ac:dyDescent="0.2">
      <c r="A440" s="104"/>
      <c r="B440" s="104"/>
      <c r="C440" s="104"/>
      <c r="D440" s="104"/>
      <c r="E440" s="105"/>
      <c r="F440" s="104"/>
      <c r="G440" s="104"/>
      <c r="H440" s="104"/>
    </row>
    <row r="441" spans="1:8" ht="14.25" x14ac:dyDescent="0.2">
      <c r="A441" s="104"/>
      <c r="B441" s="104"/>
      <c r="C441" s="104"/>
      <c r="D441" s="104"/>
      <c r="E441" s="105"/>
      <c r="F441" s="104"/>
      <c r="G441" s="104"/>
      <c r="H441" s="104"/>
    </row>
    <row r="442" spans="1:8" ht="14.25" x14ac:dyDescent="0.2">
      <c r="A442" s="104"/>
      <c r="B442" s="104"/>
      <c r="C442" s="104"/>
      <c r="D442" s="104"/>
      <c r="E442" s="105"/>
      <c r="F442" s="104"/>
      <c r="G442" s="104"/>
      <c r="H442" s="104"/>
    </row>
    <row r="443" spans="1:8" ht="14.25" x14ac:dyDescent="0.2">
      <c r="A443" s="104"/>
      <c r="B443" s="104"/>
      <c r="C443" s="104"/>
      <c r="D443" s="104"/>
      <c r="E443" s="105"/>
      <c r="F443" s="104"/>
      <c r="G443" s="104"/>
      <c r="H443" s="104"/>
    </row>
    <row r="444" spans="1:8" ht="14.25" x14ac:dyDescent="0.2">
      <c r="A444" s="104"/>
      <c r="B444" s="104"/>
      <c r="C444" s="104"/>
      <c r="D444" s="104"/>
      <c r="E444" s="105"/>
      <c r="F444" s="104"/>
      <c r="G444" s="104"/>
      <c r="H444" s="104"/>
    </row>
    <row r="445" spans="1:8" ht="14.25" x14ac:dyDescent="0.2">
      <c r="A445" s="104"/>
      <c r="B445" s="104"/>
      <c r="C445" s="104"/>
      <c r="D445" s="104"/>
      <c r="E445" s="105"/>
      <c r="F445" s="104"/>
      <c r="G445" s="104"/>
      <c r="H445" s="104"/>
    </row>
    <row r="446" spans="1:8" ht="14.25" x14ac:dyDescent="0.2">
      <c r="A446" s="104"/>
      <c r="B446" s="104"/>
      <c r="C446" s="104"/>
      <c r="D446" s="104"/>
      <c r="E446" s="105"/>
      <c r="F446" s="104"/>
      <c r="G446" s="104"/>
      <c r="H446" s="104"/>
    </row>
    <row r="447" spans="1:8" ht="14.25" x14ac:dyDescent="0.2">
      <c r="A447" s="104"/>
      <c r="B447" s="104"/>
      <c r="C447" s="104"/>
      <c r="D447" s="104"/>
      <c r="E447" s="105"/>
      <c r="F447" s="104"/>
      <c r="G447" s="104"/>
      <c r="H447" s="104"/>
    </row>
    <row r="448" spans="1:8" ht="14.25" x14ac:dyDescent="0.2">
      <c r="A448" s="104"/>
      <c r="B448" s="104"/>
      <c r="C448" s="104"/>
      <c r="D448" s="104"/>
      <c r="E448" s="105"/>
      <c r="F448" s="104"/>
      <c r="G448" s="104"/>
      <c r="H448" s="104"/>
    </row>
    <row r="449" spans="1:8" ht="14.25" x14ac:dyDescent="0.2">
      <c r="A449" s="104"/>
      <c r="B449" s="104"/>
      <c r="C449" s="104"/>
      <c r="D449" s="104"/>
      <c r="E449" s="105"/>
      <c r="F449" s="104"/>
      <c r="G449" s="104"/>
      <c r="H449" s="104"/>
    </row>
    <row r="450" spans="1:8" ht="14.25" x14ac:dyDescent="0.2">
      <c r="A450" s="104"/>
      <c r="B450" s="104"/>
      <c r="C450" s="104"/>
      <c r="D450" s="104"/>
      <c r="E450" s="105"/>
      <c r="F450" s="104"/>
      <c r="G450" s="104"/>
      <c r="H450" s="104"/>
    </row>
    <row r="451" spans="1:8" ht="14.25" x14ac:dyDescent="0.2">
      <c r="A451" s="104"/>
      <c r="B451" s="104"/>
      <c r="C451" s="104"/>
      <c r="D451" s="104"/>
      <c r="E451" s="105"/>
      <c r="F451" s="104"/>
      <c r="G451" s="104"/>
      <c r="H451" s="104"/>
    </row>
    <row r="452" spans="1:8" ht="14.25" x14ac:dyDescent="0.2">
      <c r="A452" s="104"/>
      <c r="B452" s="104"/>
      <c r="C452" s="104"/>
      <c r="D452" s="104"/>
      <c r="E452" s="105"/>
      <c r="F452" s="104"/>
      <c r="G452" s="104"/>
      <c r="H452" s="104"/>
    </row>
    <row r="453" spans="1:8" ht="14.25" x14ac:dyDescent="0.2">
      <c r="A453" s="104"/>
      <c r="B453" s="104"/>
      <c r="C453" s="104"/>
      <c r="D453" s="104"/>
      <c r="E453" s="105"/>
      <c r="F453" s="104"/>
      <c r="G453" s="104"/>
      <c r="H453" s="104"/>
    </row>
    <row r="454" spans="1:8" ht="14.25" x14ac:dyDescent="0.2">
      <c r="A454" s="104"/>
      <c r="B454" s="104"/>
      <c r="C454" s="104"/>
      <c r="D454" s="104"/>
      <c r="E454" s="105"/>
      <c r="F454" s="104"/>
      <c r="G454" s="104"/>
      <c r="H454" s="104"/>
    </row>
    <row r="455" spans="1:8" ht="14.25" x14ac:dyDescent="0.2">
      <c r="A455" s="104"/>
      <c r="B455" s="104"/>
      <c r="C455" s="104"/>
      <c r="D455" s="104"/>
      <c r="E455" s="105"/>
      <c r="F455" s="104"/>
      <c r="G455" s="104"/>
      <c r="H455" s="104"/>
    </row>
    <row r="456" spans="1:8" ht="14.25" x14ac:dyDescent="0.2">
      <c r="A456" s="104"/>
      <c r="B456" s="104"/>
      <c r="C456" s="104"/>
      <c r="D456" s="104"/>
      <c r="E456" s="105"/>
      <c r="F456" s="104"/>
      <c r="G456" s="104"/>
      <c r="H456" s="104"/>
    </row>
    <row r="457" spans="1:8" ht="14.25" x14ac:dyDescent="0.2">
      <c r="A457" s="104"/>
      <c r="B457" s="104"/>
      <c r="C457" s="104"/>
      <c r="D457" s="104"/>
      <c r="E457" s="105"/>
      <c r="F457" s="104"/>
      <c r="G457" s="104"/>
      <c r="H457" s="104"/>
    </row>
    <row r="458" spans="1:8" ht="14.25" x14ac:dyDescent="0.2">
      <c r="A458" s="104"/>
      <c r="B458" s="104"/>
      <c r="C458" s="104"/>
      <c r="D458" s="104"/>
      <c r="E458" s="105"/>
      <c r="F458" s="104"/>
      <c r="G458" s="104"/>
      <c r="H458" s="104"/>
    </row>
    <row r="459" spans="1:8" ht="14.25" x14ac:dyDescent="0.2">
      <c r="A459" s="104"/>
      <c r="B459" s="104"/>
      <c r="C459" s="104"/>
      <c r="D459" s="104"/>
      <c r="E459" s="105"/>
      <c r="F459" s="104"/>
      <c r="G459" s="104"/>
      <c r="H459" s="104"/>
    </row>
    <row r="460" spans="1:8" ht="14.25" x14ac:dyDescent="0.2">
      <c r="A460" s="104"/>
      <c r="B460" s="104"/>
      <c r="C460" s="104"/>
      <c r="D460" s="104"/>
      <c r="E460" s="105"/>
      <c r="F460" s="104"/>
      <c r="G460" s="104"/>
      <c r="H460" s="104"/>
    </row>
    <row r="461" spans="1:8" ht="14.25" x14ac:dyDescent="0.2">
      <c r="A461" s="104"/>
      <c r="B461" s="104"/>
      <c r="C461" s="104"/>
      <c r="D461" s="104"/>
      <c r="E461" s="105"/>
      <c r="F461" s="104"/>
      <c r="G461" s="104"/>
      <c r="H461" s="104"/>
    </row>
    <row r="462" spans="1:8" ht="14.25" x14ac:dyDescent="0.2">
      <c r="A462" s="104"/>
      <c r="B462" s="104"/>
      <c r="C462" s="104"/>
      <c r="D462" s="104"/>
      <c r="E462" s="105"/>
      <c r="F462" s="104"/>
      <c r="G462" s="104"/>
      <c r="H462" s="104"/>
    </row>
    <row r="463" spans="1:8" ht="14.25" x14ac:dyDescent="0.2">
      <c r="A463" s="104"/>
      <c r="B463" s="104"/>
      <c r="C463" s="104"/>
      <c r="D463" s="104"/>
      <c r="E463" s="105"/>
      <c r="F463" s="104"/>
      <c r="G463" s="104"/>
      <c r="H463" s="104"/>
    </row>
    <row r="464" spans="1:8" ht="14.25" x14ac:dyDescent="0.2">
      <c r="A464" s="104"/>
      <c r="B464" s="104"/>
      <c r="C464" s="104"/>
      <c r="D464" s="104"/>
      <c r="E464" s="105"/>
      <c r="F464" s="104"/>
      <c r="G464" s="104"/>
      <c r="H464" s="104"/>
    </row>
    <row r="465" spans="1:8" ht="14.25" x14ac:dyDescent="0.2">
      <c r="A465" s="104"/>
      <c r="B465" s="104"/>
      <c r="C465" s="104"/>
      <c r="D465" s="104"/>
      <c r="E465" s="105"/>
      <c r="F465" s="104"/>
      <c r="G465" s="104"/>
      <c r="H465" s="104"/>
    </row>
    <row r="466" spans="1:8" ht="14.25" x14ac:dyDescent="0.2">
      <c r="A466" s="104"/>
      <c r="B466" s="104"/>
      <c r="C466" s="104"/>
      <c r="D466" s="104"/>
      <c r="E466" s="105"/>
      <c r="F466" s="104"/>
      <c r="G466" s="104"/>
      <c r="H466" s="104"/>
    </row>
    <row r="467" spans="1:8" ht="14.25" x14ac:dyDescent="0.2">
      <c r="A467" s="104"/>
      <c r="B467" s="104"/>
      <c r="C467" s="104"/>
      <c r="D467" s="104"/>
      <c r="E467" s="105"/>
      <c r="F467" s="104"/>
      <c r="G467" s="104"/>
      <c r="H467" s="104"/>
    </row>
    <row r="468" spans="1:8" ht="14.25" x14ac:dyDescent="0.2">
      <c r="A468" s="104"/>
      <c r="B468" s="104"/>
      <c r="C468" s="104"/>
      <c r="D468" s="104"/>
      <c r="E468" s="105"/>
      <c r="F468" s="104"/>
      <c r="G468" s="104"/>
      <c r="H468" s="104"/>
    </row>
    <row r="469" spans="1:8" ht="14.25" x14ac:dyDescent="0.2">
      <c r="A469" s="104"/>
      <c r="B469" s="104"/>
      <c r="C469" s="104"/>
      <c r="D469" s="104"/>
      <c r="E469" s="105"/>
      <c r="F469" s="104"/>
      <c r="G469" s="104"/>
      <c r="H469" s="104"/>
    </row>
    <row r="470" spans="1:8" ht="14.25" x14ac:dyDescent="0.2">
      <c r="A470" s="104"/>
      <c r="B470" s="104"/>
      <c r="C470" s="104"/>
      <c r="D470" s="104"/>
      <c r="E470" s="105"/>
      <c r="F470" s="104"/>
      <c r="G470" s="104"/>
      <c r="H470" s="104"/>
    </row>
    <row r="471" spans="1:8" ht="14.25" x14ac:dyDescent="0.2">
      <c r="A471" s="104"/>
      <c r="B471" s="104"/>
      <c r="C471" s="104"/>
      <c r="D471" s="104"/>
      <c r="E471" s="105"/>
      <c r="F471" s="104"/>
      <c r="G471" s="104"/>
      <c r="H471" s="104"/>
    </row>
    <row r="472" spans="1:8" ht="14.25" x14ac:dyDescent="0.2">
      <c r="A472" s="104"/>
      <c r="B472" s="104"/>
      <c r="C472" s="104"/>
      <c r="D472" s="104"/>
      <c r="E472" s="105"/>
      <c r="F472" s="104"/>
      <c r="G472" s="104"/>
      <c r="H472" s="104"/>
    </row>
    <row r="473" spans="1:8" ht="14.25" x14ac:dyDescent="0.2">
      <c r="A473" s="104"/>
      <c r="B473" s="104"/>
      <c r="C473" s="104"/>
      <c r="D473" s="104"/>
      <c r="E473" s="105"/>
      <c r="F473" s="104"/>
      <c r="G473" s="104"/>
      <c r="H473" s="104"/>
    </row>
    <row r="474" spans="1:8" ht="14.25" x14ac:dyDescent="0.2">
      <c r="A474" s="104"/>
      <c r="B474" s="104"/>
      <c r="C474" s="104"/>
      <c r="D474" s="104"/>
      <c r="E474" s="105"/>
      <c r="F474" s="104"/>
      <c r="G474" s="104"/>
      <c r="H474" s="104"/>
    </row>
    <row r="475" spans="1:8" ht="14.25" x14ac:dyDescent="0.2">
      <c r="A475" s="104"/>
      <c r="B475" s="104"/>
      <c r="C475" s="104"/>
      <c r="D475" s="104"/>
      <c r="E475" s="105"/>
      <c r="F475" s="104"/>
      <c r="G475" s="104"/>
      <c r="H475" s="104"/>
    </row>
    <row r="476" spans="1:8" ht="14.25" x14ac:dyDescent="0.2">
      <c r="A476" s="104"/>
      <c r="B476" s="104"/>
      <c r="C476" s="104"/>
      <c r="D476" s="104"/>
      <c r="E476" s="105"/>
      <c r="F476" s="104"/>
      <c r="G476" s="104"/>
      <c r="H476" s="104"/>
    </row>
    <row r="477" spans="1:8" ht="14.25" x14ac:dyDescent="0.2">
      <c r="A477" s="104"/>
      <c r="B477" s="104"/>
      <c r="C477" s="104"/>
      <c r="D477" s="104"/>
      <c r="E477" s="105"/>
      <c r="F477" s="104"/>
      <c r="G477" s="104"/>
      <c r="H477" s="104"/>
    </row>
    <row r="478" spans="1:8" ht="14.25" x14ac:dyDescent="0.2">
      <c r="A478" s="104"/>
      <c r="B478" s="104"/>
      <c r="C478" s="104"/>
      <c r="D478" s="104"/>
      <c r="E478" s="105"/>
      <c r="F478" s="104"/>
      <c r="G478" s="104"/>
      <c r="H478" s="104"/>
    </row>
    <row r="479" spans="1:8" ht="14.25" x14ac:dyDescent="0.2">
      <c r="A479" s="104"/>
      <c r="B479" s="104"/>
      <c r="C479" s="104"/>
      <c r="D479" s="104"/>
      <c r="E479" s="105"/>
      <c r="F479" s="104"/>
      <c r="G479" s="104"/>
      <c r="H479" s="104"/>
    </row>
    <row r="480" spans="1:8" ht="14.25" x14ac:dyDescent="0.2">
      <c r="A480" s="104"/>
      <c r="B480" s="104"/>
      <c r="C480" s="104"/>
      <c r="D480" s="104"/>
      <c r="E480" s="105"/>
      <c r="F480" s="104"/>
      <c r="G480" s="104"/>
      <c r="H480" s="104"/>
    </row>
    <row r="481" spans="1:8" ht="14.25" x14ac:dyDescent="0.2">
      <c r="A481" s="104"/>
      <c r="B481" s="104"/>
      <c r="C481" s="104"/>
      <c r="D481" s="104"/>
      <c r="E481" s="105"/>
      <c r="F481" s="104"/>
      <c r="G481" s="104"/>
      <c r="H481" s="104"/>
    </row>
    <row r="482" spans="1:8" ht="14.25" x14ac:dyDescent="0.2">
      <c r="A482" s="104"/>
      <c r="B482" s="104"/>
      <c r="C482" s="104"/>
      <c r="D482" s="104"/>
      <c r="E482" s="105"/>
      <c r="F482" s="104"/>
      <c r="G482" s="104"/>
      <c r="H482" s="104"/>
    </row>
    <row r="483" spans="1:8" ht="14.25" x14ac:dyDescent="0.2">
      <c r="A483" s="104"/>
      <c r="B483" s="104"/>
      <c r="C483" s="104"/>
      <c r="D483" s="104"/>
      <c r="E483" s="105"/>
      <c r="F483" s="104"/>
      <c r="G483" s="104"/>
      <c r="H483" s="104"/>
    </row>
    <row r="484" spans="1:8" ht="14.25" x14ac:dyDescent="0.2">
      <c r="A484" s="104"/>
      <c r="B484" s="104"/>
      <c r="C484" s="104"/>
      <c r="D484" s="104"/>
      <c r="E484" s="105"/>
      <c r="F484" s="104"/>
      <c r="G484" s="104"/>
      <c r="H484" s="104"/>
    </row>
    <row r="485" spans="1:8" ht="14.25" x14ac:dyDescent="0.2">
      <c r="A485" s="104"/>
      <c r="B485" s="104"/>
      <c r="C485" s="104"/>
      <c r="D485" s="104"/>
      <c r="E485" s="105"/>
      <c r="F485" s="104"/>
      <c r="G485" s="104"/>
      <c r="H485" s="104"/>
    </row>
    <row r="486" spans="1:8" ht="14.25" x14ac:dyDescent="0.2">
      <c r="A486" s="104"/>
      <c r="B486" s="104"/>
      <c r="C486" s="104"/>
      <c r="D486" s="104"/>
      <c r="E486" s="105"/>
      <c r="F486" s="104"/>
      <c r="G486" s="104"/>
      <c r="H486" s="104"/>
    </row>
    <row r="487" spans="1:8" ht="14.25" x14ac:dyDescent="0.2">
      <c r="A487" s="104"/>
      <c r="B487" s="104"/>
      <c r="C487" s="104"/>
      <c r="D487" s="104"/>
      <c r="E487" s="105"/>
      <c r="F487" s="104"/>
      <c r="G487" s="104"/>
      <c r="H487" s="104"/>
    </row>
    <row r="488" spans="1:8" ht="14.25" x14ac:dyDescent="0.2">
      <c r="A488" s="104"/>
      <c r="B488" s="104"/>
      <c r="C488" s="104"/>
      <c r="D488" s="104"/>
      <c r="E488" s="105"/>
      <c r="F488" s="104"/>
      <c r="G488" s="104"/>
      <c r="H488" s="104"/>
    </row>
    <row r="489" spans="1:8" ht="14.25" x14ac:dyDescent="0.2">
      <c r="A489" s="104"/>
      <c r="B489" s="104"/>
      <c r="C489" s="104"/>
      <c r="D489" s="104"/>
      <c r="E489" s="105"/>
      <c r="F489" s="104"/>
      <c r="G489" s="104"/>
      <c r="H489" s="104"/>
    </row>
    <row r="490" spans="1:8" ht="14.25" x14ac:dyDescent="0.2">
      <c r="A490" s="104"/>
      <c r="B490" s="104"/>
      <c r="C490" s="104"/>
      <c r="D490" s="104"/>
      <c r="E490" s="105"/>
      <c r="F490" s="104"/>
      <c r="G490" s="104"/>
      <c r="H490" s="104"/>
    </row>
    <row r="491" spans="1:8" ht="14.25" x14ac:dyDescent="0.2">
      <c r="A491" s="104"/>
      <c r="B491" s="104"/>
      <c r="C491" s="104"/>
      <c r="D491" s="104"/>
      <c r="E491" s="105"/>
      <c r="F491" s="104"/>
      <c r="G491" s="104"/>
      <c r="H491" s="104"/>
    </row>
    <row r="492" spans="1:8" ht="14.25" x14ac:dyDescent="0.2">
      <c r="A492" s="104"/>
      <c r="B492" s="104"/>
      <c r="C492" s="104"/>
      <c r="D492" s="104"/>
      <c r="E492" s="105"/>
      <c r="F492" s="104"/>
      <c r="G492" s="104"/>
      <c r="H492" s="104"/>
    </row>
    <row r="493" spans="1:8" ht="14.25" x14ac:dyDescent="0.2">
      <c r="A493" s="104"/>
      <c r="B493" s="104"/>
      <c r="C493" s="104"/>
      <c r="D493" s="104"/>
      <c r="E493" s="105"/>
      <c r="F493" s="104"/>
      <c r="G493" s="104"/>
      <c r="H493" s="104"/>
    </row>
    <row r="494" spans="1:8" ht="14.25" x14ac:dyDescent="0.2">
      <c r="A494" s="104"/>
      <c r="B494" s="104"/>
      <c r="C494" s="104"/>
      <c r="D494" s="104"/>
      <c r="E494" s="105"/>
      <c r="F494" s="104"/>
      <c r="G494" s="104"/>
      <c r="H494" s="104"/>
    </row>
    <row r="495" spans="1:8" ht="14.25" x14ac:dyDescent="0.2">
      <c r="A495" s="104"/>
      <c r="B495" s="104"/>
      <c r="C495" s="104"/>
      <c r="D495" s="104"/>
      <c r="E495" s="105"/>
      <c r="F495" s="104"/>
      <c r="G495" s="104"/>
      <c r="H495" s="104"/>
    </row>
    <row r="496" spans="1:8" ht="14.25" x14ac:dyDescent="0.2">
      <c r="A496" s="104"/>
      <c r="B496" s="104"/>
      <c r="C496" s="104"/>
      <c r="D496" s="104"/>
      <c r="E496" s="105"/>
      <c r="F496" s="104"/>
      <c r="G496" s="104"/>
      <c r="H496" s="104"/>
    </row>
    <row r="497" spans="1:8" ht="14.25" x14ac:dyDescent="0.2">
      <c r="A497" s="104"/>
      <c r="B497" s="104"/>
      <c r="C497" s="104"/>
      <c r="D497" s="104"/>
      <c r="E497" s="105"/>
      <c r="F497" s="104"/>
      <c r="G497" s="104"/>
      <c r="H497" s="104"/>
    </row>
    <row r="498" spans="1:8" ht="14.25" x14ac:dyDescent="0.2">
      <c r="A498" s="104"/>
      <c r="B498" s="104"/>
      <c r="C498" s="104"/>
      <c r="D498" s="104"/>
      <c r="E498" s="105"/>
      <c r="F498" s="104"/>
      <c r="G498" s="104"/>
      <c r="H498" s="104"/>
    </row>
    <row r="499" spans="1:8" ht="14.25" x14ac:dyDescent="0.2">
      <c r="A499" s="104"/>
      <c r="B499" s="104"/>
      <c r="C499" s="104"/>
      <c r="D499" s="104"/>
      <c r="E499" s="105"/>
      <c r="F499" s="104"/>
      <c r="G499" s="104"/>
      <c r="H499" s="104"/>
    </row>
    <row r="500" spans="1:8" ht="14.25" x14ac:dyDescent="0.2">
      <c r="A500" s="104"/>
      <c r="B500" s="104"/>
      <c r="C500" s="104"/>
      <c r="D500" s="104"/>
      <c r="E500" s="105"/>
      <c r="F500" s="104"/>
      <c r="G500" s="104"/>
      <c r="H500" s="104"/>
    </row>
    <row r="501" spans="1:8" ht="14.25" x14ac:dyDescent="0.2">
      <c r="A501" s="104"/>
      <c r="B501" s="104"/>
      <c r="C501" s="104"/>
      <c r="D501" s="104"/>
      <c r="E501" s="105"/>
      <c r="F501" s="104"/>
      <c r="G501" s="104"/>
      <c r="H501" s="104"/>
    </row>
    <row r="502" spans="1:8" ht="14.25" x14ac:dyDescent="0.2">
      <c r="A502" s="104"/>
      <c r="B502" s="104"/>
      <c r="C502" s="104"/>
      <c r="D502" s="104"/>
      <c r="E502" s="105"/>
      <c r="F502" s="104"/>
      <c r="G502" s="104"/>
      <c r="H502" s="104"/>
    </row>
    <row r="503" spans="1:8" ht="14.25" x14ac:dyDescent="0.2">
      <c r="A503" s="104"/>
      <c r="B503" s="104"/>
      <c r="C503" s="104"/>
      <c r="D503" s="104"/>
      <c r="E503" s="105"/>
      <c r="F503" s="104"/>
      <c r="G503" s="104"/>
      <c r="H503" s="104"/>
    </row>
    <row r="504" spans="1:8" ht="14.25" x14ac:dyDescent="0.2">
      <c r="A504" s="104"/>
      <c r="B504" s="104"/>
      <c r="C504" s="104"/>
      <c r="D504" s="104"/>
      <c r="E504" s="105"/>
      <c r="F504" s="104"/>
      <c r="G504" s="104"/>
      <c r="H504" s="104"/>
    </row>
    <row r="505" spans="1:8" ht="14.25" x14ac:dyDescent="0.2">
      <c r="A505" s="104"/>
      <c r="B505" s="104"/>
      <c r="C505" s="104"/>
      <c r="D505" s="104"/>
      <c r="E505" s="105"/>
      <c r="F505" s="104"/>
      <c r="G505" s="104"/>
      <c r="H505" s="104"/>
    </row>
    <row r="506" spans="1:8" ht="14.25" x14ac:dyDescent="0.2">
      <c r="A506" s="104"/>
      <c r="B506" s="104"/>
      <c r="C506" s="104"/>
      <c r="D506" s="104"/>
      <c r="E506" s="105"/>
      <c r="F506" s="104"/>
      <c r="G506" s="104"/>
      <c r="H506" s="104"/>
    </row>
    <row r="507" spans="1:8" ht="14.25" x14ac:dyDescent="0.2">
      <c r="A507" s="104"/>
      <c r="B507" s="104"/>
      <c r="C507" s="104"/>
      <c r="D507" s="104"/>
      <c r="E507" s="105"/>
      <c r="F507" s="104"/>
      <c r="G507" s="104"/>
      <c r="H507" s="104"/>
    </row>
    <row r="508" spans="1:8" ht="14.25" x14ac:dyDescent="0.2">
      <c r="A508" s="104"/>
      <c r="B508" s="104"/>
      <c r="C508" s="104"/>
      <c r="D508" s="104"/>
      <c r="E508" s="105"/>
      <c r="F508" s="104"/>
      <c r="G508" s="104"/>
      <c r="H508" s="104"/>
    </row>
    <row r="509" spans="1:8" ht="14.25" x14ac:dyDescent="0.2">
      <c r="A509" s="104"/>
      <c r="B509" s="104"/>
      <c r="C509" s="104"/>
      <c r="D509" s="104"/>
      <c r="E509" s="105"/>
      <c r="F509" s="104"/>
      <c r="G509" s="104"/>
      <c r="H509" s="104"/>
    </row>
    <row r="510" spans="1:8" ht="14.25" x14ac:dyDescent="0.2">
      <c r="A510" s="104"/>
      <c r="B510" s="104"/>
      <c r="C510" s="104"/>
      <c r="D510" s="104"/>
      <c r="E510" s="105"/>
      <c r="F510" s="104"/>
      <c r="G510" s="104"/>
      <c r="H510" s="104"/>
    </row>
    <row r="511" spans="1:8" ht="14.25" x14ac:dyDescent="0.2">
      <c r="A511" s="104"/>
      <c r="B511" s="104"/>
      <c r="C511" s="104"/>
      <c r="D511" s="104"/>
      <c r="E511" s="105"/>
      <c r="F511" s="104"/>
      <c r="G511" s="104"/>
      <c r="H511" s="104"/>
    </row>
    <row r="512" spans="1:8" ht="14.25" x14ac:dyDescent="0.2">
      <c r="A512" s="104"/>
      <c r="B512" s="104"/>
      <c r="C512" s="104"/>
      <c r="D512" s="104"/>
      <c r="E512" s="105"/>
      <c r="F512" s="104"/>
      <c r="G512" s="104"/>
      <c r="H512" s="104"/>
    </row>
    <row r="513" spans="1:8" ht="14.25" x14ac:dyDescent="0.2">
      <c r="A513" s="104"/>
      <c r="B513" s="104"/>
      <c r="C513" s="104"/>
      <c r="D513" s="104"/>
      <c r="E513" s="105"/>
      <c r="F513" s="104"/>
      <c r="G513" s="104"/>
      <c r="H513" s="104"/>
    </row>
    <row r="514" spans="1:8" ht="14.25" x14ac:dyDescent="0.2">
      <c r="A514" s="104"/>
      <c r="B514" s="104"/>
      <c r="C514" s="104"/>
      <c r="D514" s="104"/>
      <c r="E514" s="105"/>
      <c r="F514" s="104"/>
      <c r="G514" s="104"/>
      <c r="H514" s="104"/>
    </row>
    <row r="515" spans="1:8" ht="14.25" x14ac:dyDescent="0.2">
      <c r="A515" s="104"/>
      <c r="B515" s="104"/>
      <c r="C515" s="104"/>
      <c r="D515" s="104"/>
      <c r="E515" s="105"/>
      <c r="F515" s="104"/>
      <c r="G515" s="104"/>
      <c r="H515" s="104"/>
    </row>
    <row r="516" spans="1:8" ht="14.25" x14ac:dyDescent="0.2">
      <c r="A516" s="104"/>
      <c r="B516" s="104"/>
      <c r="C516" s="104"/>
      <c r="D516" s="104"/>
      <c r="E516" s="105"/>
      <c r="F516" s="104"/>
      <c r="G516" s="104"/>
      <c r="H516" s="104"/>
    </row>
    <row r="517" spans="1:8" ht="14.25" x14ac:dyDescent="0.2">
      <c r="A517" s="104"/>
      <c r="B517" s="104"/>
      <c r="C517" s="104"/>
      <c r="D517" s="104"/>
      <c r="E517" s="105"/>
      <c r="F517" s="104"/>
      <c r="G517" s="104"/>
      <c r="H517" s="104"/>
    </row>
    <row r="518" spans="1:8" ht="14.25" x14ac:dyDescent="0.2">
      <c r="A518" s="104"/>
      <c r="B518" s="104"/>
      <c r="C518" s="104"/>
      <c r="D518" s="104"/>
      <c r="E518" s="105"/>
      <c r="F518" s="104"/>
      <c r="G518" s="104"/>
      <c r="H518" s="104"/>
    </row>
    <row r="519" spans="1:8" ht="14.25" x14ac:dyDescent="0.2">
      <c r="A519" s="104"/>
      <c r="B519" s="104"/>
      <c r="C519" s="104"/>
      <c r="D519" s="104"/>
      <c r="E519" s="105"/>
      <c r="F519" s="104"/>
      <c r="G519" s="104"/>
      <c r="H519" s="104"/>
    </row>
    <row r="520" spans="1:8" ht="14.25" x14ac:dyDescent="0.2">
      <c r="A520" s="104"/>
      <c r="B520" s="104"/>
      <c r="C520" s="104"/>
      <c r="D520" s="104"/>
      <c r="E520" s="105"/>
      <c r="F520" s="104"/>
      <c r="G520" s="104"/>
      <c r="H520" s="104"/>
    </row>
    <row r="521" spans="1:8" ht="14.25" x14ac:dyDescent="0.2">
      <c r="A521" s="104"/>
      <c r="B521" s="104"/>
      <c r="C521" s="104"/>
      <c r="D521" s="104"/>
      <c r="E521" s="105"/>
      <c r="F521" s="104"/>
      <c r="G521" s="104"/>
      <c r="H521" s="104"/>
    </row>
    <row r="522" spans="1:8" ht="14.25" x14ac:dyDescent="0.2">
      <c r="A522" s="104"/>
      <c r="B522" s="104"/>
      <c r="C522" s="104"/>
      <c r="D522" s="104"/>
      <c r="E522" s="105"/>
      <c r="F522" s="104"/>
      <c r="G522" s="104"/>
      <c r="H522" s="104"/>
    </row>
    <row r="523" spans="1:8" ht="14.25" x14ac:dyDescent="0.2">
      <c r="A523" s="104"/>
      <c r="B523" s="104"/>
      <c r="C523" s="104"/>
      <c r="D523" s="104"/>
      <c r="E523" s="105"/>
      <c r="F523" s="104"/>
      <c r="G523" s="104"/>
      <c r="H523" s="104"/>
    </row>
    <row r="524" spans="1:8" ht="14.25" x14ac:dyDescent="0.2">
      <c r="A524" s="104"/>
      <c r="B524" s="104"/>
      <c r="C524" s="104"/>
      <c r="D524" s="104"/>
      <c r="E524" s="105"/>
      <c r="F524" s="104"/>
      <c r="G524" s="104"/>
      <c r="H524" s="104"/>
    </row>
    <row r="525" spans="1:8" ht="14.25" x14ac:dyDescent="0.2">
      <c r="A525" s="104"/>
      <c r="B525" s="104"/>
      <c r="C525" s="104"/>
      <c r="D525" s="104"/>
      <c r="E525" s="105"/>
      <c r="F525" s="104"/>
      <c r="G525" s="104"/>
      <c r="H525" s="104"/>
    </row>
    <row r="526" spans="1:8" ht="14.25" x14ac:dyDescent="0.2">
      <c r="A526" s="104"/>
      <c r="B526" s="104"/>
      <c r="C526" s="104"/>
      <c r="D526" s="104"/>
      <c r="E526" s="105"/>
      <c r="F526" s="104"/>
      <c r="G526" s="104"/>
      <c r="H526" s="104"/>
    </row>
    <row r="527" spans="1:8" ht="14.25" x14ac:dyDescent="0.2">
      <c r="A527" s="104"/>
      <c r="B527" s="104"/>
      <c r="C527" s="104"/>
      <c r="D527" s="104"/>
      <c r="E527" s="105"/>
      <c r="F527" s="104"/>
      <c r="G527" s="104"/>
      <c r="H527" s="104"/>
    </row>
    <row r="528" spans="1:8" ht="14.25" x14ac:dyDescent="0.2">
      <c r="A528" s="104"/>
      <c r="B528" s="104"/>
      <c r="C528" s="104"/>
      <c r="D528" s="104"/>
      <c r="E528" s="105"/>
      <c r="F528" s="104"/>
      <c r="G528" s="104"/>
      <c r="H528" s="104"/>
    </row>
    <row r="529" spans="1:8" ht="14.25" x14ac:dyDescent="0.2">
      <c r="A529" s="104"/>
      <c r="B529" s="104"/>
      <c r="C529" s="104"/>
      <c r="D529" s="104"/>
      <c r="E529" s="105"/>
      <c r="F529" s="104"/>
      <c r="G529" s="104"/>
      <c r="H529" s="104"/>
    </row>
    <row r="530" spans="1:8" ht="14.25" x14ac:dyDescent="0.2">
      <c r="A530" s="104"/>
      <c r="B530" s="104"/>
      <c r="C530" s="104"/>
      <c r="D530" s="104"/>
      <c r="E530" s="105"/>
      <c r="F530" s="104"/>
      <c r="G530" s="104"/>
      <c r="H530" s="104"/>
    </row>
    <row r="531" spans="1:8" ht="14.25" x14ac:dyDescent="0.2">
      <c r="A531" s="104"/>
      <c r="B531" s="104"/>
      <c r="C531" s="104"/>
      <c r="D531" s="104"/>
      <c r="E531" s="105"/>
      <c r="F531" s="104"/>
      <c r="G531" s="104"/>
      <c r="H531" s="104"/>
    </row>
    <row r="532" spans="1:8" ht="14.25" x14ac:dyDescent="0.2">
      <c r="A532" s="104"/>
      <c r="B532" s="104"/>
      <c r="C532" s="104"/>
      <c r="D532" s="104"/>
      <c r="E532" s="105"/>
      <c r="F532" s="104"/>
      <c r="G532" s="104"/>
      <c r="H532" s="104"/>
    </row>
    <row r="533" spans="1:8" ht="14.25" x14ac:dyDescent="0.2">
      <c r="A533" s="104"/>
      <c r="B533" s="104"/>
      <c r="C533" s="104"/>
      <c r="D533" s="104"/>
      <c r="E533" s="105"/>
      <c r="F533" s="104"/>
      <c r="G533" s="104"/>
      <c r="H533" s="104"/>
    </row>
    <row r="534" spans="1:8" ht="14.25" x14ac:dyDescent="0.2">
      <c r="A534" s="104"/>
      <c r="B534" s="104"/>
      <c r="C534" s="104"/>
      <c r="D534" s="104"/>
      <c r="E534" s="105"/>
      <c r="F534" s="104"/>
      <c r="G534" s="104"/>
      <c r="H534" s="104"/>
    </row>
    <row r="535" spans="1:8" ht="14.25" x14ac:dyDescent="0.2">
      <c r="A535" s="104"/>
      <c r="B535" s="104"/>
      <c r="C535" s="104"/>
      <c r="D535" s="104"/>
      <c r="E535" s="105"/>
      <c r="F535" s="104"/>
      <c r="G535" s="104"/>
      <c r="H535" s="104"/>
    </row>
    <row r="536" spans="1:8" ht="14.25" x14ac:dyDescent="0.2">
      <c r="A536" s="104"/>
      <c r="B536" s="104"/>
      <c r="C536" s="104"/>
      <c r="D536" s="104"/>
      <c r="E536" s="105"/>
      <c r="F536" s="104"/>
      <c r="G536" s="104"/>
      <c r="H536" s="104"/>
    </row>
    <row r="537" spans="1:8" ht="14.25" x14ac:dyDescent="0.2">
      <c r="A537" s="104"/>
      <c r="B537" s="104"/>
      <c r="C537" s="104"/>
      <c r="D537" s="104"/>
      <c r="E537" s="105"/>
      <c r="F537" s="104"/>
      <c r="G537" s="104"/>
      <c r="H537" s="104"/>
    </row>
    <row r="538" spans="1:8" ht="14.25" x14ac:dyDescent="0.2">
      <c r="A538" s="104"/>
      <c r="B538" s="104"/>
      <c r="C538" s="104"/>
      <c r="D538" s="104"/>
      <c r="E538" s="105"/>
      <c r="F538" s="104"/>
      <c r="G538" s="104"/>
      <c r="H538" s="104"/>
    </row>
    <row r="539" spans="1:8" ht="14.25" x14ac:dyDescent="0.2">
      <c r="A539" s="104"/>
      <c r="B539" s="104"/>
      <c r="C539" s="104"/>
      <c r="D539" s="104"/>
      <c r="E539" s="105"/>
      <c r="F539" s="104"/>
      <c r="G539" s="104"/>
      <c r="H539" s="104"/>
    </row>
    <row r="540" spans="1:8" ht="14.25" x14ac:dyDescent="0.2">
      <c r="A540" s="104"/>
      <c r="B540" s="104"/>
      <c r="C540" s="104"/>
      <c r="D540" s="104"/>
      <c r="E540" s="105"/>
      <c r="F540" s="104"/>
      <c r="G540" s="104"/>
      <c r="H540" s="104"/>
    </row>
    <row r="541" spans="1:8" ht="14.25" x14ac:dyDescent="0.2">
      <c r="A541" s="104"/>
      <c r="B541" s="104"/>
      <c r="C541" s="104"/>
      <c r="D541" s="104"/>
      <c r="E541" s="105"/>
      <c r="F541" s="104"/>
      <c r="G541" s="104"/>
      <c r="H541" s="104"/>
    </row>
    <row r="542" spans="1:8" ht="14.25" x14ac:dyDescent="0.2">
      <c r="A542" s="104"/>
      <c r="B542" s="104"/>
      <c r="C542" s="104"/>
      <c r="D542" s="104"/>
      <c r="E542" s="105"/>
      <c r="F542" s="104"/>
      <c r="G542" s="104"/>
      <c r="H542" s="104"/>
    </row>
    <row r="543" spans="1:8" ht="14.25" x14ac:dyDescent="0.2">
      <c r="A543" s="104"/>
      <c r="B543" s="104"/>
      <c r="C543" s="104"/>
      <c r="D543" s="104"/>
      <c r="E543" s="105"/>
      <c r="F543" s="104"/>
      <c r="G543" s="104"/>
      <c r="H543" s="104"/>
    </row>
    <row r="544" spans="1:8" ht="14.25" x14ac:dyDescent="0.2">
      <c r="A544" s="104"/>
      <c r="B544" s="104"/>
      <c r="C544" s="104"/>
      <c r="D544" s="104"/>
      <c r="E544" s="105"/>
      <c r="F544" s="104"/>
      <c r="G544" s="104"/>
      <c r="H544" s="104"/>
    </row>
    <row r="545" spans="1:8" ht="14.25" x14ac:dyDescent="0.2">
      <c r="A545" s="104"/>
      <c r="B545" s="104"/>
      <c r="C545" s="104"/>
      <c r="D545" s="104"/>
      <c r="E545" s="105"/>
      <c r="F545" s="104"/>
      <c r="G545" s="104"/>
      <c r="H545" s="104"/>
    </row>
    <row r="546" spans="1:8" ht="14.25" x14ac:dyDescent="0.2">
      <c r="A546" s="104"/>
      <c r="B546" s="104"/>
      <c r="C546" s="104"/>
      <c r="D546" s="104"/>
      <c r="E546" s="105"/>
      <c r="F546" s="104"/>
      <c r="G546" s="104"/>
      <c r="H546" s="104"/>
    </row>
    <row r="547" spans="1:8" ht="14.25" x14ac:dyDescent="0.2">
      <c r="A547" s="104"/>
      <c r="B547" s="104"/>
      <c r="C547" s="104"/>
      <c r="D547" s="104"/>
      <c r="E547" s="105"/>
      <c r="F547" s="104"/>
      <c r="G547" s="104"/>
      <c r="H547" s="104"/>
    </row>
    <row r="548" spans="1:8" ht="14.25" x14ac:dyDescent="0.2">
      <c r="A548" s="104"/>
      <c r="B548" s="104"/>
      <c r="C548" s="104"/>
      <c r="D548" s="104"/>
      <c r="E548" s="105"/>
      <c r="F548" s="104"/>
      <c r="G548" s="104"/>
      <c r="H548" s="104"/>
    </row>
    <row r="549" spans="1:8" ht="14.25" x14ac:dyDescent="0.2">
      <c r="A549" s="104"/>
      <c r="B549" s="104"/>
      <c r="C549" s="104"/>
      <c r="D549" s="104"/>
      <c r="E549" s="105"/>
      <c r="F549" s="104"/>
      <c r="G549" s="104"/>
      <c r="H549" s="104"/>
    </row>
    <row r="550" spans="1:8" ht="14.25" x14ac:dyDescent="0.2">
      <c r="A550" s="104"/>
      <c r="B550" s="104"/>
      <c r="C550" s="104"/>
      <c r="D550" s="104"/>
      <c r="E550" s="105"/>
      <c r="F550" s="104"/>
      <c r="G550" s="104"/>
      <c r="H550" s="104"/>
    </row>
    <row r="551" spans="1:8" ht="14.25" x14ac:dyDescent="0.2">
      <c r="A551" s="104"/>
      <c r="B551" s="104"/>
      <c r="C551" s="104"/>
      <c r="D551" s="104"/>
      <c r="E551" s="105"/>
      <c r="F551" s="104"/>
      <c r="G551" s="104"/>
      <c r="H551" s="104"/>
    </row>
    <row r="552" spans="1:8" ht="14.25" x14ac:dyDescent="0.2">
      <c r="A552" s="104"/>
      <c r="B552" s="104"/>
      <c r="C552" s="104"/>
      <c r="D552" s="104"/>
      <c r="E552" s="105"/>
      <c r="F552" s="104"/>
      <c r="G552" s="104"/>
      <c r="H552" s="104"/>
    </row>
    <row r="553" spans="1:8" ht="14.25" x14ac:dyDescent="0.2">
      <c r="A553" s="104"/>
      <c r="B553" s="104"/>
      <c r="C553" s="104"/>
      <c r="D553" s="104"/>
      <c r="E553" s="105"/>
      <c r="F553" s="104"/>
      <c r="G553" s="104"/>
      <c r="H553" s="104"/>
    </row>
    <row r="554" spans="1:8" ht="14.25" x14ac:dyDescent="0.2">
      <c r="A554" s="104"/>
      <c r="B554" s="104"/>
      <c r="C554" s="104"/>
      <c r="D554" s="104"/>
      <c r="E554" s="105"/>
      <c r="F554" s="104"/>
      <c r="G554" s="104"/>
      <c r="H554" s="104"/>
    </row>
    <row r="555" spans="1:8" ht="14.25" x14ac:dyDescent="0.2">
      <c r="A555" s="104"/>
      <c r="B555" s="104"/>
      <c r="C555" s="104"/>
      <c r="D555" s="104"/>
      <c r="E555" s="105"/>
      <c r="F555" s="104"/>
      <c r="G555" s="104"/>
      <c r="H555" s="104"/>
    </row>
    <row r="556" spans="1:8" ht="14.25" x14ac:dyDescent="0.2">
      <c r="A556" s="104"/>
      <c r="B556" s="104"/>
      <c r="C556" s="104"/>
      <c r="D556" s="104"/>
      <c r="E556" s="105"/>
      <c r="F556" s="104"/>
      <c r="G556" s="104"/>
      <c r="H556" s="104"/>
    </row>
    <row r="557" spans="1:8" ht="14.25" x14ac:dyDescent="0.2">
      <c r="A557" s="104"/>
      <c r="B557" s="104"/>
      <c r="C557" s="104"/>
      <c r="D557" s="104"/>
      <c r="E557" s="105"/>
      <c r="F557" s="104"/>
      <c r="G557" s="104"/>
      <c r="H557" s="104"/>
    </row>
    <row r="558" spans="1:8" ht="14.25" x14ac:dyDescent="0.2">
      <c r="A558" s="104"/>
      <c r="B558" s="104"/>
      <c r="C558" s="104"/>
      <c r="D558" s="104"/>
      <c r="E558" s="105"/>
      <c r="F558" s="104"/>
      <c r="G558" s="104"/>
      <c r="H558" s="104"/>
    </row>
    <row r="559" spans="1:8" ht="14.25" x14ac:dyDescent="0.2">
      <c r="A559" s="104"/>
      <c r="B559" s="104"/>
      <c r="C559" s="104"/>
      <c r="D559" s="104"/>
      <c r="E559" s="105"/>
      <c r="F559" s="104"/>
      <c r="G559" s="104"/>
      <c r="H559" s="104"/>
    </row>
    <row r="560" spans="1:8" ht="14.25" x14ac:dyDescent="0.2">
      <c r="A560" s="104"/>
      <c r="B560" s="104"/>
      <c r="C560" s="104"/>
      <c r="D560" s="104"/>
      <c r="E560" s="105"/>
      <c r="F560" s="104"/>
      <c r="G560" s="104"/>
      <c r="H560" s="104"/>
    </row>
    <row r="561" spans="1:8" ht="14.25" x14ac:dyDescent="0.2">
      <c r="A561" s="104"/>
      <c r="B561" s="104"/>
      <c r="C561" s="104"/>
      <c r="D561" s="104"/>
      <c r="E561" s="105"/>
      <c r="F561" s="104"/>
      <c r="G561" s="104"/>
      <c r="H561" s="104"/>
    </row>
    <row r="562" spans="1:8" ht="14.25" x14ac:dyDescent="0.2">
      <c r="A562" s="104"/>
      <c r="B562" s="104"/>
      <c r="C562" s="104"/>
      <c r="D562" s="104"/>
      <c r="E562" s="105"/>
      <c r="F562" s="104"/>
      <c r="G562" s="104"/>
      <c r="H562" s="104"/>
    </row>
    <row r="563" spans="1:8" ht="14.25" x14ac:dyDescent="0.2">
      <c r="A563" s="104"/>
      <c r="B563" s="104"/>
      <c r="C563" s="104"/>
      <c r="D563" s="104"/>
      <c r="E563" s="105"/>
      <c r="F563" s="104"/>
      <c r="G563" s="104"/>
      <c r="H563" s="104"/>
    </row>
    <row r="564" spans="1:8" ht="14.25" x14ac:dyDescent="0.2">
      <c r="A564" s="104"/>
      <c r="B564" s="104"/>
      <c r="C564" s="104"/>
      <c r="D564" s="104"/>
      <c r="E564" s="105"/>
      <c r="F564" s="104"/>
      <c r="G564" s="104"/>
      <c r="H564" s="104"/>
    </row>
    <row r="565" spans="1:8" ht="14.25" x14ac:dyDescent="0.2">
      <c r="A565" s="104"/>
      <c r="B565" s="104"/>
      <c r="C565" s="104"/>
      <c r="D565" s="104"/>
      <c r="E565" s="105"/>
      <c r="F565" s="104"/>
      <c r="G565" s="104"/>
      <c r="H565" s="104"/>
    </row>
    <row r="566" spans="1:8" ht="14.25" x14ac:dyDescent="0.2">
      <c r="A566" s="104"/>
      <c r="B566" s="104"/>
      <c r="C566" s="104"/>
      <c r="D566" s="104"/>
      <c r="E566" s="105"/>
      <c r="F566" s="104"/>
      <c r="G566" s="104"/>
      <c r="H566" s="104"/>
    </row>
    <row r="567" spans="1:8" ht="14.25" x14ac:dyDescent="0.2">
      <c r="A567" s="104"/>
      <c r="B567" s="104"/>
      <c r="C567" s="104"/>
      <c r="D567" s="104"/>
      <c r="E567" s="105"/>
      <c r="F567" s="104"/>
      <c r="G567" s="104"/>
      <c r="H567" s="104"/>
    </row>
    <row r="568" spans="1:8" ht="14.25" x14ac:dyDescent="0.2">
      <c r="A568" s="104"/>
      <c r="B568" s="104"/>
      <c r="C568" s="104"/>
      <c r="D568" s="104"/>
      <c r="E568" s="105"/>
      <c r="F568" s="104"/>
      <c r="G568" s="104"/>
      <c r="H568" s="104"/>
    </row>
    <row r="569" spans="1:8" ht="14.25" x14ac:dyDescent="0.2">
      <c r="A569" s="104"/>
      <c r="B569" s="104"/>
      <c r="C569" s="104"/>
      <c r="D569" s="104"/>
      <c r="E569" s="105"/>
      <c r="F569" s="104"/>
      <c r="G569" s="104"/>
      <c r="H569" s="104"/>
    </row>
    <row r="570" spans="1:8" ht="14.25" x14ac:dyDescent="0.2">
      <c r="A570" s="104"/>
      <c r="B570" s="104"/>
      <c r="C570" s="104"/>
      <c r="D570" s="104"/>
      <c r="E570" s="105"/>
      <c r="F570" s="104"/>
      <c r="G570" s="104"/>
      <c r="H570" s="104"/>
    </row>
    <row r="571" spans="1:8" ht="14.25" x14ac:dyDescent="0.2">
      <c r="A571" s="104"/>
      <c r="B571" s="104"/>
      <c r="C571" s="104"/>
      <c r="D571" s="104"/>
      <c r="E571" s="105"/>
      <c r="F571" s="104"/>
      <c r="G571" s="104"/>
      <c r="H571" s="104"/>
    </row>
    <row r="572" spans="1:8" ht="14.25" x14ac:dyDescent="0.2">
      <c r="A572" s="104"/>
      <c r="B572" s="104"/>
      <c r="C572" s="104"/>
      <c r="D572" s="104"/>
      <c r="E572" s="105"/>
      <c r="F572" s="104"/>
      <c r="G572" s="104"/>
      <c r="H572" s="104"/>
    </row>
    <row r="573" spans="1:8" ht="14.25" x14ac:dyDescent="0.2">
      <c r="A573" s="104"/>
      <c r="B573" s="104"/>
      <c r="C573" s="104"/>
      <c r="D573" s="104"/>
      <c r="E573" s="105"/>
      <c r="F573" s="104"/>
      <c r="G573" s="104"/>
      <c r="H573" s="104"/>
    </row>
    <row r="574" spans="1:8" ht="14.25" x14ac:dyDescent="0.2">
      <c r="A574" s="104"/>
      <c r="B574" s="104"/>
      <c r="C574" s="104"/>
      <c r="D574" s="104"/>
      <c r="E574" s="105"/>
      <c r="F574" s="104"/>
      <c r="G574" s="104"/>
      <c r="H574" s="104"/>
    </row>
    <row r="575" spans="1:8" ht="14.25" x14ac:dyDescent="0.2">
      <c r="A575" s="104"/>
      <c r="B575" s="104"/>
      <c r="C575" s="104"/>
      <c r="D575" s="104"/>
      <c r="E575" s="105"/>
      <c r="F575" s="104"/>
      <c r="G575" s="104"/>
      <c r="H575" s="104"/>
    </row>
    <row r="576" spans="1:8" ht="14.25" x14ac:dyDescent="0.2">
      <c r="A576" s="104"/>
      <c r="B576" s="104"/>
      <c r="C576" s="104"/>
      <c r="D576" s="104"/>
      <c r="E576" s="105"/>
      <c r="F576" s="104"/>
      <c r="G576" s="104"/>
      <c r="H576" s="104"/>
    </row>
    <row r="577" spans="1:8" ht="14.25" x14ac:dyDescent="0.2">
      <c r="A577" s="104"/>
      <c r="B577" s="104"/>
      <c r="C577" s="104"/>
      <c r="D577" s="104"/>
      <c r="E577" s="105"/>
      <c r="F577" s="104"/>
      <c r="G577" s="104"/>
      <c r="H577" s="104"/>
    </row>
    <row r="578" spans="1:8" ht="14.25" x14ac:dyDescent="0.2">
      <c r="A578" s="104"/>
      <c r="B578" s="104"/>
      <c r="C578" s="104"/>
      <c r="D578" s="104"/>
      <c r="E578" s="105"/>
      <c r="F578" s="104"/>
      <c r="G578" s="104"/>
      <c r="H578" s="104"/>
    </row>
    <row r="579" spans="1:8" ht="14.25" x14ac:dyDescent="0.2">
      <c r="A579" s="104"/>
      <c r="B579" s="104"/>
      <c r="C579" s="104"/>
      <c r="D579" s="104"/>
      <c r="E579" s="105"/>
      <c r="F579" s="104"/>
      <c r="G579" s="104"/>
      <c r="H579" s="104"/>
    </row>
    <row r="580" spans="1:8" ht="14.25" x14ac:dyDescent="0.2">
      <c r="A580" s="104"/>
      <c r="B580" s="104"/>
      <c r="C580" s="104"/>
      <c r="D580" s="104"/>
      <c r="E580" s="105"/>
      <c r="F580" s="104"/>
      <c r="G580" s="104"/>
      <c r="H580" s="104"/>
    </row>
    <row r="581" spans="1:8" ht="14.25" x14ac:dyDescent="0.2">
      <c r="A581" s="104"/>
      <c r="B581" s="104"/>
      <c r="C581" s="104"/>
      <c r="D581" s="104"/>
      <c r="E581" s="105"/>
      <c r="F581" s="104"/>
      <c r="G581" s="104"/>
      <c r="H581" s="104"/>
    </row>
    <row r="582" spans="1:8" ht="14.25" x14ac:dyDescent="0.2">
      <c r="A582" s="104"/>
      <c r="B582" s="104"/>
      <c r="C582" s="104"/>
      <c r="D582" s="104"/>
      <c r="E582" s="105"/>
      <c r="F582" s="104"/>
      <c r="G582" s="104"/>
      <c r="H582" s="104"/>
    </row>
    <row r="583" spans="1:8" ht="14.25" x14ac:dyDescent="0.2">
      <c r="A583" s="104"/>
      <c r="B583" s="104"/>
      <c r="C583" s="104"/>
      <c r="D583" s="104"/>
      <c r="E583" s="105"/>
      <c r="F583" s="104"/>
      <c r="G583" s="104"/>
      <c r="H583" s="104"/>
    </row>
    <row r="584" spans="1:8" ht="14.25" x14ac:dyDescent="0.2">
      <c r="A584" s="104"/>
      <c r="B584" s="104"/>
      <c r="C584" s="104"/>
      <c r="D584" s="104"/>
      <c r="E584" s="105"/>
      <c r="F584" s="104"/>
      <c r="G584" s="104"/>
      <c r="H584" s="104"/>
    </row>
    <row r="585" spans="1:8" ht="14.25" x14ac:dyDescent="0.2">
      <c r="A585" s="104"/>
      <c r="B585" s="104"/>
      <c r="C585" s="104"/>
      <c r="D585" s="104"/>
      <c r="E585" s="105"/>
      <c r="F585" s="104"/>
      <c r="G585" s="104"/>
      <c r="H585" s="104"/>
    </row>
    <row r="586" spans="1:8" ht="14.25" x14ac:dyDescent="0.2">
      <c r="A586" s="104"/>
      <c r="B586" s="104"/>
      <c r="C586" s="104"/>
      <c r="D586" s="104"/>
      <c r="E586" s="105"/>
      <c r="F586" s="104"/>
      <c r="G586" s="104"/>
      <c r="H586" s="104"/>
    </row>
    <row r="587" spans="1:8" ht="14.25" x14ac:dyDescent="0.2">
      <c r="A587" s="104"/>
      <c r="B587" s="104"/>
      <c r="C587" s="104"/>
      <c r="D587" s="104"/>
      <c r="E587" s="105"/>
      <c r="F587" s="104"/>
      <c r="G587" s="104"/>
      <c r="H587" s="104"/>
    </row>
    <row r="588" spans="1:8" ht="14.25" x14ac:dyDescent="0.2">
      <c r="A588" s="104"/>
      <c r="B588" s="104"/>
      <c r="C588" s="104"/>
      <c r="D588" s="104"/>
      <c r="E588" s="105"/>
      <c r="F588" s="104"/>
      <c r="G588" s="104"/>
      <c r="H588" s="104"/>
    </row>
    <row r="589" spans="1:8" ht="14.25" x14ac:dyDescent="0.2">
      <c r="A589" s="104"/>
      <c r="B589" s="104"/>
      <c r="C589" s="104"/>
      <c r="D589" s="104"/>
      <c r="E589" s="105"/>
      <c r="F589" s="104"/>
      <c r="G589" s="104"/>
      <c r="H589" s="104"/>
    </row>
    <row r="590" spans="1:8" ht="14.25" x14ac:dyDescent="0.2">
      <c r="A590" s="104"/>
      <c r="B590" s="104"/>
      <c r="C590" s="104"/>
      <c r="D590" s="104"/>
      <c r="E590" s="105"/>
      <c r="F590" s="104"/>
      <c r="G590" s="104"/>
      <c r="H590" s="104"/>
    </row>
    <row r="591" spans="1:8" ht="14.25" x14ac:dyDescent="0.2">
      <c r="A591" s="104"/>
      <c r="B591" s="104"/>
      <c r="C591" s="104"/>
      <c r="D591" s="104"/>
      <c r="E591" s="105"/>
      <c r="F591" s="104"/>
      <c r="G591" s="104"/>
      <c r="H591" s="104"/>
    </row>
    <row r="592" spans="1:8" ht="14.25" x14ac:dyDescent="0.2">
      <c r="A592" s="104"/>
      <c r="B592" s="104"/>
      <c r="C592" s="104"/>
      <c r="D592" s="104"/>
      <c r="E592" s="105"/>
      <c r="F592" s="104"/>
      <c r="G592" s="104"/>
      <c r="H592" s="104"/>
    </row>
    <row r="593" spans="1:8" ht="14.25" x14ac:dyDescent="0.2">
      <c r="A593" s="104"/>
      <c r="B593" s="104"/>
      <c r="C593" s="104"/>
      <c r="D593" s="104"/>
      <c r="E593" s="105"/>
      <c r="F593" s="104"/>
      <c r="G593" s="104"/>
      <c r="H593" s="104"/>
    </row>
    <row r="594" spans="1:8" ht="14.25" x14ac:dyDescent="0.2">
      <c r="A594" s="104"/>
      <c r="B594" s="104"/>
      <c r="C594" s="104"/>
      <c r="D594" s="104"/>
      <c r="E594" s="105"/>
      <c r="F594" s="104"/>
      <c r="G594" s="104"/>
      <c r="H594" s="104"/>
    </row>
    <row r="595" spans="1:8" ht="14.25" x14ac:dyDescent="0.2">
      <c r="A595" s="104"/>
      <c r="B595" s="104"/>
      <c r="C595" s="104"/>
      <c r="D595" s="104"/>
      <c r="E595" s="105"/>
      <c r="F595" s="104"/>
      <c r="G595" s="104"/>
      <c r="H595" s="104"/>
    </row>
    <row r="596" spans="1:8" ht="14.25" x14ac:dyDescent="0.2">
      <c r="A596" s="104"/>
      <c r="B596" s="104"/>
      <c r="C596" s="104"/>
      <c r="D596" s="104"/>
      <c r="E596" s="105"/>
      <c r="F596" s="104"/>
      <c r="G596" s="104"/>
      <c r="H596" s="104"/>
    </row>
    <row r="597" spans="1:8" ht="14.25" x14ac:dyDescent="0.2">
      <c r="A597" s="104"/>
      <c r="B597" s="104"/>
      <c r="C597" s="104"/>
      <c r="D597" s="104"/>
      <c r="E597" s="105"/>
      <c r="F597" s="104"/>
      <c r="G597" s="104"/>
      <c r="H597" s="104"/>
    </row>
    <row r="598" spans="1:8" ht="14.25" x14ac:dyDescent="0.2">
      <c r="A598" s="104"/>
      <c r="B598" s="104"/>
      <c r="C598" s="104"/>
      <c r="D598" s="104"/>
      <c r="E598" s="105"/>
      <c r="F598" s="104"/>
      <c r="G598" s="104"/>
      <c r="H598" s="104"/>
    </row>
    <row r="599" spans="1:8" ht="14.25" x14ac:dyDescent="0.2">
      <c r="A599" s="104"/>
      <c r="B599" s="104"/>
      <c r="C599" s="104"/>
      <c r="D599" s="104"/>
      <c r="E599" s="105"/>
      <c r="F599" s="104"/>
      <c r="G599" s="104"/>
      <c r="H599" s="104"/>
    </row>
    <row r="600" spans="1:8" ht="14.25" x14ac:dyDescent="0.2">
      <c r="A600" s="104"/>
      <c r="B600" s="104"/>
      <c r="C600" s="104"/>
      <c r="D600" s="104"/>
      <c r="E600" s="105"/>
      <c r="F600" s="104"/>
      <c r="G600" s="104"/>
      <c r="H600" s="104"/>
    </row>
    <row r="601" spans="1:8" ht="14.25" x14ac:dyDescent="0.2">
      <c r="A601" s="104"/>
      <c r="B601" s="104"/>
      <c r="C601" s="104"/>
      <c r="D601" s="104"/>
      <c r="E601" s="105"/>
      <c r="F601" s="104"/>
      <c r="G601" s="104"/>
      <c r="H601" s="104"/>
    </row>
    <row r="602" spans="1:8" ht="14.25" x14ac:dyDescent="0.2">
      <c r="A602" s="104"/>
      <c r="B602" s="104"/>
      <c r="C602" s="104"/>
      <c r="D602" s="104"/>
      <c r="E602" s="105"/>
      <c r="F602" s="104"/>
      <c r="G602" s="104"/>
      <c r="H602" s="104"/>
    </row>
    <row r="603" spans="1:8" ht="14.25" x14ac:dyDescent="0.2">
      <c r="A603" s="104"/>
      <c r="B603" s="104"/>
      <c r="C603" s="104"/>
      <c r="D603" s="104"/>
      <c r="E603" s="105"/>
      <c r="F603" s="104"/>
      <c r="G603" s="104"/>
      <c r="H603" s="104"/>
    </row>
    <row r="604" spans="1:8" ht="14.25" x14ac:dyDescent="0.2">
      <c r="A604" s="104"/>
      <c r="B604" s="104"/>
      <c r="C604" s="104"/>
      <c r="D604" s="104"/>
      <c r="E604" s="105"/>
      <c r="F604" s="104"/>
      <c r="G604" s="104"/>
      <c r="H604" s="104"/>
    </row>
    <row r="605" spans="1:8" ht="14.25" x14ac:dyDescent="0.2">
      <c r="A605" s="104"/>
      <c r="B605" s="104"/>
      <c r="C605" s="104"/>
      <c r="D605" s="104"/>
      <c r="E605" s="105"/>
      <c r="F605" s="104"/>
      <c r="G605" s="104"/>
      <c r="H605" s="104"/>
    </row>
    <row r="606" spans="1:8" ht="14.25" x14ac:dyDescent="0.2">
      <c r="A606" s="104"/>
      <c r="B606" s="104"/>
      <c r="C606" s="104"/>
      <c r="D606" s="104"/>
      <c r="E606" s="105"/>
      <c r="F606" s="104"/>
      <c r="G606" s="104"/>
      <c r="H606" s="104"/>
    </row>
    <row r="607" spans="1:8" ht="14.25" x14ac:dyDescent="0.2">
      <c r="A607" s="104"/>
      <c r="B607" s="104"/>
      <c r="C607" s="104"/>
      <c r="D607" s="104"/>
      <c r="E607" s="105"/>
      <c r="F607" s="104"/>
      <c r="G607" s="104"/>
      <c r="H607" s="104"/>
    </row>
    <row r="608" spans="1:8" ht="14.25" x14ac:dyDescent="0.2">
      <c r="A608" s="104"/>
      <c r="B608" s="104"/>
      <c r="C608" s="104"/>
      <c r="D608" s="104"/>
      <c r="E608" s="105"/>
      <c r="F608" s="104"/>
      <c r="G608" s="104"/>
      <c r="H608" s="104"/>
    </row>
    <row r="609" spans="1:8" ht="14.25" x14ac:dyDescent="0.2">
      <c r="A609" s="104"/>
      <c r="B609" s="104"/>
      <c r="C609" s="104"/>
      <c r="D609" s="104"/>
      <c r="E609" s="105"/>
      <c r="F609" s="104"/>
      <c r="G609" s="104"/>
      <c r="H609" s="104"/>
    </row>
    <row r="610" spans="1:8" ht="14.25" x14ac:dyDescent="0.2">
      <c r="A610" s="104"/>
      <c r="B610" s="104"/>
      <c r="C610" s="104"/>
      <c r="D610" s="104"/>
      <c r="E610" s="105"/>
      <c r="F610" s="104"/>
      <c r="G610" s="104"/>
      <c r="H610" s="104"/>
    </row>
    <row r="611" spans="1:8" ht="14.25" x14ac:dyDescent="0.2">
      <c r="A611" s="104"/>
      <c r="B611" s="104"/>
      <c r="C611" s="104"/>
      <c r="D611" s="104"/>
      <c r="E611" s="105"/>
      <c r="F611" s="104"/>
      <c r="G611" s="104"/>
      <c r="H611" s="104"/>
    </row>
    <row r="612" spans="1:8" ht="14.25" x14ac:dyDescent="0.2">
      <c r="A612" s="104"/>
      <c r="B612" s="104"/>
      <c r="C612" s="104"/>
      <c r="D612" s="104"/>
      <c r="E612" s="105"/>
      <c r="F612" s="104"/>
      <c r="G612" s="104"/>
      <c r="H612" s="104"/>
    </row>
    <row r="613" spans="1:8" ht="14.25" x14ac:dyDescent="0.2">
      <c r="A613" s="104"/>
      <c r="B613" s="104"/>
      <c r="C613" s="104"/>
      <c r="D613" s="104"/>
      <c r="E613" s="105"/>
      <c r="F613" s="104"/>
      <c r="G613" s="104"/>
      <c r="H613" s="104"/>
    </row>
    <row r="614" spans="1:8" ht="14.25" x14ac:dyDescent="0.2">
      <c r="A614" s="104"/>
      <c r="B614" s="104"/>
      <c r="C614" s="104"/>
      <c r="D614" s="104"/>
      <c r="E614" s="105"/>
      <c r="F614" s="104"/>
      <c r="G614" s="104"/>
      <c r="H614" s="104"/>
    </row>
    <row r="615" spans="1:8" ht="14.25" x14ac:dyDescent="0.2">
      <c r="A615" s="104"/>
      <c r="B615" s="104"/>
      <c r="C615" s="104"/>
      <c r="D615" s="104"/>
      <c r="E615" s="105"/>
      <c r="F615" s="104"/>
      <c r="G615" s="104"/>
      <c r="H615" s="104"/>
    </row>
    <row r="616" spans="1:8" ht="14.25" x14ac:dyDescent="0.2">
      <c r="A616" s="104"/>
      <c r="B616" s="104"/>
      <c r="C616" s="104"/>
      <c r="D616" s="104"/>
      <c r="E616" s="105"/>
      <c r="F616" s="104"/>
      <c r="G616" s="104"/>
      <c r="H616" s="104"/>
    </row>
    <row r="617" spans="1:8" ht="14.25" x14ac:dyDescent="0.2">
      <c r="A617" s="104"/>
      <c r="B617" s="104"/>
      <c r="C617" s="104"/>
      <c r="D617" s="104"/>
      <c r="E617" s="105"/>
      <c r="F617" s="104"/>
      <c r="G617" s="104"/>
      <c r="H617" s="104"/>
    </row>
    <row r="618" spans="1:8" ht="14.25" x14ac:dyDescent="0.2">
      <c r="A618" s="104"/>
      <c r="B618" s="104"/>
      <c r="C618" s="104"/>
      <c r="D618" s="104"/>
      <c r="E618" s="105"/>
      <c r="F618" s="104"/>
      <c r="G618" s="104"/>
      <c r="H618" s="104"/>
    </row>
    <row r="619" spans="1:8" ht="14.25" x14ac:dyDescent="0.2">
      <c r="A619" s="104"/>
      <c r="B619" s="104"/>
      <c r="C619" s="104"/>
      <c r="D619" s="104"/>
      <c r="E619" s="105"/>
      <c r="F619" s="104"/>
      <c r="G619" s="104"/>
      <c r="H619" s="104"/>
    </row>
    <row r="620" spans="1:8" ht="14.25" x14ac:dyDescent="0.2">
      <c r="A620" s="104"/>
      <c r="B620" s="104"/>
      <c r="C620" s="104"/>
      <c r="D620" s="104"/>
      <c r="E620" s="105"/>
      <c r="F620" s="104"/>
      <c r="G620" s="104"/>
      <c r="H620" s="104"/>
    </row>
    <row r="621" spans="1:8" ht="14.25" x14ac:dyDescent="0.2">
      <c r="A621" s="104"/>
      <c r="B621" s="104"/>
      <c r="C621" s="104"/>
      <c r="D621" s="104"/>
      <c r="E621" s="105"/>
      <c r="F621" s="104"/>
      <c r="G621" s="104"/>
      <c r="H621" s="104"/>
    </row>
    <row r="622" spans="1:8" ht="14.25" x14ac:dyDescent="0.2">
      <c r="A622" s="104"/>
      <c r="B622" s="104"/>
      <c r="C622" s="104"/>
      <c r="D622" s="104"/>
      <c r="E622" s="105"/>
      <c r="F622" s="104"/>
      <c r="G622" s="104"/>
      <c r="H622" s="104"/>
    </row>
    <row r="623" spans="1:8" ht="14.25" x14ac:dyDescent="0.2">
      <c r="A623" s="104"/>
      <c r="B623" s="104"/>
      <c r="C623" s="104"/>
      <c r="D623" s="104"/>
      <c r="E623" s="105"/>
      <c r="F623" s="104"/>
      <c r="G623" s="104"/>
      <c r="H623" s="104"/>
    </row>
    <row r="624" spans="1:8" ht="14.25" x14ac:dyDescent="0.2">
      <c r="A624" s="104"/>
      <c r="B624" s="104"/>
      <c r="C624" s="104"/>
      <c r="D624" s="104"/>
      <c r="E624" s="105"/>
      <c r="F624" s="104"/>
      <c r="G624" s="104"/>
      <c r="H624" s="104"/>
    </row>
    <row r="625" spans="1:8" ht="14.25" x14ac:dyDescent="0.2">
      <c r="A625" s="104"/>
      <c r="B625" s="104"/>
      <c r="C625" s="104"/>
      <c r="D625" s="104"/>
      <c r="E625" s="105"/>
      <c r="F625" s="104"/>
      <c r="G625" s="104"/>
      <c r="H625" s="104"/>
    </row>
    <row r="626" spans="1:8" ht="14.25" x14ac:dyDescent="0.2">
      <c r="A626" s="104"/>
      <c r="B626" s="104"/>
      <c r="C626" s="104"/>
      <c r="D626" s="104"/>
      <c r="E626" s="105"/>
      <c r="F626" s="104"/>
      <c r="G626" s="104"/>
      <c r="H626" s="104"/>
    </row>
    <row r="627" spans="1:8" ht="14.25" x14ac:dyDescent="0.2">
      <c r="A627" s="104"/>
      <c r="B627" s="104"/>
      <c r="C627" s="104"/>
      <c r="D627" s="104"/>
      <c r="E627" s="105"/>
      <c r="F627" s="104"/>
      <c r="G627" s="104"/>
      <c r="H627" s="104"/>
    </row>
    <row r="628" spans="1:8" ht="14.25" x14ac:dyDescent="0.2">
      <c r="A628" s="104"/>
      <c r="B628" s="104"/>
      <c r="C628" s="104"/>
      <c r="D628" s="104"/>
      <c r="E628" s="105"/>
      <c r="F628" s="104"/>
      <c r="G628" s="104"/>
      <c r="H628" s="104"/>
    </row>
    <row r="629" spans="1:8" ht="14.25" x14ac:dyDescent="0.2">
      <c r="A629" s="104"/>
      <c r="B629" s="104"/>
      <c r="C629" s="104"/>
      <c r="D629" s="104"/>
      <c r="E629" s="105"/>
      <c r="F629" s="104"/>
      <c r="G629" s="104"/>
      <c r="H629" s="104"/>
    </row>
    <row r="630" spans="1:8" ht="14.25" x14ac:dyDescent="0.2">
      <c r="A630" s="104"/>
      <c r="B630" s="104"/>
      <c r="C630" s="104"/>
      <c r="D630" s="104"/>
      <c r="E630" s="105"/>
      <c r="F630" s="104"/>
      <c r="G630" s="104"/>
      <c r="H630" s="104"/>
    </row>
    <row r="631" spans="1:8" ht="14.25" x14ac:dyDescent="0.2">
      <c r="A631" s="104"/>
      <c r="B631" s="104"/>
      <c r="C631" s="104"/>
      <c r="D631" s="104"/>
      <c r="E631" s="105"/>
      <c r="F631" s="104"/>
      <c r="G631" s="104"/>
      <c r="H631" s="104"/>
    </row>
    <row r="632" spans="1:8" ht="14.25" x14ac:dyDescent="0.2">
      <c r="A632" s="104"/>
      <c r="B632" s="104"/>
      <c r="C632" s="104"/>
      <c r="D632" s="104"/>
      <c r="E632" s="105"/>
      <c r="F632" s="104"/>
      <c r="G632" s="104"/>
      <c r="H632" s="104"/>
    </row>
    <row r="633" spans="1:8" ht="14.25" x14ac:dyDescent="0.2">
      <c r="A633" s="104"/>
      <c r="B633" s="104"/>
      <c r="C633" s="104"/>
      <c r="D633" s="104"/>
      <c r="E633" s="105"/>
      <c r="F633" s="104"/>
      <c r="G633" s="104"/>
      <c r="H633" s="104"/>
    </row>
    <row r="634" spans="1:8" ht="14.25" x14ac:dyDescent="0.2">
      <c r="A634" s="104"/>
      <c r="B634" s="104"/>
      <c r="C634" s="104"/>
      <c r="D634" s="104"/>
      <c r="E634" s="105"/>
      <c r="F634" s="104"/>
      <c r="G634" s="104"/>
      <c r="H634" s="104"/>
    </row>
    <row r="635" spans="1:8" ht="14.25" x14ac:dyDescent="0.2">
      <c r="A635" s="104"/>
      <c r="B635" s="104"/>
      <c r="C635" s="104"/>
      <c r="D635" s="104"/>
      <c r="E635" s="105"/>
      <c r="F635" s="104"/>
      <c r="G635" s="104"/>
      <c r="H635" s="104"/>
    </row>
    <row r="636" spans="1:8" ht="14.25" x14ac:dyDescent="0.2">
      <c r="A636" s="104"/>
      <c r="B636" s="104"/>
      <c r="C636" s="104"/>
      <c r="D636" s="104"/>
      <c r="E636" s="105"/>
      <c r="F636" s="104"/>
      <c r="G636" s="104"/>
      <c r="H636" s="104"/>
    </row>
    <row r="637" spans="1:8" ht="14.25" x14ac:dyDescent="0.2">
      <c r="A637" s="104"/>
      <c r="B637" s="104"/>
      <c r="C637" s="104"/>
      <c r="D637" s="104"/>
      <c r="E637" s="105"/>
      <c r="F637" s="104"/>
      <c r="G637" s="104"/>
      <c r="H637" s="104"/>
    </row>
    <row r="638" spans="1:8" ht="14.25" x14ac:dyDescent="0.2">
      <c r="A638" s="104"/>
      <c r="B638" s="104"/>
      <c r="C638" s="104"/>
      <c r="D638" s="104"/>
      <c r="E638" s="105"/>
      <c r="F638" s="104"/>
      <c r="G638" s="104"/>
      <c r="H638" s="104"/>
    </row>
    <row r="639" spans="1:8" ht="14.25" x14ac:dyDescent="0.2">
      <c r="A639" s="104"/>
      <c r="B639" s="104"/>
      <c r="C639" s="104"/>
      <c r="D639" s="104"/>
      <c r="E639" s="105"/>
      <c r="F639" s="104"/>
      <c r="G639" s="104"/>
      <c r="H639" s="104"/>
    </row>
    <row r="640" spans="1:8" ht="14.25" x14ac:dyDescent="0.2">
      <c r="A640" s="104"/>
      <c r="B640" s="104"/>
      <c r="C640" s="104"/>
      <c r="D640" s="104"/>
      <c r="E640" s="105"/>
      <c r="F640" s="104"/>
      <c r="G640" s="104"/>
      <c r="H640" s="104"/>
    </row>
    <row r="641" spans="1:8" ht="14.25" x14ac:dyDescent="0.2">
      <c r="A641" s="104"/>
      <c r="B641" s="104"/>
      <c r="C641" s="104"/>
      <c r="D641" s="104"/>
      <c r="E641" s="105"/>
      <c r="F641" s="104"/>
      <c r="G641" s="104"/>
      <c r="H641" s="104"/>
    </row>
    <row r="642" spans="1:8" ht="14.25" x14ac:dyDescent="0.2">
      <c r="A642" s="104"/>
      <c r="B642" s="104"/>
      <c r="C642" s="104"/>
      <c r="D642" s="104"/>
      <c r="E642" s="105"/>
      <c r="F642" s="104"/>
      <c r="G642" s="104"/>
      <c r="H642" s="104"/>
    </row>
    <row r="643" spans="1:8" ht="14.25" x14ac:dyDescent="0.2">
      <c r="A643" s="104"/>
      <c r="B643" s="104"/>
      <c r="C643" s="104"/>
      <c r="D643" s="104"/>
      <c r="E643" s="105"/>
      <c r="F643" s="104"/>
      <c r="G643" s="104"/>
      <c r="H643" s="104"/>
    </row>
    <row r="644" spans="1:8" ht="14.25" x14ac:dyDescent="0.2">
      <c r="A644" s="104"/>
      <c r="B644" s="104"/>
      <c r="C644" s="104"/>
      <c r="D644" s="104"/>
      <c r="E644" s="105"/>
      <c r="F644" s="104"/>
      <c r="G644" s="104"/>
      <c r="H644" s="104"/>
    </row>
    <row r="645" spans="1:8" ht="14.25" x14ac:dyDescent="0.2">
      <c r="A645" s="104"/>
      <c r="B645" s="104"/>
      <c r="C645" s="104"/>
      <c r="D645" s="104"/>
      <c r="E645" s="105"/>
      <c r="F645" s="104"/>
      <c r="G645" s="104"/>
      <c r="H645" s="104"/>
    </row>
    <row r="646" spans="1:8" ht="14.25" x14ac:dyDescent="0.2">
      <c r="A646" s="104"/>
      <c r="B646" s="104"/>
      <c r="C646" s="104"/>
      <c r="D646" s="104"/>
      <c r="E646" s="105"/>
      <c r="F646" s="104"/>
      <c r="G646" s="104"/>
      <c r="H646" s="104"/>
    </row>
    <row r="647" spans="1:8" ht="14.25" x14ac:dyDescent="0.2">
      <c r="A647" s="104"/>
      <c r="B647" s="104"/>
      <c r="C647" s="104"/>
      <c r="D647" s="104"/>
      <c r="E647" s="105"/>
      <c r="F647" s="104"/>
      <c r="G647" s="104"/>
      <c r="H647" s="104"/>
    </row>
    <row r="648" spans="1:8" ht="14.25" x14ac:dyDescent="0.2">
      <c r="A648" s="104"/>
      <c r="B648" s="104"/>
      <c r="C648" s="104"/>
      <c r="D648" s="104"/>
      <c r="E648" s="105"/>
      <c r="F648" s="104"/>
      <c r="G648" s="104"/>
      <c r="H648" s="104"/>
    </row>
    <row r="649" spans="1:8" ht="14.25" x14ac:dyDescent="0.2">
      <c r="A649" s="104"/>
      <c r="B649" s="104"/>
      <c r="C649" s="104"/>
      <c r="D649" s="104"/>
      <c r="E649" s="105"/>
      <c r="F649" s="104"/>
      <c r="G649" s="104"/>
      <c r="H649" s="104"/>
    </row>
    <row r="650" spans="1:8" ht="14.25" x14ac:dyDescent="0.2">
      <c r="A650" s="104"/>
      <c r="B650" s="104"/>
      <c r="C650" s="104"/>
      <c r="D650" s="104"/>
      <c r="E650" s="105"/>
      <c r="F650" s="104"/>
      <c r="G650" s="104"/>
      <c r="H650" s="104"/>
    </row>
    <row r="651" spans="1:8" ht="14.25" x14ac:dyDescent="0.2">
      <c r="A651" s="104"/>
      <c r="B651" s="104"/>
      <c r="C651" s="104"/>
      <c r="D651" s="104"/>
      <c r="E651" s="105"/>
      <c r="F651" s="104"/>
      <c r="G651" s="104"/>
      <c r="H651" s="104"/>
    </row>
    <row r="652" spans="1:8" ht="14.25" x14ac:dyDescent="0.2">
      <c r="A652" s="104"/>
      <c r="B652" s="104"/>
      <c r="C652" s="104"/>
      <c r="D652" s="104"/>
      <c r="E652" s="105"/>
      <c r="F652" s="104"/>
      <c r="G652" s="104"/>
      <c r="H652" s="104"/>
    </row>
    <row r="653" spans="1:8" ht="14.25" x14ac:dyDescent="0.2">
      <c r="A653" s="104"/>
      <c r="B653" s="104"/>
      <c r="C653" s="104"/>
      <c r="D653" s="104"/>
      <c r="E653" s="105"/>
      <c r="F653" s="104"/>
      <c r="G653" s="104"/>
      <c r="H653" s="104"/>
    </row>
    <row r="654" spans="1:8" ht="14.25" x14ac:dyDescent="0.2">
      <c r="A654" s="104"/>
      <c r="B654" s="104"/>
      <c r="C654" s="104"/>
      <c r="D654" s="104"/>
      <c r="E654" s="105"/>
      <c r="F654" s="104"/>
      <c r="G654" s="104"/>
      <c r="H654" s="104"/>
    </row>
    <row r="655" spans="1:8" ht="14.25" x14ac:dyDescent="0.2">
      <c r="A655" s="104"/>
      <c r="B655" s="104"/>
      <c r="C655" s="104"/>
      <c r="D655" s="104"/>
      <c r="E655" s="105"/>
      <c r="F655" s="104"/>
      <c r="G655" s="104"/>
      <c r="H655" s="104"/>
    </row>
    <row r="656" spans="1:8" ht="14.25" x14ac:dyDescent="0.2">
      <c r="A656" s="104"/>
      <c r="B656" s="104"/>
      <c r="C656" s="104"/>
      <c r="D656" s="104"/>
      <c r="E656" s="105"/>
      <c r="F656" s="104"/>
      <c r="G656" s="104"/>
      <c r="H656" s="104"/>
    </row>
    <row r="657" spans="1:8" ht="14.25" x14ac:dyDescent="0.2">
      <c r="A657" s="104"/>
      <c r="B657" s="104"/>
      <c r="C657" s="104"/>
      <c r="D657" s="104"/>
      <c r="E657" s="105"/>
      <c r="F657" s="104"/>
      <c r="G657" s="104"/>
      <c r="H657" s="104"/>
    </row>
    <row r="658" spans="1:8" ht="14.25" x14ac:dyDescent="0.2">
      <c r="A658" s="104"/>
      <c r="B658" s="104"/>
      <c r="C658" s="104"/>
      <c r="D658" s="104"/>
      <c r="E658" s="105"/>
      <c r="F658" s="104"/>
      <c r="G658" s="104"/>
      <c r="H658" s="104"/>
    </row>
    <row r="659" spans="1:8" ht="14.25" x14ac:dyDescent="0.2">
      <c r="A659" s="104"/>
      <c r="B659" s="104"/>
      <c r="C659" s="104"/>
      <c r="D659" s="104"/>
      <c r="E659" s="105"/>
      <c r="F659" s="104"/>
      <c r="G659" s="104"/>
      <c r="H659" s="104"/>
    </row>
    <row r="660" spans="1:8" ht="14.25" x14ac:dyDescent="0.2">
      <c r="A660" s="104"/>
      <c r="B660" s="104"/>
      <c r="C660" s="104"/>
      <c r="D660" s="104"/>
      <c r="E660" s="105"/>
      <c r="F660" s="104"/>
      <c r="G660" s="104"/>
      <c r="H660" s="104"/>
    </row>
    <row r="661" spans="1:8" ht="14.25" x14ac:dyDescent="0.2">
      <c r="A661" s="104"/>
      <c r="B661" s="104"/>
      <c r="C661" s="104"/>
      <c r="D661" s="104"/>
      <c r="E661" s="105"/>
      <c r="F661" s="104"/>
      <c r="G661" s="104"/>
      <c r="H661" s="104"/>
    </row>
    <row r="662" spans="1:8" ht="14.25" x14ac:dyDescent="0.2">
      <c r="A662" s="104"/>
      <c r="B662" s="104"/>
      <c r="C662" s="104"/>
      <c r="D662" s="104"/>
      <c r="E662" s="105"/>
      <c r="F662" s="104"/>
      <c r="G662" s="104"/>
      <c r="H662" s="104"/>
    </row>
    <row r="663" spans="1:8" ht="14.25" x14ac:dyDescent="0.2">
      <c r="A663" s="104"/>
      <c r="B663" s="104"/>
      <c r="C663" s="104"/>
      <c r="D663" s="104"/>
      <c r="E663" s="105"/>
      <c r="F663" s="104"/>
      <c r="G663" s="104"/>
      <c r="H663" s="104"/>
    </row>
    <row r="664" spans="1:8" ht="14.25" x14ac:dyDescent="0.2">
      <c r="A664" s="104"/>
      <c r="B664" s="104"/>
      <c r="C664" s="104"/>
      <c r="D664" s="104"/>
      <c r="E664" s="105"/>
      <c r="F664" s="104"/>
      <c r="G664" s="104"/>
      <c r="H664" s="104"/>
    </row>
    <row r="665" spans="1:8" ht="14.25" x14ac:dyDescent="0.2">
      <c r="A665" s="104"/>
      <c r="B665" s="104"/>
      <c r="C665" s="104"/>
      <c r="D665" s="104"/>
      <c r="E665" s="105"/>
      <c r="F665" s="104"/>
      <c r="G665" s="104"/>
      <c r="H665" s="104"/>
    </row>
    <row r="666" spans="1:8" ht="14.25" x14ac:dyDescent="0.2">
      <c r="A666" s="104"/>
      <c r="B666" s="104"/>
      <c r="C666" s="104"/>
      <c r="D666" s="104"/>
      <c r="E666" s="105"/>
      <c r="F666" s="104"/>
      <c r="G666" s="104"/>
      <c r="H666" s="104"/>
    </row>
    <row r="667" spans="1:8" ht="14.25" x14ac:dyDescent="0.2">
      <c r="A667" s="104"/>
      <c r="B667" s="104"/>
      <c r="C667" s="104"/>
      <c r="D667" s="104"/>
      <c r="E667" s="105"/>
      <c r="F667" s="104"/>
      <c r="G667" s="104"/>
      <c r="H667" s="104"/>
    </row>
    <row r="668" spans="1:8" ht="14.25" x14ac:dyDescent="0.2">
      <c r="A668" s="104"/>
      <c r="B668" s="104"/>
      <c r="C668" s="104"/>
      <c r="D668" s="104"/>
      <c r="E668" s="105"/>
      <c r="F668" s="104"/>
      <c r="G668" s="104"/>
      <c r="H668" s="104"/>
    </row>
    <row r="669" spans="1:8" ht="14.25" x14ac:dyDescent="0.2">
      <c r="A669" s="104"/>
      <c r="B669" s="104"/>
      <c r="C669" s="104"/>
      <c r="D669" s="104"/>
      <c r="E669" s="105"/>
      <c r="F669" s="104"/>
      <c r="G669" s="104"/>
      <c r="H669" s="104"/>
    </row>
    <row r="670" spans="1:8" ht="14.25" x14ac:dyDescent="0.2">
      <c r="A670" s="104"/>
      <c r="B670" s="104"/>
      <c r="C670" s="104"/>
      <c r="D670" s="104"/>
      <c r="E670" s="105"/>
      <c r="F670" s="104"/>
      <c r="G670" s="104"/>
      <c r="H670" s="104"/>
    </row>
    <row r="671" spans="1:8" ht="14.25" x14ac:dyDescent="0.2">
      <c r="A671" s="104"/>
      <c r="B671" s="104"/>
      <c r="C671" s="104"/>
      <c r="D671" s="104"/>
      <c r="E671" s="105"/>
      <c r="F671" s="104"/>
      <c r="G671" s="104"/>
      <c r="H671" s="104"/>
    </row>
    <row r="672" spans="1:8" ht="14.25" x14ac:dyDescent="0.2">
      <c r="A672" s="104"/>
      <c r="B672" s="104"/>
      <c r="C672" s="104"/>
      <c r="D672" s="104"/>
      <c r="E672" s="105"/>
      <c r="F672" s="104"/>
      <c r="G672" s="104"/>
      <c r="H672" s="104"/>
    </row>
    <row r="673" spans="1:8" ht="14.25" x14ac:dyDescent="0.2">
      <c r="A673" s="104"/>
      <c r="B673" s="104"/>
      <c r="C673" s="104"/>
      <c r="D673" s="104"/>
      <c r="E673" s="105"/>
      <c r="F673" s="104"/>
      <c r="G673" s="104"/>
      <c r="H673" s="104"/>
    </row>
    <row r="674" spans="1:8" ht="14.25" x14ac:dyDescent="0.2">
      <c r="A674" s="104"/>
      <c r="B674" s="104"/>
      <c r="C674" s="104"/>
      <c r="D674" s="104"/>
      <c r="E674" s="105"/>
      <c r="F674" s="104"/>
      <c r="G674" s="104"/>
      <c r="H674" s="104"/>
    </row>
    <row r="675" spans="1:8" ht="14.25" x14ac:dyDescent="0.2">
      <c r="A675" s="104"/>
      <c r="B675" s="104"/>
      <c r="C675" s="104"/>
      <c r="D675" s="104"/>
      <c r="E675" s="105"/>
      <c r="F675" s="104"/>
      <c r="G675" s="104"/>
      <c r="H675" s="104"/>
    </row>
    <row r="676" spans="1:8" ht="14.25" x14ac:dyDescent="0.2">
      <c r="A676" s="104"/>
      <c r="B676" s="104"/>
      <c r="C676" s="104"/>
      <c r="D676" s="104"/>
      <c r="E676" s="105"/>
      <c r="F676" s="104"/>
      <c r="G676" s="104"/>
      <c r="H676" s="104"/>
    </row>
    <row r="677" spans="1:8" ht="14.25" x14ac:dyDescent="0.2">
      <c r="A677" s="104"/>
      <c r="B677" s="104"/>
      <c r="C677" s="104"/>
      <c r="D677" s="104"/>
      <c r="E677" s="105"/>
      <c r="F677" s="104"/>
      <c r="G677" s="104"/>
      <c r="H677" s="104"/>
    </row>
    <row r="678" spans="1:8" ht="14.25" x14ac:dyDescent="0.2">
      <c r="A678" s="104"/>
      <c r="B678" s="104"/>
      <c r="C678" s="104"/>
      <c r="D678" s="104"/>
      <c r="E678" s="105"/>
      <c r="F678" s="104"/>
      <c r="G678" s="104"/>
      <c r="H678" s="104"/>
    </row>
    <row r="679" spans="1:8" ht="14.25" x14ac:dyDescent="0.2">
      <c r="A679" s="104"/>
      <c r="B679" s="104"/>
      <c r="C679" s="104"/>
      <c r="D679" s="104"/>
      <c r="E679" s="105"/>
      <c r="F679" s="104"/>
      <c r="G679" s="104"/>
      <c r="H679" s="104"/>
    </row>
    <row r="680" spans="1:8" ht="14.25" x14ac:dyDescent="0.2">
      <c r="A680" s="104"/>
      <c r="B680" s="104"/>
      <c r="C680" s="104"/>
      <c r="D680" s="104"/>
      <c r="E680" s="105"/>
      <c r="F680" s="104"/>
      <c r="G680" s="104"/>
      <c r="H680" s="104"/>
    </row>
    <row r="681" spans="1:8" ht="14.25" x14ac:dyDescent="0.2">
      <c r="A681" s="104"/>
      <c r="B681" s="104"/>
      <c r="C681" s="104"/>
      <c r="D681" s="104"/>
      <c r="E681" s="105"/>
      <c r="F681" s="104"/>
      <c r="G681" s="104"/>
      <c r="H681" s="104"/>
    </row>
    <row r="682" spans="1:8" ht="14.25" x14ac:dyDescent="0.2">
      <c r="A682" s="104"/>
      <c r="B682" s="104"/>
      <c r="C682" s="104"/>
      <c r="D682" s="104"/>
      <c r="E682" s="105"/>
      <c r="F682" s="104"/>
      <c r="G682" s="104"/>
      <c r="H682" s="104"/>
    </row>
    <row r="683" spans="1:8" ht="14.25" x14ac:dyDescent="0.2">
      <c r="A683" s="104"/>
      <c r="B683" s="104"/>
      <c r="C683" s="104"/>
      <c r="D683" s="104"/>
      <c r="E683" s="105"/>
      <c r="F683" s="104"/>
      <c r="G683" s="104"/>
      <c r="H683" s="104"/>
    </row>
    <row r="684" spans="1:8" ht="14.25" x14ac:dyDescent="0.2">
      <c r="A684" s="104"/>
      <c r="B684" s="104"/>
      <c r="C684" s="104"/>
      <c r="D684" s="104"/>
      <c r="E684" s="105"/>
      <c r="F684" s="104"/>
      <c r="G684" s="104"/>
      <c r="H684" s="104"/>
    </row>
    <row r="685" spans="1:8" ht="14.25" x14ac:dyDescent="0.2">
      <c r="A685" s="104"/>
      <c r="B685" s="104"/>
      <c r="C685" s="104"/>
      <c r="D685" s="104"/>
      <c r="E685" s="105"/>
      <c r="F685" s="104"/>
      <c r="G685" s="104"/>
      <c r="H685" s="104"/>
    </row>
    <row r="686" spans="1:8" ht="14.25" x14ac:dyDescent="0.2">
      <c r="A686" s="104"/>
      <c r="B686" s="104"/>
      <c r="C686" s="104"/>
      <c r="D686" s="104"/>
      <c r="E686" s="105"/>
      <c r="F686" s="104"/>
      <c r="G686" s="104"/>
      <c r="H686" s="104"/>
    </row>
    <row r="687" spans="1:8" ht="14.25" x14ac:dyDescent="0.2">
      <c r="A687" s="104"/>
      <c r="B687" s="104"/>
      <c r="C687" s="104"/>
      <c r="D687" s="104"/>
      <c r="E687" s="105"/>
      <c r="F687" s="104"/>
      <c r="G687" s="104"/>
      <c r="H687" s="104"/>
    </row>
    <row r="688" spans="1:8" ht="14.25" x14ac:dyDescent="0.2">
      <c r="A688" s="104"/>
      <c r="B688" s="104"/>
      <c r="C688" s="104"/>
      <c r="D688" s="104"/>
      <c r="E688" s="105"/>
      <c r="F688" s="104"/>
      <c r="G688" s="104"/>
      <c r="H688" s="104"/>
    </row>
    <row r="689" spans="1:8" ht="14.25" x14ac:dyDescent="0.2">
      <c r="A689" s="104"/>
      <c r="B689" s="104"/>
      <c r="C689" s="104"/>
      <c r="D689" s="104"/>
      <c r="E689" s="105"/>
      <c r="F689" s="104"/>
      <c r="G689" s="104"/>
      <c r="H689" s="104"/>
    </row>
    <row r="690" spans="1:8" ht="14.25" x14ac:dyDescent="0.2">
      <c r="A690" s="104"/>
      <c r="B690" s="104"/>
      <c r="C690" s="104"/>
      <c r="D690" s="104"/>
      <c r="E690" s="105"/>
      <c r="F690" s="104"/>
      <c r="G690" s="104"/>
      <c r="H690" s="104"/>
    </row>
    <row r="691" spans="1:8" ht="14.25" x14ac:dyDescent="0.2">
      <c r="A691" s="104"/>
      <c r="B691" s="104"/>
      <c r="C691" s="104"/>
      <c r="D691" s="104"/>
      <c r="E691" s="105"/>
      <c r="F691" s="104"/>
      <c r="G691" s="104"/>
      <c r="H691" s="104"/>
    </row>
    <row r="692" spans="1:8" ht="14.25" x14ac:dyDescent="0.2">
      <c r="A692" s="104"/>
      <c r="B692" s="104"/>
      <c r="C692" s="104"/>
      <c r="D692" s="104"/>
      <c r="E692" s="105"/>
      <c r="F692" s="104"/>
      <c r="G692" s="104"/>
      <c r="H692" s="104"/>
    </row>
    <row r="693" spans="1:8" ht="14.25" x14ac:dyDescent="0.2">
      <c r="A693" s="104"/>
      <c r="B693" s="104"/>
      <c r="C693" s="104"/>
      <c r="D693" s="104"/>
      <c r="E693" s="105"/>
      <c r="F693" s="104"/>
      <c r="G693" s="104"/>
      <c r="H693" s="104"/>
    </row>
    <row r="694" spans="1:8" ht="14.25" x14ac:dyDescent="0.2">
      <c r="A694" s="104"/>
      <c r="B694" s="104"/>
      <c r="C694" s="104"/>
      <c r="D694" s="104"/>
      <c r="E694" s="105"/>
      <c r="F694" s="104"/>
      <c r="G694" s="104"/>
      <c r="H694" s="104"/>
    </row>
    <row r="695" spans="1:8" ht="14.25" x14ac:dyDescent="0.2">
      <c r="A695" s="104"/>
      <c r="B695" s="104"/>
      <c r="C695" s="104"/>
      <c r="D695" s="104"/>
      <c r="E695" s="105"/>
      <c r="F695" s="104"/>
      <c r="G695" s="104"/>
      <c r="H695" s="104"/>
    </row>
    <row r="696" spans="1:8" ht="14.25" x14ac:dyDescent="0.2">
      <c r="A696" s="104"/>
      <c r="B696" s="104"/>
      <c r="C696" s="104"/>
      <c r="D696" s="104"/>
      <c r="E696" s="105"/>
      <c r="F696" s="104"/>
      <c r="G696" s="104"/>
      <c r="H696" s="104"/>
    </row>
    <row r="697" spans="1:8" ht="14.25" x14ac:dyDescent="0.2">
      <c r="A697" s="104"/>
      <c r="B697" s="104"/>
      <c r="C697" s="104"/>
      <c r="D697" s="104"/>
      <c r="E697" s="105"/>
      <c r="F697" s="104"/>
      <c r="G697" s="104"/>
      <c r="H697" s="104"/>
    </row>
    <row r="698" spans="1:8" ht="14.25" x14ac:dyDescent="0.2">
      <c r="A698" s="104"/>
      <c r="B698" s="104"/>
      <c r="C698" s="104"/>
      <c r="D698" s="104"/>
      <c r="E698" s="105"/>
      <c r="F698" s="104"/>
      <c r="G698" s="104"/>
      <c r="H698" s="104"/>
    </row>
    <row r="699" spans="1:8" ht="14.25" x14ac:dyDescent="0.2">
      <c r="A699" s="104"/>
      <c r="B699" s="104"/>
      <c r="C699" s="104"/>
      <c r="D699" s="104"/>
      <c r="E699" s="105"/>
      <c r="F699" s="104"/>
      <c r="G699" s="104"/>
      <c r="H699" s="104"/>
    </row>
    <row r="700" spans="1:8" ht="14.25" x14ac:dyDescent="0.2">
      <c r="A700" s="104"/>
      <c r="B700" s="104"/>
      <c r="C700" s="104"/>
      <c r="D700" s="104"/>
      <c r="E700" s="105"/>
      <c r="F700" s="104"/>
      <c r="G700" s="104"/>
      <c r="H700" s="104"/>
    </row>
    <row r="701" spans="1:8" ht="14.25" x14ac:dyDescent="0.2">
      <c r="A701" s="104"/>
      <c r="B701" s="104"/>
      <c r="C701" s="104"/>
      <c r="D701" s="104"/>
      <c r="E701" s="105"/>
      <c r="F701" s="104"/>
      <c r="G701" s="104"/>
      <c r="H701" s="104"/>
    </row>
    <row r="702" spans="1:8" ht="14.25" x14ac:dyDescent="0.2">
      <c r="A702" s="104"/>
      <c r="B702" s="104"/>
      <c r="C702" s="104"/>
      <c r="D702" s="104"/>
      <c r="E702" s="105"/>
      <c r="F702" s="104"/>
      <c r="G702" s="104"/>
      <c r="H702" s="104"/>
    </row>
    <row r="703" spans="1:8" ht="14.25" x14ac:dyDescent="0.2">
      <c r="A703" s="104"/>
      <c r="B703" s="104"/>
      <c r="C703" s="104"/>
      <c r="D703" s="104"/>
      <c r="E703" s="105"/>
      <c r="F703" s="104"/>
      <c r="G703" s="104"/>
      <c r="H703" s="104"/>
    </row>
    <row r="704" spans="1:8" ht="14.25" x14ac:dyDescent="0.2">
      <c r="A704" s="104"/>
      <c r="B704" s="104"/>
      <c r="C704" s="104"/>
      <c r="D704" s="104"/>
      <c r="E704" s="105"/>
      <c r="F704" s="104"/>
      <c r="G704" s="104"/>
      <c r="H704" s="104"/>
    </row>
    <row r="705" spans="1:8" ht="14.25" x14ac:dyDescent="0.2">
      <c r="A705" s="104"/>
      <c r="B705" s="104"/>
      <c r="C705" s="104"/>
      <c r="D705" s="104"/>
      <c r="E705" s="105"/>
      <c r="F705" s="104"/>
      <c r="G705" s="104"/>
      <c r="H705" s="104"/>
    </row>
    <row r="706" spans="1:8" ht="14.25" x14ac:dyDescent="0.2">
      <c r="A706" s="104"/>
      <c r="B706" s="104"/>
      <c r="C706" s="104"/>
      <c r="D706" s="104"/>
      <c r="E706" s="105"/>
      <c r="F706" s="104"/>
      <c r="G706" s="104"/>
      <c r="H706" s="104"/>
    </row>
    <row r="707" spans="1:8" ht="14.25" x14ac:dyDescent="0.2">
      <c r="A707" s="104"/>
      <c r="B707" s="104"/>
      <c r="C707" s="104"/>
      <c r="D707" s="104"/>
      <c r="E707" s="105"/>
      <c r="F707" s="104"/>
      <c r="G707" s="104"/>
      <c r="H707" s="104"/>
    </row>
    <row r="708" spans="1:8" ht="14.25" x14ac:dyDescent="0.2">
      <c r="A708" s="104"/>
      <c r="B708" s="104"/>
      <c r="C708" s="104"/>
      <c r="D708" s="104"/>
      <c r="E708" s="105"/>
      <c r="F708" s="104"/>
      <c r="G708" s="104"/>
      <c r="H708" s="104"/>
    </row>
    <row r="709" spans="1:8" ht="14.25" x14ac:dyDescent="0.2">
      <c r="A709" s="104"/>
      <c r="B709" s="104"/>
      <c r="C709" s="104"/>
      <c r="D709" s="104"/>
      <c r="E709" s="105"/>
      <c r="F709" s="104"/>
      <c r="G709" s="104"/>
      <c r="H709" s="104"/>
    </row>
    <row r="710" spans="1:8" ht="14.25" x14ac:dyDescent="0.2">
      <c r="A710" s="104"/>
      <c r="B710" s="104"/>
      <c r="C710" s="104"/>
      <c r="D710" s="104"/>
      <c r="E710" s="105"/>
      <c r="F710" s="104"/>
      <c r="G710" s="104"/>
      <c r="H710" s="104"/>
    </row>
    <row r="711" spans="1:8" ht="14.25" x14ac:dyDescent="0.2">
      <c r="A711" s="104"/>
      <c r="B711" s="104"/>
      <c r="C711" s="104"/>
      <c r="D711" s="104"/>
      <c r="E711" s="105"/>
      <c r="F711" s="104"/>
      <c r="G711" s="104"/>
      <c r="H711" s="104"/>
    </row>
    <row r="712" spans="1:8" ht="14.25" x14ac:dyDescent="0.2">
      <c r="A712" s="104"/>
      <c r="B712" s="104"/>
      <c r="C712" s="104"/>
      <c r="D712" s="104"/>
      <c r="E712" s="105"/>
      <c r="F712" s="104"/>
      <c r="G712" s="104"/>
      <c r="H712" s="104"/>
    </row>
    <row r="713" spans="1:8" ht="14.25" x14ac:dyDescent="0.2">
      <c r="A713" s="104"/>
      <c r="B713" s="104"/>
      <c r="C713" s="104"/>
      <c r="D713" s="104"/>
      <c r="E713" s="105"/>
      <c r="F713" s="104"/>
      <c r="G713" s="104"/>
      <c r="H713" s="104"/>
    </row>
    <row r="714" spans="1:8" ht="14.25" x14ac:dyDescent="0.2">
      <c r="A714" s="104"/>
      <c r="B714" s="104"/>
      <c r="C714" s="104"/>
      <c r="D714" s="104"/>
      <c r="E714" s="105"/>
      <c r="F714" s="104"/>
      <c r="G714" s="104"/>
      <c r="H714" s="104"/>
    </row>
    <row r="715" spans="1:8" ht="14.25" x14ac:dyDescent="0.2">
      <c r="A715" s="104"/>
      <c r="B715" s="104"/>
      <c r="C715" s="104"/>
      <c r="D715" s="104"/>
      <c r="E715" s="105"/>
      <c r="F715" s="104"/>
      <c r="G715" s="104"/>
      <c r="H715" s="104"/>
    </row>
    <row r="716" spans="1:8" ht="14.25" x14ac:dyDescent="0.2">
      <c r="A716" s="104"/>
      <c r="B716" s="104"/>
      <c r="C716" s="104"/>
      <c r="D716" s="104"/>
      <c r="E716" s="105"/>
      <c r="F716" s="104"/>
      <c r="G716" s="104"/>
      <c r="H716" s="104"/>
    </row>
    <row r="717" spans="1:8" ht="14.25" x14ac:dyDescent="0.2">
      <c r="A717" s="104"/>
      <c r="B717" s="104"/>
      <c r="C717" s="104"/>
      <c r="D717" s="104"/>
      <c r="E717" s="105"/>
      <c r="F717" s="104"/>
      <c r="G717" s="104"/>
      <c r="H717" s="104"/>
    </row>
    <row r="718" spans="1:8" ht="14.25" x14ac:dyDescent="0.2">
      <c r="A718" s="104"/>
      <c r="B718" s="104"/>
      <c r="C718" s="104"/>
      <c r="D718" s="104"/>
      <c r="E718" s="105"/>
      <c r="F718" s="104"/>
      <c r="G718" s="104"/>
      <c r="H718" s="104"/>
    </row>
    <row r="719" spans="1:8" ht="14.25" x14ac:dyDescent="0.2">
      <c r="A719" s="104"/>
      <c r="B719" s="104"/>
      <c r="C719" s="104"/>
      <c r="D719" s="104"/>
      <c r="E719" s="105"/>
      <c r="F719" s="104"/>
      <c r="G719" s="104"/>
      <c r="H719" s="104"/>
    </row>
    <row r="720" spans="1:8" ht="14.25" x14ac:dyDescent="0.2">
      <c r="A720" s="104"/>
      <c r="B720" s="104"/>
      <c r="C720" s="104"/>
      <c r="D720" s="104"/>
      <c r="E720" s="105"/>
      <c r="F720" s="104"/>
      <c r="G720" s="104"/>
      <c r="H720" s="104"/>
    </row>
    <row r="721" spans="1:8" ht="14.25" x14ac:dyDescent="0.2">
      <c r="A721" s="104"/>
      <c r="B721" s="104"/>
      <c r="C721" s="104"/>
      <c r="D721" s="104"/>
      <c r="E721" s="105"/>
      <c r="F721" s="104"/>
      <c r="G721" s="104"/>
      <c r="H721" s="104"/>
    </row>
    <row r="722" spans="1:8" ht="14.25" x14ac:dyDescent="0.2">
      <c r="A722" s="104"/>
      <c r="B722" s="104"/>
      <c r="C722" s="104"/>
      <c r="D722" s="104"/>
      <c r="E722" s="105"/>
      <c r="F722" s="104"/>
      <c r="G722" s="104"/>
      <c r="H722" s="104"/>
    </row>
    <row r="723" spans="1:8" ht="14.25" x14ac:dyDescent="0.2">
      <c r="A723" s="104"/>
      <c r="B723" s="104"/>
      <c r="C723" s="104"/>
      <c r="D723" s="104"/>
      <c r="E723" s="105"/>
      <c r="F723" s="104"/>
      <c r="G723" s="104"/>
      <c r="H723" s="104"/>
    </row>
    <row r="724" spans="1:8" ht="14.25" x14ac:dyDescent="0.2">
      <c r="A724" s="104"/>
      <c r="B724" s="104"/>
      <c r="C724" s="104"/>
      <c r="D724" s="104"/>
      <c r="E724" s="105"/>
      <c r="F724" s="104"/>
      <c r="G724" s="104"/>
      <c r="H724" s="104"/>
    </row>
    <row r="725" spans="1:8" ht="14.25" x14ac:dyDescent="0.2">
      <c r="A725" s="104"/>
      <c r="B725" s="104"/>
      <c r="C725" s="104"/>
      <c r="D725" s="104"/>
      <c r="E725" s="105"/>
      <c r="F725" s="104"/>
      <c r="G725" s="104"/>
      <c r="H725" s="104"/>
    </row>
    <row r="726" spans="1:8" ht="14.25" x14ac:dyDescent="0.2">
      <c r="A726" s="104"/>
      <c r="B726" s="104"/>
      <c r="C726" s="104"/>
      <c r="D726" s="104"/>
      <c r="E726" s="105"/>
      <c r="F726" s="104"/>
      <c r="G726" s="104"/>
      <c r="H726" s="104"/>
    </row>
    <row r="727" spans="1:8" ht="14.25" x14ac:dyDescent="0.2">
      <c r="A727" s="104"/>
      <c r="B727" s="104"/>
      <c r="C727" s="104"/>
      <c r="D727" s="104"/>
      <c r="E727" s="105"/>
      <c r="F727" s="104"/>
      <c r="G727" s="104"/>
      <c r="H727" s="104"/>
    </row>
    <row r="728" spans="1:8" ht="14.25" x14ac:dyDescent="0.2">
      <c r="A728" s="104"/>
      <c r="B728" s="104"/>
      <c r="C728" s="104"/>
      <c r="D728" s="104"/>
      <c r="E728" s="105"/>
      <c r="F728" s="104"/>
      <c r="G728" s="104"/>
      <c r="H728" s="104"/>
    </row>
    <row r="729" spans="1:8" ht="14.25" x14ac:dyDescent="0.2">
      <c r="A729" s="104"/>
      <c r="B729" s="104"/>
      <c r="C729" s="104"/>
      <c r="D729" s="104"/>
      <c r="E729" s="105"/>
      <c r="F729" s="104"/>
      <c r="G729" s="104"/>
      <c r="H729" s="104"/>
    </row>
    <row r="730" spans="1:8" ht="14.25" x14ac:dyDescent="0.2">
      <c r="A730" s="104"/>
      <c r="B730" s="104"/>
      <c r="C730" s="104"/>
      <c r="D730" s="104"/>
      <c r="E730" s="105"/>
      <c r="F730" s="104"/>
      <c r="G730" s="104"/>
      <c r="H730" s="104"/>
    </row>
    <row r="731" spans="1:8" ht="14.25" x14ac:dyDescent="0.2">
      <c r="A731" s="104"/>
      <c r="B731" s="104"/>
      <c r="C731" s="104"/>
      <c r="D731" s="104"/>
      <c r="E731" s="105"/>
      <c r="F731" s="104"/>
      <c r="G731" s="104"/>
      <c r="H731" s="104"/>
    </row>
    <row r="732" spans="1:8" ht="14.25" x14ac:dyDescent="0.2">
      <c r="A732" s="104"/>
      <c r="B732" s="104"/>
      <c r="C732" s="104"/>
      <c r="D732" s="104"/>
      <c r="E732" s="105"/>
      <c r="F732" s="104"/>
      <c r="G732" s="104"/>
      <c r="H732" s="104"/>
    </row>
    <row r="733" spans="1:8" ht="14.25" x14ac:dyDescent="0.2">
      <c r="A733" s="104"/>
      <c r="B733" s="104"/>
      <c r="C733" s="104"/>
      <c r="D733" s="104"/>
      <c r="E733" s="105"/>
      <c r="F733" s="104"/>
      <c r="G733" s="104"/>
      <c r="H733" s="104"/>
    </row>
    <row r="734" spans="1:8" ht="14.25" x14ac:dyDescent="0.2">
      <c r="A734" s="104"/>
      <c r="B734" s="104"/>
      <c r="C734" s="104"/>
      <c r="D734" s="104"/>
      <c r="E734" s="105"/>
      <c r="F734" s="104"/>
      <c r="G734" s="104"/>
      <c r="H734" s="104"/>
    </row>
    <row r="735" spans="1:8" ht="14.25" x14ac:dyDescent="0.2">
      <c r="A735" s="104"/>
      <c r="B735" s="104"/>
      <c r="C735" s="104"/>
      <c r="D735" s="104"/>
      <c r="E735" s="105"/>
      <c r="F735" s="104"/>
      <c r="G735" s="104"/>
      <c r="H735" s="104"/>
    </row>
    <row r="736" spans="1:8" ht="14.25" x14ac:dyDescent="0.2">
      <c r="A736" s="104"/>
      <c r="B736" s="104"/>
      <c r="C736" s="104"/>
      <c r="D736" s="104"/>
      <c r="E736" s="105"/>
      <c r="F736" s="104"/>
      <c r="G736" s="104"/>
      <c r="H736" s="104"/>
    </row>
    <row r="737" spans="1:8" ht="14.25" x14ac:dyDescent="0.2">
      <c r="A737" s="104"/>
      <c r="B737" s="104"/>
      <c r="C737" s="104"/>
      <c r="D737" s="104"/>
      <c r="E737" s="105"/>
      <c r="F737" s="104"/>
      <c r="G737" s="104"/>
      <c r="H737" s="104"/>
    </row>
    <row r="738" spans="1:8" ht="14.25" x14ac:dyDescent="0.2">
      <c r="A738" s="104"/>
      <c r="B738" s="104"/>
      <c r="C738" s="104"/>
      <c r="D738" s="104"/>
      <c r="E738" s="105"/>
      <c r="F738" s="104"/>
      <c r="G738" s="104"/>
      <c r="H738" s="104"/>
    </row>
    <row r="739" spans="1:8" ht="14.25" x14ac:dyDescent="0.2">
      <c r="A739" s="104"/>
      <c r="B739" s="104"/>
      <c r="C739" s="104"/>
      <c r="D739" s="104"/>
      <c r="E739" s="105"/>
      <c r="F739" s="104"/>
      <c r="G739" s="104"/>
      <c r="H739" s="104"/>
    </row>
    <row r="740" spans="1:8" ht="14.25" x14ac:dyDescent="0.2">
      <c r="A740" s="104"/>
      <c r="B740" s="104"/>
      <c r="C740" s="104"/>
      <c r="D740" s="104"/>
      <c r="E740" s="105"/>
      <c r="F740" s="104"/>
      <c r="G740" s="104"/>
      <c r="H740" s="104"/>
    </row>
    <row r="741" spans="1:8" ht="14.25" x14ac:dyDescent="0.2">
      <c r="A741" s="104"/>
      <c r="B741" s="104"/>
      <c r="C741" s="104"/>
      <c r="D741" s="104"/>
      <c r="E741" s="105"/>
      <c r="F741" s="104"/>
      <c r="G741" s="104"/>
      <c r="H741" s="104"/>
    </row>
    <row r="742" spans="1:8" ht="14.25" x14ac:dyDescent="0.2">
      <c r="A742" s="104"/>
      <c r="B742" s="104"/>
      <c r="C742" s="104"/>
      <c r="D742" s="104"/>
      <c r="E742" s="105"/>
      <c r="F742" s="104"/>
      <c r="G742" s="104"/>
      <c r="H742" s="104"/>
    </row>
    <row r="743" spans="1:8" ht="14.25" x14ac:dyDescent="0.2">
      <c r="A743" s="104"/>
      <c r="B743" s="104"/>
      <c r="C743" s="104"/>
      <c r="D743" s="104"/>
      <c r="E743" s="105"/>
      <c r="F743" s="104"/>
      <c r="G743" s="104"/>
      <c r="H743" s="104"/>
    </row>
    <row r="744" spans="1:8" ht="14.25" x14ac:dyDescent="0.2">
      <c r="A744" s="104"/>
      <c r="B744" s="104"/>
      <c r="C744" s="104"/>
      <c r="D744" s="104"/>
      <c r="E744" s="105"/>
      <c r="F744" s="104"/>
      <c r="G744" s="104"/>
      <c r="H744" s="104"/>
    </row>
    <row r="745" spans="1:8" ht="14.25" x14ac:dyDescent="0.2">
      <c r="A745" s="104"/>
      <c r="B745" s="104"/>
      <c r="C745" s="104"/>
      <c r="D745" s="104"/>
      <c r="E745" s="105"/>
      <c r="F745" s="104"/>
      <c r="G745" s="104"/>
      <c r="H745" s="104"/>
    </row>
    <row r="746" spans="1:8" ht="14.25" x14ac:dyDescent="0.2">
      <c r="A746" s="104"/>
      <c r="B746" s="104"/>
      <c r="C746" s="104"/>
      <c r="D746" s="104"/>
      <c r="E746" s="105"/>
      <c r="F746" s="104"/>
      <c r="G746" s="104"/>
      <c r="H746" s="104"/>
    </row>
    <row r="747" spans="1:8" ht="14.25" x14ac:dyDescent="0.2">
      <c r="A747" s="104"/>
      <c r="B747" s="104"/>
      <c r="C747" s="104"/>
      <c r="D747" s="104"/>
      <c r="E747" s="105"/>
      <c r="F747" s="104"/>
      <c r="G747" s="104"/>
      <c r="H747" s="104"/>
    </row>
    <row r="748" spans="1:8" ht="14.25" x14ac:dyDescent="0.2">
      <c r="A748" s="104"/>
      <c r="B748" s="104"/>
      <c r="C748" s="104"/>
      <c r="D748" s="104"/>
      <c r="E748" s="105"/>
      <c r="F748" s="104"/>
      <c r="G748" s="104"/>
      <c r="H748" s="104"/>
    </row>
    <row r="749" spans="1:8" ht="14.25" x14ac:dyDescent="0.2">
      <c r="A749" s="104"/>
      <c r="B749" s="104"/>
      <c r="C749" s="104"/>
      <c r="D749" s="104"/>
      <c r="E749" s="105"/>
      <c r="F749" s="104"/>
      <c r="G749" s="104"/>
      <c r="H749" s="104"/>
    </row>
    <row r="750" spans="1:8" ht="14.25" x14ac:dyDescent="0.2">
      <c r="A750" s="104"/>
      <c r="B750" s="104"/>
      <c r="C750" s="104"/>
      <c r="D750" s="104"/>
      <c r="E750" s="105"/>
      <c r="F750" s="104"/>
      <c r="G750" s="104"/>
      <c r="H750" s="104"/>
    </row>
    <row r="751" spans="1:8" ht="14.25" x14ac:dyDescent="0.2">
      <c r="A751" s="104"/>
      <c r="B751" s="104"/>
      <c r="C751" s="104"/>
      <c r="D751" s="104"/>
      <c r="E751" s="105"/>
      <c r="F751" s="104"/>
      <c r="G751" s="104"/>
      <c r="H751" s="104"/>
    </row>
    <row r="752" spans="1:8" ht="14.25" x14ac:dyDescent="0.2">
      <c r="A752" s="104"/>
      <c r="B752" s="104"/>
      <c r="C752" s="104"/>
      <c r="D752" s="104"/>
      <c r="E752" s="105"/>
      <c r="F752" s="104"/>
      <c r="G752" s="104"/>
      <c r="H752" s="104"/>
    </row>
    <row r="753" spans="1:8" ht="14.25" x14ac:dyDescent="0.2">
      <c r="A753" s="104"/>
      <c r="B753" s="104"/>
      <c r="C753" s="104"/>
      <c r="D753" s="104"/>
      <c r="E753" s="105"/>
      <c r="F753" s="104"/>
      <c r="G753" s="104"/>
      <c r="H753" s="104"/>
    </row>
    <row r="754" spans="1:8" ht="14.25" x14ac:dyDescent="0.2">
      <c r="A754" s="104"/>
      <c r="B754" s="104"/>
      <c r="C754" s="104"/>
      <c r="D754" s="104"/>
      <c r="E754" s="105"/>
      <c r="F754" s="104"/>
      <c r="G754" s="104"/>
      <c r="H754" s="104"/>
    </row>
    <row r="755" spans="1:8" ht="14.25" x14ac:dyDescent="0.2">
      <c r="A755" s="104"/>
      <c r="B755" s="104"/>
      <c r="C755" s="104"/>
      <c r="D755" s="104"/>
      <c r="E755" s="105"/>
      <c r="F755" s="104"/>
      <c r="G755" s="104"/>
      <c r="H755" s="104"/>
    </row>
    <row r="756" spans="1:8" ht="14.25" x14ac:dyDescent="0.2">
      <c r="A756" s="104"/>
      <c r="B756" s="104"/>
      <c r="C756" s="104"/>
      <c r="D756" s="104"/>
      <c r="E756" s="105"/>
      <c r="F756" s="104"/>
      <c r="G756" s="104"/>
      <c r="H756" s="104"/>
    </row>
    <row r="757" spans="1:8" ht="14.25" x14ac:dyDescent="0.2">
      <c r="A757" s="104"/>
      <c r="B757" s="104"/>
      <c r="C757" s="104"/>
      <c r="D757" s="104"/>
      <c r="E757" s="105"/>
      <c r="F757" s="104"/>
      <c r="G757" s="104"/>
      <c r="H757" s="104"/>
    </row>
    <row r="758" spans="1:8" ht="14.25" x14ac:dyDescent="0.2">
      <c r="A758" s="104"/>
      <c r="B758" s="104"/>
      <c r="C758" s="104"/>
      <c r="D758" s="104"/>
      <c r="E758" s="105"/>
      <c r="F758" s="104"/>
      <c r="G758" s="104"/>
      <c r="H758" s="104"/>
    </row>
    <row r="759" spans="1:8" ht="14.25" x14ac:dyDescent="0.2">
      <c r="A759" s="104"/>
      <c r="B759" s="104"/>
      <c r="C759" s="104"/>
      <c r="D759" s="104"/>
      <c r="E759" s="105"/>
      <c r="F759" s="104"/>
      <c r="G759" s="104"/>
      <c r="H759" s="104"/>
    </row>
    <row r="760" spans="1:8" ht="14.25" x14ac:dyDescent="0.2">
      <c r="A760" s="104"/>
      <c r="B760" s="104"/>
      <c r="C760" s="104"/>
      <c r="D760" s="104"/>
      <c r="E760" s="105"/>
      <c r="F760" s="104"/>
      <c r="G760" s="104"/>
      <c r="H760" s="104"/>
    </row>
    <row r="761" spans="1:8" ht="14.25" x14ac:dyDescent="0.2">
      <c r="A761" s="104"/>
      <c r="B761" s="104"/>
      <c r="C761" s="104"/>
      <c r="D761" s="104"/>
      <c r="E761" s="105"/>
      <c r="F761" s="104"/>
      <c r="G761" s="104"/>
      <c r="H761" s="104"/>
    </row>
    <row r="762" spans="1:8" ht="14.25" x14ac:dyDescent="0.2">
      <c r="A762" s="104"/>
      <c r="B762" s="104"/>
      <c r="C762" s="104"/>
      <c r="D762" s="104"/>
      <c r="E762" s="105"/>
      <c r="F762" s="104"/>
      <c r="G762" s="104"/>
      <c r="H762" s="104"/>
    </row>
    <row r="763" spans="1:8" ht="14.25" x14ac:dyDescent="0.2">
      <c r="A763" s="104"/>
      <c r="B763" s="104"/>
      <c r="C763" s="104"/>
      <c r="D763" s="104"/>
      <c r="E763" s="105"/>
      <c r="F763" s="104"/>
      <c r="G763" s="104"/>
      <c r="H763" s="104"/>
    </row>
    <row r="764" spans="1:8" ht="14.25" x14ac:dyDescent="0.2">
      <c r="A764" s="104"/>
      <c r="B764" s="104"/>
      <c r="C764" s="104"/>
      <c r="D764" s="104"/>
      <c r="E764" s="105"/>
      <c r="F764" s="104"/>
      <c r="G764" s="104"/>
      <c r="H764" s="104"/>
    </row>
    <row r="765" spans="1:8" ht="14.25" x14ac:dyDescent="0.2">
      <c r="A765" s="104"/>
      <c r="B765" s="104"/>
      <c r="C765" s="104"/>
      <c r="D765" s="104"/>
      <c r="E765" s="105"/>
      <c r="F765" s="104"/>
      <c r="G765" s="104"/>
      <c r="H765" s="104"/>
    </row>
    <row r="766" spans="1:8" ht="14.25" x14ac:dyDescent="0.2">
      <c r="A766" s="104"/>
      <c r="B766" s="104"/>
      <c r="C766" s="104"/>
      <c r="D766" s="104"/>
      <c r="E766" s="105"/>
      <c r="F766" s="104"/>
      <c r="G766" s="104"/>
      <c r="H766" s="104"/>
    </row>
    <row r="767" spans="1:8" ht="14.25" x14ac:dyDescent="0.2">
      <c r="A767" s="104"/>
      <c r="B767" s="104"/>
      <c r="C767" s="104"/>
      <c r="D767" s="104"/>
      <c r="E767" s="105"/>
      <c r="F767" s="104"/>
      <c r="G767" s="104"/>
      <c r="H767" s="104"/>
    </row>
    <row r="768" spans="1:8" ht="14.25" x14ac:dyDescent="0.2">
      <c r="A768" s="104"/>
      <c r="B768" s="104"/>
      <c r="C768" s="104"/>
      <c r="D768" s="104"/>
      <c r="E768" s="105"/>
      <c r="F768" s="104"/>
      <c r="G768" s="104"/>
      <c r="H768" s="104"/>
    </row>
    <row r="769" spans="1:8" ht="14.25" x14ac:dyDescent="0.2">
      <c r="A769" s="104"/>
      <c r="B769" s="104"/>
      <c r="C769" s="104"/>
      <c r="D769" s="104"/>
      <c r="E769" s="105"/>
      <c r="F769" s="104"/>
      <c r="G769" s="104"/>
      <c r="H769" s="104"/>
    </row>
    <row r="770" spans="1:8" ht="14.25" x14ac:dyDescent="0.2">
      <c r="A770" s="104"/>
      <c r="B770" s="104"/>
      <c r="C770" s="104"/>
      <c r="D770" s="104"/>
      <c r="E770" s="105"/>
      <c r="F770" s="104"/>
      <c r="G770" s="104"/>
      <c r="H770" s="104"/>
    </row>
    <row r="771" spans="1:8" ht="14.25" x14ac:dyDescent="0.2">
      <c r="A771" s="104"/>
      <c r="B771" s="104"/>
      <c r="C771" s="104"/>
      <c r="D771" s="104"/>
      <c r="E771" s="105"/>
      <c r="F771" s="104"/>
      <c r="G771" s="104"/>
      <c r="H771" s="104"/>
    </row>
    <row r="772" spans="1:8" ht="14.25" x14ac:dyDescent="0.2">
      <c r="A772" s="104"/>
      <c r="B772" s="104"/>
      <c r="C772" s="104"/>
      <c r="D772" s="104"/>
      <c r="E772" s="105"/>
      <c r="F772" s="104"/>
      <c r="G772" s="104"/>
      <c r="H772" s="104"/>
    </row>
    <row r="773" spans="1:8" ht="14.25" x14ac:dyDescent="0.2">
      <c r="A773" s="104"/>
      <c r="B773" s="104"/>
      <c r="C773" s="104"/>
      <c r="D773" s="104"/>
      <c r="E773" s="105"/>
      <c r="F773" s="104"/>
      <c r="G773" s="104"/>
      <c r="H773" s="104"/>
    </row>
    <row r="774" spans="1:8" ht="14.25" x14ac:dyDescent="0.2">
      <c r="A774" s="104"/>
      <c r="B774" s="104"/>
      <c r="C774" s="104"/>
      <c r="D774" s="104"/>
      <c r="E774" s="105"/>
      <c r="F774" s="104"/>
      <c r="G774" s="104"/>
      <c r="H774" s="104"/>
    </row>
    <row r="775" spans="1:8" ht="14.25" x14ac:dyDescent="0.2">
      <c r="A775" s="104"/>
      <c r="B775" s="104"/>
      <c r="C775" s="104"/>
      <c r="D775" s="104"/>
      <c r="E775" s="105"/>
      <c r="F775" s="104"/>
      <c r="G775" s="104"/>
      <c r="H775" s="104"/>
    </row>
    <row r="776" spans="1:8" ht="14.25" x14ac:dyDescent="0.2">
      <c r="A776" s="104"/>
      <c r="B776" s="104"/>
      <c r="C776" s="104"/>
      <c r="D776" s="104"/>
      <c r="E776" s="105"/>
      <c r="F776" s="104"/>
      <c r="G776" s="104"/>
      <c r="H776" s="104"/>
    </row>
    <row r="777" spans="1:8" ht="14.25" x14ac:dyDescent="0.2">
      <c r="A777" s="104"/>
      <c r="B777" s="104"/>
      <c r="C777" s="104"/>
      <c r="D777" s="104"/>
      <c r="E777" s="105"/>
      <c r="F777" s="104"/>
      <c r="G777" s="104"/>
      <c r="H777" s="104"/>
    </row>
    <row r="778" spans="1:8" ht="14.25" x14ac:dyDescent="0.2">
      <c r="A778" s="104"/>
      <c r="B778" s="104"/>
      <c r="C778" s="104"/>
      <c r="D778" s="104"/>
      <c r="E778" s="105"/>
      <c r="F778" s="104"/>
      <c r="G778" s="104"/>
      <c r="H778" s="104"/>
    </row>
    <row r="779" spans="1:8" ht="14.25" x14ac:dyDescent="0.2">
      <c r="A779" s="104"/>
      <c r="B779" s="104"/>
      <c r="C779" s="104"/>
      <c r="D779" s="104"/>
      <c r="E779" s="105"/>
      <c r="F779" s="104"/>
      <c r="G779" s="104"/>
      <c r="H779" s="104"/>
    </row>
    <row r="780" spans="1:8" ht="14.25" x14ac:dyDescent="0.2">
      <c r="A780" s="104"/>
      <c r="B780" s="104"/>
      <c r="C780" s="104"/>
      <c r="D780" s="104"/>
      <c r="E780" s="105"/>
      <c r="F780" s="104"/>
      <c r="G780" s="104"/>
      <c r="H780" s="104"/>
    </row>
    <row r="781" spans="1:8" ht="14.25" x14ac:dyDescent="0.2">
      <c r="A781" s="104"/>
      <c r="B781" s="104"/>
      <c r="C781" s="104"/>
      <c r="D781" s="104"/>
      <c r="E781" s="105"/>
      <c r="F781" s="104"/>
      <c r="G781" s="104"/>
      <c r="H781" s="104"/>
    </row>
    <row r="782" spans="1:8" ht="14.25" x14ac:dyDescent="0.2">
      <c r="A782" s="104"/>
      <c r="B782" s="104"/>
      <c r="C782" s="104"/>
      <c r="D782" s="104"/>
      <c r="E782" s="105"/>
      <c r="F782" s="104"/>
      <c r="G782" s="104"/>
      <c r="H782" s="104"/>
    </row>
    <row r="783" spans="1:8" ht="14.25" x14ac:dyDescent="0.2">
      <c r="A783" s="104"/>
      <c r="B783" s="104"/>
      <c r="C783" s="104"/>
      <c r="D783" s="104"/>
      <c r="E783" s="105"/>
      <c r="F783" s="104"/>
      <c r="G783" s="104"/>
      <c r="H783" s="104"/>
    </row>
    <row r="784" spans="1:8" ht="14.25" x14ac:dyDescent="0.2">
      <c r="A784" s="104"/>
      <c r="B784" s="104"/>
      <c r="C784" s="104"/>
      <c r="D784" s="104"/>
      <c r="E784" s="105"/>
      <c r="F784" s="104"/>
      <c r="G784" s="104"/>
      <c r="H784" s="104"/>
    </row>
    <row r="785" spans="1:8" ht="14.25" x14ac:dyDescent="0.2">
      <c r="A785" s="104"/>
      <c r="B785" s="104"/>
      <c r="C785" s="104"/>
      <c r="D785" s="104"/>
      <c r="E785" s="105"/>
      <c r="F785" s="104"/>
      <c r="G785" s="104"/>
      <c r="H785" s="104"/>
    </row>
    <row r="786" spans="1:8" ht="14.25" x14ac:dyDescent="0.2">
      <c r="A786" s="104"/>
      <c r="B786" s="104"/>
      <c r="C786" s="104"/>
      <c r="D786" s="104"/>
      <c r="E786" s="105"/>
      <c r="F786" s="104"/>
      <c r="G786" s="104"/>
      <c r="H786" s="104"/>
    </row>
    <row r="787" spans="1:8" ht="14.25" x14ac:dyDescent="0.2">
      <c r="A787" s="104"/>
      <c r="B787" s="104"/>
      <c r="C787" s="104"/>
      <c r="D787" s="104"/>
      <c r="E787" s="105"/>
      <c r="F787" s="104"/>
      <c r="G787" s="104"/>
      <c r="H787" s="104"/>
    </row>
    <row r="788" spans="1:8" ht="14.25" x14ac:dyDescent="0.2">
      <c r="A788" s="104"/>
      <c r="B788" s="104"/>
      <c r="C788" s="104"/>
      <c r="D788" s="104"/>
      <c r="E788" s="105"/>
      <c r="F788" s="104"/>
      <c r="G788" s="104"/>
      <c r="H788" s="104"/>
    </row>
    <row r="789" spans="1:8" ht="14.25" x14ac:dyDescent="0.2">
      <c r="A789" s="104"/>
      <c r="B789" s="104"/>
      <c r="C789" s="104"/>
      <c r="D789" s="104"/>
      <c r="E789" s="105"/>
      <c r="F789" s="104"/>
      <c r="G789" s="104"/>
      <c r="H789" s="104"/>
    </row>
    <row r="790" spans="1:8" ht="14.25" x14ac:dyDescent="0.2">
      <c r="A790" s="104"/>
      <c r="B790" s="104"/>
      <c r="C790" s="104"/>
      <c r="D790" s="104"/>
      <c r="E790" s="105"/>
      <c r="F790" s="104"/>
      <c r="G790" s="104"/>
      <c r="H790" s="104"/>
    </row>
    <row r="791" spans="1:8" ht="14.25" x14ac:dyDescent="0.2">
      <c r="A791" s="104"/>
      <c r="B791" s="104"/>
      <c r="C791" s="104"/>
      <c r="D791" s="104"/>
      <c r="E791" s="105"/>
      <c r="F791" s="104"/>
      <c r="G791" s="104"/>
      <c r="H791" s="104"/>
    </row>
    <row r="792" spans="1:8" ht="14.25" x14ac:dyDescent="0.2">
      <c r="A792" s="104"/>
      <c r="B792" s="104"/>
      <c r="C792" s="104"/>
      <c r="D792" s="104"/>
      <c r="E792" s="105"/>
      <c r="F792" s="104"/>
      <c r="G792" s="104"/>
      <c r="H792" s="104"/>
    </row>
    <row r="793" spans="1:8" ht="14.25" x14ac:dyDescent="0.2">
      <c r="A793" s="104"/>
      <c r="B793" s="104"/>
      <c r="C793" s="104"/>
      <c r="D793" s="104"/>
      <c r="E793" s="105"/>
      <c r="F793" s="104"/>
      <c r="G793" s="104"/>
      <c r="H793" s="104"/>
    </row>
    <row r="794" spans="1:8" ht="14.25" x14ac:dyDescent="0.2">
      <c r="A794" s="104"/>
      <c r="B794" s="104"/>
      <c r="C794" s="104"/>
      <c r="D794" s="104"/>
      <c r="E794" s="105"/>
      <c r="F794" s="104"/>
      <c r="G794" s="104"/>
      <c r="H794" s="104"/>
    </row>
    <row r="795" spans="1:8" ht="14.25" x14ac:dyDescent="0.2">
      <c r="A795" s="104"/>
      <c r="B795" s="104"/>
      <c r="C795" s="104"/>
      <c r="D795" s="104"/>
      <c r="E795" s="105"/>
      <c r="F795" s="104"/>
      <c r="G795" s="104"/>
      <c r="H795" s="104"/>
    </row>
    <row r="796" spans="1:8" ht="14.25" x14ac:dyDescent="0.2">
      <c r="A796" s="104"/>
      <c r="B796" s="104"/>
      <c r="C796" s="104"/>
      <c r="D796" s="104"/>
      <c r="E796" s="105"/>
      <c r="F796" s="104"/>
      <c r="G796" s="104"/>
      <c r="H796" s="104"/>
    </row>
    <row r="797" spans="1:8" ht="14.25" x14ac:dyDescent="0.2">
      <c r="A797" s="104"/>
      <c r="B797" s="104"/>
      <c r="C797" s="104"/>
      <c r="D797" s="104"/>
      <c r="E797" s="105"/>
      <c r="F797" s="104"/>
      <c r="G797" s="104"/>
      <c r="H797" s="104"/>
    </row>
    <row r="798" spans="1:8" ht="14.25" x14ac:dyDescent="0.2">
      <c r="A798" s="104"/>
      <c r="B798" s="104"/>
      <c r="C798" s="104"/>
      <c r="D798" s="104"/>
      <c r="E798" s="105"/>
      <c r="F798" s="104"/>
      <c r="G798" s="104"/>
      <c r="H798" s="104"/>
    </row>
    <row r="799" spans="1:8" ht="14.25" x14ac:dyDescent="0.2">
      <c r="A799" s="104"/>
      <c r="B799" s="104"/>
      <c r="C799" s="104"/>
      <c r="D799" s="104"/>
      <c r="E799" s="105"/>
      <c r="F799" s="104"/>
      <c r="G799" s="104"/>
      <c r="H799" s="104"/>
    </row>
    <row r="800" spans="1:8" ht="14.25" x14ac:dyDescent="0.2">
      <c r="A800" s="104"/>
      <c r="B800" s="104"/>
      <c r="C800" s="104"/>
      <c r="D800" s="104"/>
      <c r="E800" s="105"/>
      <c r="F800" s="104"/>
      <c r="G800" s="104"/>
      <c r="H800" s="104"/>
    </row>
    <row r="801" spans="1:8" ht="14.25" x14ac:dyDescent="0.2">
      <c r="A801" s="104"/>
      <c r="B801" s="104"/>
      <c r="C801" s="104"/>
      <c r="D801" s="104"/>
      <c r="E801" s="105"/>
      <c r="F801" s="104"/>
      <c r="G801" s="104"/>
      <c r="H801" s="104"/>
    </row>
    <row r="802" spans="1:8" ht="14.25" x14ac:dyDescent="0.2">
      <c r="A802" s="104"/>
      <c r="B802" s="104"/>
      <c r="C802" s="104"/>
      <c r="D802" s="104"/>
      <c r="E802" s="105"/>
      <c r="F802" s="104"/>
      <c r="G802" s="104"/>
      <c r="H802" s="104"/>
    </row>
    <row r="803" spans="1:8" ht="14.25" x14ac:dyDescent="0.2">
      <c r="A803" s="104"/>
      <c r="B803" s="104"/>
      <c r="C803" s="104"/>
      <c r="D803" s="104"/>
      <c r="E803" s="105"/>
      <c r="F803" s="104"/>
      <c r="G803" s="104"/>
      <c r="H803" s="104"/>
    </row>
    <row r="804" spans="1:8" ht="14.25" x14ac:dyDescent="0.2">
      <c r="A804" s="104"/>
      <c r="B804" s="104"/>
      <c r="C804" s="104"/>
      <c r="D804" s="104"/>
      <c r="E804" s="105"/>
      <c r="F804" s="104"/>
      <c r="G804" s="104"/>
      <c r="H804" s="104"/>
    </row>
    <row r="805" spans="1:8" ht="14.25" x14ac:dyDescent="0.2">
      <c r="A805" s="104"/>
      <c r="B805" s="104"/>
      <c r="C805" s="104"/>
      <c r="D805" s="104"/>
      <c r="E805" s="105"/>
      <c r="F805" s="104"/>
      <c r="G805" s="104"/>
      <c r="H805" s="104"/>
    </row>
    <row r="806" spans="1:8" ht="14.25" x14ac:dyDescent="0.2">
      <c r="A806" s="104"/>
      <c r="B806" s="104"/>
      <c r="C806" s="104"/>
      <c r="D806" s="104"/>
      <c r="E806" s="105"/>
      <c r="F806" s="104"/>
      <c r="G806" s="104"/>
      <c r="H806" s="104"/>
    </row>
    <row r="807" spans="1:8" ht="14.25" x14ac:dyDescent="0.2">
      <c r="A807" s="104"/>
      <c r="B807" s="104"/>
      <c r="C807" s="104"/>
      <c r="D807" s="104"/>
      <c r="E807" s="105"/>
      <c r="F807" s="104"/>
      <c r="G807" s="104"/>
      <c r="H807" s="104"/>
    </row>
    <row r="808" spans="1:8" ht="14.25" x14ac:dyDescent="0.2">
      <c r="A808" s="104"/>
      <c r="B808" s="104"/>
      <c r="C808" s="104"/>
      <c r="D808" s="104"/>
      <c r="E808" s="105"/>
      <c r="F808" s="104"/>
      <c r="G808" s="104"/>
      <c r="H808" s="104"/>
    </row>
    <row r="809" spans="1:8" ht="14.25" x14ac:dyDescent="0.2">
      <c r="A809" s="104"/>
      <c r="B809" s="104"/>
      <c r="C809" s="104"/>
      <c r="D809" s="104"/>
      <c r="E809" s="105"/>
      <c r="F809" s="104"/>
      <c r="G809" s="104"/>
      <c r="H809" s="104"/>
    </row>
    <row r="810" spans="1:8" ht="14.25" x14ac:dyDescent="0.2">
      <c r="A810" s="104"/>
      <c r="B810" s="104"/>
      <c r="C810" s="104"/>
      <c r="D810" s="104"/>
      <c r="E810" s="105"/>
      <c r="F810" s="104"/>
      <c r="G810" s="104"/>
      <c r="H810" s="104"/>
    </row>
    <row r="811" spans="1:8" ht="14.25" x14ac:dyDescent="0.2">
      <c r="A811" s="104"/>
      <c r="B811" s="104"/>
      <c r="C811" s="104"/>
      <c r="D811" s="104"/>
      <c r="E811" s="105"/>
      <c r="F811" s="104"/>
      <c r="G811" s="104"/>
      <c r="H811" s="104"/>
    </row>
    <row r="812" spans="1:8" ht="14.25" x14ac:dyDescent="0.2">
      <c r="A812" s="104"/>
      <c r="B812" s="104"/>
      <c r="C812" s="104"/>
      <c r="D812" s="104"/>
      <c r="E812" s="105"/>
      <c r="F812" s="104"/>
      <c r="G812" s="104"/>
      <c r="H812" s="104"/>
    </row>
    <row r="813" spans="1:8" ht="14.25" x14ac:dyDescent="0.2">
      <c r="A813" s="104"/>
      <c r="B813" s="104"/>
      <c r="C813" s="104"/>
      <c r="D813" s="104"/>
      <c r="E813" s="105"/>
      <c r="F813" s="104"/>
      <c r="G813" s="104"/>
      <c r="H813" s="104"/>
    </row>
    <row r="814" spans="1:8" ht="14.25" x14ac:dyDescent="0.2">
      <c r="A814" s="104"/>
      <c r="B814" s="104"/>
      <c r="C814" s="104"/>
      <c r="D814" s="104"/>
      <c r="E814" s="105"/>
      <c r="F814" s="104"/>
      <c r="G814" s="104"/>
      <c r="H814" s="104"/>
    </row>
    <row r="815" spans="1:8" ht="14.25" x14ac:dyDescent="0.2">
      <c r="A815" s="104"/>
      <c r="B815" s="104"/>
      <c r="C815" s="104"/>
      <c r="D815" s="104"/>
      <c r="E815" s="105"/>
      <c r="F815" s="104"/>
      <c r="G815" s="104"/>
      <c r="H815" s="104"/>
    </row>
    <row r="816" spans="1:8" ht="14.25" x14ac:dyDescent="0.2">
      <c r="A816" s="104"/>
      <c r="B816" s="104"/>
      <c r="C816" s="104"/>
      <c r="D816" s="104"/>
      <c r="E816" s="105"/>
      <c r="F816" s="104"/>
      <c r="G816" s="104"/>
      <c r="H816" s="104"/>
    </row>
    <row r="817" spans="1:8" ht="14.25" x14ac:dyDescent="0.2">
      <c r="A817" s="104"/>
      <c r="B817" s="104"/>
      <c r="C817" s="104"/>
      <c r="D817" s="104"/>
      <c r="E817" s="105"/>
      <c r="F817" s="104"/>
      <c r="G817" s="104"/>
      <c r="H817" s="104"/>
    </row>
    <row r="818" spans="1:8" ht="14.25" x14ac:dyDescent="0.2">
      <c r="A818" s="104"/>
      <c r="B818" s="104"/>
      <c r="C818" s="104"/>
      <c r="D818" s="104"/>
      <c r="E818" s="105"/>
      <c r="F818" s="104"/>
      <c r="G818" s="104"/>
      <c r="H818" s="104"/>
    </row>
    <row r="819" spans="1:8" ht="14.25" x14ac:dyDescent="0.2">
      <c r="A819" s="104"/>
      <c r="B819" s="104"/>
      <c r="C819" s="104"/>
      <c r="D819" s="104"/>
      <c r="E819" s="105"/>
      <c r="F819" s="104"/>
      <c r="G819" s="104"/>
      <c r="H819" s="104"/>
    </row>
    <row r="820" spans="1:8" ht="14.25" x14ac:dyDescent="0.2">
      <c r="A820" s="104"/>
      <c r="B820" s="104"/>
      <c r="C820" s="104"/>
      <c r="D820" s="104"/>
      <c r="E820" s="105"/>
      <c r="F820" s="104"/>
      <c r="G820" s="104"/>
      <c r="H820" s="104"/>
    </row>
    <row r="821" spans="1:8" ht="14.25" x14ac:dyDescent="0.2">
      <c r="A821" s="104"/>
      <c r="B821" s="104"/>
      <c r="C821" s="104"/>
      <c r="D821" s="104"/>
      <c r="E821" s="105"/>
      <c r="F821" s="104"/>
      <c r="G821" s="104"/>
      <c r="H821" s="104"/>
    </row>
    <row r="822" spans="1:8" ht="14.25" x14ac:dyDescent="0.2">
      <c r="A822" s="104"/>
      <c r="B822" s="104"/>
      <c r="C822" s="104"/>
      <c r="D822" s="104"/>
      <c r="E822" s="105"/>
      <c r="F822" s="104"/>
      <c r="G822" s="104"/>
      <c r="H822" s="104"/>
    </row>
    <row r="823" spans="1:8" ht="14.25" x14ac:dyDescent="0.2">
      <c r="A823" s="104"/>
      <c r="B823" s="104"/>
      <c r="C823" s="104"/>
      <c r="D823" s="104"/>
      <c r="E823" s="105"/>
      <c r="F823" s="104"/>
      <c r="G823" s="104"/>
      <c r="H823" s="104"/>
    </row>
    <row r="824" spans="1:8" ht="14.25" x14ac:dyDescent="0.2">
      <c r="A824" s="104"/>
      <c r="B824" s="104"/>
      <c r="C824" s="104"/>
      <c r="D824" s="104"/>
      <c r="E824" s="105"/>
      <c r="F824" s="104"/>
      <c r="G824" s="104"/>
      <c r="H824" s="104"/>
    </row>
    <row r="825" spans="1:8" ht="14.25" x14ac:dyDescent="0.2">
      <c r="A825" s="104"/>
      <c r="B825" s="104"/>
      <c r="C825" s="104"/>
      <c r="D825" s="104"/>
      <c r="E825" s="105"/>
      <c r="F825" s="104"/>
      <c r="G825" s="104"/>
      <c r="H825" s="104"/>
    </row>
    <row r="826" spans="1:8" ht="14.25" x14ac:dyDescent="0.2">
      <c r="A826" s="104"/>
      <c r="B826" s="104"/>
      <c r="C826" s="104"/>
      <c r="D826" s="104"/>
      <c r="E826" s="105"/>
      <c r="F826" s="104"/>
      <c r="G826" s="104"/>
      <c r="H826" s="104"/>
    </row>
    <row r="827" spans="1:8" ht="14.25" x14ac:dyDescent="0.2">
      <c r="A827" s="104"/>
      <c r="B827" s="104"/>
      <c r="C827" s="104"/>
      <c r="D827" s="104"/>
      <c r="E827" s="105"/>
      <c r="F827" s="104"/>
      <c r="G827" s="104"/>
      <c r="H827" s="104"/>
    </row>
    <row r="828" spans="1:8" ht="14.25" x14ac:dyDescent="0.2">
      <c r="A828" s="104"/>
      <c r="B828" s="104"/>
      <c r="C828" s="104"/>
      <c r="D828" s="104"/>
      <c r="E828" s="105"/>
      <c r="F828" s="104"/>
      <c r="G828" s="104"/>
      <c r="H828" s="104"/>
    </row>
    <row r="829" spans="1:8" ht="14.25" x14ac:dyDescent="0.2">
      <c r="A829" s="104"/>
      <c r="B829" s="104"/>
      <c r="C829" s="104"/>
      <c r="D829" s="104"/>
      <c r="E829" s="105"/>
      <c r="F829" s="104"/>
      <c r="G829" s="104"/>
      <c r="H829" s="104"/>
    </row>
    <row r="830" spans="1:8" ht="14.25" x14ac:dyDescent="0.2">
      <c r="A830" s="104"/>
      <c r="B830" s="104"/>
      <c r="C830" s="104"/>
      <c r="D830" s="104"/>
      <c r="E830" s="105"/>
      <c r="F830" s="104"/>
      <c r="G830" s="104"/>
      <c r="H830" s="104"/>
    </row>
    <row r="831" spans="1:8" ht="14.25" x14ac:dyDescent="0.2">
      <c r="A831" s="104"/>
      <c r="B831" s="104"/>
      <c r="C831" s="104"/>
      <c r="D831" s="104"/>
      <c r="E831" s="105"/>
      <c r="F831" s="104"/>
      <c r="G831" s="104"/>
      <c r="H831" s="104"/>
    </row>
    <row r="832" spans="1:8" ht="14.25" x14ac:dyDescent="0.2">
      <c r="A832" s="104"/>
      <c r="B832" s="104"/>
      <c r="C832" s="104"/>
      <c r="D832" s="104"/>
      <c r="E832" s="105"/>
      <c r="F832" s="104"/>
      <c r="G832" s="104"/>
      <c r="H832" s="104"/>
    </row>
    <row r="833" spans="1:8" ht="14.25" x14ac:dyDescent="0.2">
      <c r="A833" s="104"/>
      <c r="B833" s="104"/>
      <c r="C833" s="104"/>
      <c r="D833" s="104"/>
      <c r="E833" s="105"/>
      <c r="F833" s="104"/>
      <c r="G833" s="104"/>
      <c r="H833" s="104"/>
    </row>
    <row r="834" spans="1:8" ht="14.25" x14ac:dyDescent="0.2">
      <c r="A834" s="104"/>
      <c r="B834" s="104"/>
      <c r="C834" s="104"/>
      <c r="D834" s="104"/>
      <c r="E834" s="105"/>
      <c r="F834" s="104"/>
      <c r="G834" s="104"/>
      <c r="H834" s="104"/>
    </row>
    <row r="835" spans="1:8" ht="14.25" x14ac:dyDescent="0.2">
      <c r="A835" s="104"/>
      <c r="B835" s="104"/>
      <c r="C835" s="104"/>
      <c r="D835" s="104"/>
      <c r="E835" s="105"/>
      <c r="F835" s="104"/>
      <c r="G835" s="104"/>
      <c r="H835" s="104"/>
    </row>
    <row r="836" spans="1:8" ht="14.25" x14ac:dyDescent="0.2">
      <c r="A836" s="104"/>
      <c r="B836" s="104"/>
      <c r="C836" s="104"/>
      <c r="D836" s="104"/>
      <c r="E836" s="105"/>
      <c r="F836" s="104"/>
      <c r="G836" s="104"/>
      <c r="H836" s="104"/>
    </row>
    <row r="837" spans="1:8" ht="14.25" x14ac:dyDescent="0.2">
      <c r="A837" s="104"/>
      <c r="B837" s="104"/>
      <c r="C837" s="104"/>
      <c r="D837" s="104"/>
      <c r="E837" s="105"/>
      <c r="F837" s="104"/>
      <c r="G837" s="104"/>
      <c r="H837" s="104"/>
    </row>
    <row r="838" spans="1:8" ht="14.25" x14ac:dyDescent="0.2">
      <c r="A838" s="104"/>
      <c r="B838" s="104"/>
      <c r="C838" s="104"/>
      <c r="D838" s="104"/>
      <c r="E838" s="105"/>
      <c r="F838" s="104"/>
      <c r="G838" s="104"/>
      <c r="H838" s="104"/>
    </row>
    <row r="839" spans="1:8" ht="14.25" x14ac:dyDescent="0.2">
      <c r="A839" s="104"/>
      <c r="B839" s="104"/>
      <c r="C839" s="104"/>
      <c r="D839" s="104"/>
      <c r="E839" s="105"/>
      <c r="F839" s="104"/>
      <c r="G839" s="104"/>
      <c r="H839" s="104"/>
    </row>
    <row r="840" spans="1:8" ht="14.25" x14ac:dyDescent="0.2">
      <c r="A840" s="104"/>
      <c r="B840" s="104"/>
      <c r="C840" s="104"/>
      <c r="D840" s="104"/>
      <c r="E840" s="105"/>
      <c r="F840" s="104"/>
      <c r="G840" s="104"/>
      <c r="H840" s="104"/>
    </row>
    <row r="841" spans="1:8" ht="14.25" x14ac:dyDescent="0.2">
      <c r="A841" s="104"/>
      <c r="B841" s="104"/>
      <c r="C841" s="104"/>
      <c r="D841" s="104"/>
      <c r="E841" s="105"/>
      <c r="F841" s="104"/>
      <c r="G841" s="104"/>
      <c r="H841" s="104"/>
    </row>
    <row r="842" spans="1:8" ht="14.25" x14ac:dyDescent="0.2">
      <c r="A842" s="104"/>
      <c r="B842" s="104"/>
      <c r="C842" s="104"/>
      <c r="D842" s="104"/>
      <c r="E842" s="105"/>
      <c r="F842" s="104"/>
      <c r="G842" s="104"/>
      <c r="H842" s="104"/>
    </row>
    <row r="843" spans="1:8" ht="14.25" x14ac:dyDescent="0.2">
      <c r="A843" s="104"/>
      <c r="B843" s="104"/>
      <c r="C843" s="104"/>
      <c r="D843" s="104"/>
      <c r="E843" s="105"/>
      <c r="F843" s="104"/>
      <c r="G843" s="104"/>
      <c r="H843" s="104"/>
    </row>
    <row r="844" spans="1:8" ht="14.25" x14ac:dyDescent="0.2">
      <c r="A844" s="104"/>
      <c r="B844" s="104"/>
      <c r="C844" s="104"/>
      <c r="D844" s="104"/>
      <c r="E844" s="105"/>
      <c r="F844" s="104"/>
      <c r="G844" s="104"/>
      <c r="H844" s="104"/>
    </row>
    <row r="845" spans="1:8" ht="14.25" x14ac:dyDescent="0.2">
      <c r="A845" s="104"/>
      <c r="B845" s="104"/>
      <c r="C845" s="104"/>
      <c r="D845" s="104"/>
      <c r="E845" s="105"/>
      <c r="F845" s="104"/>
      <c r="G845" s="104"/>
      <c r="H845" s="104"/>
    </row>
    <row r="846" spans="1:8" ht="14.25" x14ac:dyDescent="0.2">
      <c r="A846" s="104"/>
      <c r="B846" s="104"/>
      <c r="C846" s="104"/>
      <c r="D846" s="104"/>
      <c r="E846" s="105"/>
      <c r="F846" s="104"/>
      <c r="G846" s="104"/>
      <c r="H846" s="104"/>
    </row>
    <row r="847" spans="1:8" ht="14.25" x14ac:dyDescent="0.2">
      <c r="A847" s="104"/>
      <c r="B847" s="104"/>
      <c r="C847" s="104"/>
      <c r="D847" s="104"/>
      <c r="E847" s="105"/>
      <c r="F847" s="104"/>
      <c r="G847" s="104"/>
      <c r="H847" s="104"/>
    </row>
    <row r="848" spans="1:8" ht="14.25" x14ac:dyDescent="0.2">
      <c r="A848" s="104"/>
      <c r="B848" s="104"/>
      <c r="C848" s="104"/>
      <c r="D848" s="104"/>
      <c r="E848" s="105"/>
      <c r="F848" s="104"/>
      <c r="G848" s="104"/>
      <c r="H848" s="104"/>
    </row>
    <row r="849" spans="1:8" ht="14.25" x14ac:dyDescent="0.2">
      <c r="A849" s="104"/>
      <c r="B849" s="104"/>
      <c r="C849" s="104"/>
      <c r="D849" s="104"/>
      <c r="E849" s="105"/>
      <c r="F849" s="104"/>
      <c r="G849" s="104"/>
      <c r="H849" s="104"/>
    </row>
    <row r="850" spans="1:8" ht="14.25" x14ac:dyDescent="0.2">
      <c r="A850" s="104"/>
      <c r="B850" s="104"/>
      <c r="C850" s="104"/>
      <c r="D850" s="104"/>
      <c r="E850" s="105"/>
      <c r="F850" s="104"/>
      <c r="G850" s="104"/>
      <c r="H850" s="104"/>
    </row>
    <row r="851" spans="1:8" ht="14.25" x14ac:dyDescent="0.2">
      <c r="A851" s="104"/>
      <c r="B851" s="104"/>
      <c r="C851" s="104"/>
      <c r="D851" s="104"/>
      <c r="E851" s="105"/>
      <c r="F851" s="104"/>
      <c r="G851" s="104"/>
      <c r="H851" s="104"/>
    </row>
    <row r="852" spans="1:8" ht="14.25" x14ac:dyDescent="0.2">
      <c r="A852" s="104"/>
      <c r="B852" s="104"/>
      <c r="C852" s="104"/>
      <c r="D852" s="104"/>
      <c r="E852" s="105"/>
      <c r="F852" s="104"/>
      <c r="G852" s="104"/>
      <c r="H852" s="104"/>
    </row>
    <row r="853" spans="1:8" ht="14.25" x14ac:dyDescent="0.2">
      <c r="A853" s="104"/>
      <c r="B853" s="104"/>
      <c r="C853" s="104"/>
      <c r="D853" s="104"/>
      <c r="E853" s="105"/>
      <c r="F853" s="104"/>
      <c r="G853" s="104"/>
      <c r="H853" s="104"/>
    </row>
    <row r="854" spans="1:8" ht="14.25" x14ac:dyDescent="0.2">
      <c r="A854" s="104"/>
      <c r="B854" s="104"/>
      <c r="C854" s="104"/>
      <c r="D854" s="104"/>
      <c r="E854" s="105"/>
      <c r="F854" s="104"/>
      <c r="G854" s="104"/>
      <c r="H854" s="104"/>
    </row>
    <row r="855" spans="1:8" ht="14.25" x14ac:dyDescent="0.2">
      <c r="A855" s="104"/>
      <c r="B855" s="104"/>
      <c r="C855" s="104"/>
      <c r="D855" s="104"/>
      <c r="E855" s="105"/>
      <c r="F855" s="104"/>
      <c r="G855" s="104"/>
      <c r="H855" s="104"/>
    </row>
    <row r="856" spans="1:8" ht="14.25" x14ac:dyDescent="0.2">
      <c r="A856" s="104"/>
      <c r="B856" s="104"/>
      <c r="C856" s="104"/>
      <c r="D856" s="104"/>
      <c r="E856" s="105"/>
      <c r="F856" s="104"/>
      <c r="G856" s="104"/>
      <c r="H856" s="104"/>
    </row>
    <row r="857" spans="1:8" ht="14.25" x14ac:dyDescent="0.2">
      <c r="A857" s="104"/>
      <c r="B857" s="104"/>
      <c r="C857" s="104"/>
      <c r="D857" s="104"/>
      <c r="E857" s="105"/>
      <c r="F857" s="104"/>
      <c r="G857" s="104"/>
      <c r="H857" s="104"/>
    </row>
    <row r="858" spans="1:8" ht="14.25" x14ac:dyDescent="0.2">
      <c r="A858" s="104"/>
      <c r="B858" s="104"/>
      <c r="C858" s="104"/>
      <c r="D858" s="104"/>
      <c r="E858" s="105"/>
      <c r="F858" s="104"/>
      <c r="G858" s="104"/>
      <c r="H858" s="104"/>
    </row>
    <row r="859" spans="1:8" ht="14.25" x14ac:dyDescent="0.2">
      <c r="A859" s="104"/>
      <c r="B859" s="104"/>
      <c r="C859" s="104"/>
      <c r="D859" s="104"/>
      <c r="E859" s="105"/>
      <c r="F859" s="104"/>
      <c r="G859" s="104"/>
      <c r="H859" s="104"/>
    </row>
    <row r="860" spans="1:8" ht="14.25" x14ac:dyDescent="0.2">
      <c r="A860" s="104"/>
      <c r="B860" s="104"/>
      <c r="C860" s="104"/>
      <c r="D860" s="104"/>
      <c r="E860" s="105"/>
      <c r="F860" s="104"/>
      <c r="G860" s="104"/>
      <c r="H860" s="104"/>
    </row>
    <row r="861" spans="1:8" ht="14.25" x14ac:dyDescent="0.2">
      <c r="A861" s="104"/>
      <c r="B861" s="104"/>
      <c r="C861" s="104"/>
      <c r="D861" s="104"/>
      <c r="E861" s="105"/>
      <c r="F861" s="104"/>
      <c r="G861" s="104"/>
      <c r="H861" s="104"/>
    </row>
    <row r="862" spans="1:8" ht="14.25" x14ac:dyDescent="0.2">
      <c r="A862" s="104"/>
      <c r="B862" s="104"/>
      <c r="C862" s="104"/>
      <c r="D862" s="104"/>
      <c r="E862" s="105"/>
      <c r="F862" s="104"/>
      <c r="G862" s="104"/>
      <c r="H862" s="104"/>
    </row>
    <row r="863" spans="1:8" ht="14.25" x14ac:dyDescent="0.2">
      <c r="A863" s="104"/>
      <c r="B863" s="104"/>
      <c r="C863" s="104"/>
      <c r="D863" s="104"/>
      <c r="E863" s="105"/>
      <c r="F863" s="104"/>
      <c r="G863" s="104"/>
      <c r="H863" s="104"/>
    </row>
    <row r="864" spans="1:8" ht="14.25" x14ac:dyDescent="0.2">
      <c r="A864" s="104"/>
      <c r="B864" s="104"/>
      <c r="C864" s="104"/>
      <c r="D864" s="104"/>
      <c r="E864" s="105"/>
      <c r="F864" s="104"/>
      <c r="G864" s="104"/>
      <c r="H864" s="104"/>
    </row>
    <row r="865" spans="1:8" ht="14.25" x14ac:dyDescent="0.2">
      <c r="A865" s="104"/>
      <c r="B865" s="104"/>
      <c r="C865" s="104"/>
      <c r="D865" s="104"/>
      <c r="E865" s="105"/>
      <c r="F865" s="104"/>
      <c r="G865" s="104"/>
      <c r="H865" s="104"/>
    </row>
    <row r="866" spans="1:8" ht="14.25" x14ac:dyDescent="0.2">
      <c r="A866" s="104"/>
      <c r="B866" s="104"/>
      <c r="C866" s="104"/>
      <c r="D866" s="104"/>
      <c r="E866" s="105"/>
      <c r="F866" s="104"/>
      <c r="G866" s="104"/>
      <c r="H866" s="104"/>
    </row>
    <row r="867" spans="1:8" ht="14.25" x14ac:dyDescent="0.2">
      <c r="A867" s="104"/>
      <c r="B867" s="104"/>
      <c r="C867" s="104"/>
      <c r="D867" s="104"/>
      <c r="E867" s="105"/>
      <c r="F867" s="104"/>
      <c r="G867" s="104"/>
      <c r="H867" s="104"/>
    </row>
    <row r="868" spans="1:8" ht="14.25" x14ac:dyDescent="0.2">
      <c r="A868" s="104"/>
      <c r="B868" s="104"/>
      <c r="C868" s="104"/>
      <c r="D868" s="104"/>
      <c r="E868" s="105"/>
      <c r="F868" s="104"/>
      <c r="G868" s="104"/>
      <c r="H868" s="104"/>
    </row>
    <row r="869" spans="1:8" ht="14.25" x14ac:dyDescent="0.2">
      <c r="A869" s="104"/>
      <c r="B869" s="104"/>
      <c r="C869" s="104"/>
      <c r="D869" s="104"/>
      <c r="E869" s="105"/>
      <c r="F869" s="104"/>
      <c r="G869" s="104"/>
      <c r="H869" s="104"/>
    </row>
    <row r="870" spans="1:8" ht="14.25" x14ac:dyDescent="0.2">
      <c r="A870" s="104"/>
      <c r="B870" s="104"/>
      <c r="C870" s="104"/>
      <c r="D870" s="104"/>
      <c r="E870" s="105"/>
      <c r="F870" s="104"/>
      <c r="G870" s="104"/>
      <c r="H870" s="104"/>
    </row>
    <row r="871" spans="1:8" ht="14.25" x14ac:dyDescent="0.2">
      <c r="A871" s="104"/>
      <c r="B871" s="104"/>
      <c r="C871" s="104"/>
      <c r="D871" s="104"/>
      <c r="E871" s="105"/>
      <c r="F871" s="104"/>
      <c r="G871" s="104"/>
      <c r="H871" s="104"/>
    </row>
    <row r="872" spans="1:8" ht="14.25" x14ac:dyDescent="0.2">
      <c r="A872" s="104"/>
      <c r="B872" s="104"/>
      <c r="C872" s="104"/>
      <c r="D872" s="104"/>
      <c r="E872" s="105"/>
      <c r="F872" s="104"/>
      <c r="G872" s="104"/>
      <c r="H872" s="104"/>
    </row>
    <row r="873" spans="1:8" ht="14.25" x14ac:dyDescent="0.2">
      <c r="A873" s="104"/>
      <c r="B873" s="104"/>
      <c r="C873" s="104"/>
      <c r="D873" s="104"/>
      <c r="E873" s="105"/>
      <c r="F873" s="104"/>
      <c r="G873" s="104"/>
      <c r="H873" s="104"/>
    </row>
    <row r="874" spans="1:8" ht="14.25" x14ac:dyDescent="0.2">
      <c r="A874" s="104"/>
      <c r="B874" s="104"/>
      <c r="C874" s="104"/>
      <c r="D874" s="104"/>
      <c r="E874" s="105"/>
      <c r="F874" s="104"/>
      <c r="G874" s="104"/>
      <c r="H874" s="104"/>
    </row>
    <row r="875" spans="1:8" ht="14.25" x14ac:dyDescent="0.2">
      <c r="A875" s="104"/>
      <c r="B875" s="104"/>
      <c r="C875" s="104"/>
      <c r="D875" s="104"/>
      <c r="E875" s="105"/>
      <c r="F875" s="104"/>
      <c r="G875" s="104"/>
      <c r="H875" s="104"/>
    </row>
    <row r="876" spans="1:8" ht="14.25" x14ac:dyDescent="0.2">
      <c r="A876" s="104"/>
      <c r="B876" s="104"/>
      <c r="C876" s="104"/>
      <c r="D876" s="104"/>
      <c r="E876" s="105"/>
      <c r="F876" s="104"/>
      <c r="G876" s="104"/>
      <c r="H876" s="104"/>
    </row>
    <row r="877" spans="1:8" ht="14.25" x14ac:dyDescent="0.2">
      <c r="A877" s="104"/>
      <c r="B877" s="104"/>
      <c r="C877" s="104"/>
      <c r="D877" s="104"/>
      <c r="E877" s="105"/>
      <c r="F877" s="104"/>
      <c r="G877" s="104"/>
      <c r="H877" s="104"/>
    </row>
    <row r="878" spans="1:8" ht="14.25" x14ac:dyDescent="0.2">
      <c r="A878" s="104"/>
      <c r="B878" s="104"/>
      <c r="C878" s="104"/>
      <c r="D878" s="104"/>
      <c r="E878" s="105"/>
      <c r="F878" s="104"/>
      <c r="G878" s="104"/>
      <c r="H878" s="104"/>
    </row>
    <row r="879" spans="1:8" ht="14.25" x14ac:dyDescent="0.2">
      <c r="A879" s="104"/>
      <c r="B879" s="104"/>
      <c r="C879" s="104"/>
      <c r="D879" s="104"/>
      <c r="E879" s="105"/>
      <c r="F879" s="104"/>
      <c r="G879" s="104"/>
      <c r="H879" s="104"/>
    </row>
    <row r="880" spans="1:8" ht="14.25" x14ac:dyDescent="0.2">
      <c r="A880" s="104"/>
      <c r="B880" s="104"/>
      <c r="C880" s="104"/>
      <c r="D880" s="104"/>
      <c r="E880" s="105"/>
      <c r="F880" s="104"/>
      <c r="G880" s="104"/>
      <c r="H880" s="104"/>
    </row>
    <row r="881" spans="1:8" ht="14.25" x14ac:dyDescent="0.2">
      <c r="A881" s="104"/>
      <c r="B881" s="104"/>
      <c r="C881" s="104"/>
      <c r="D881" s="104"/>
      <c r="E881" s="105"/>
      <c r="F881" s="104"/>
      <c r="G881" s="104"/>
      <c r="H881" s="104"/>
    </row>
    <row r="882" spans="1:8" ht="14.25" x14ac:dyDescent="0.2">
      <c r="A882" s="104"/>
      <c r="B882" s="104"/>
      <c r="C882" s="104"/>
      <c r="D882" s="104"/>
      <c r="E882" s="105"/>
      <c r="F882" s="104"/>
      <c r="G882" s="104"/>
      <c r="H882" s="104"/>
    </row>
    <row r="883" spans="1:8" ht="14.25" x14ac:dyDescent="0.2">
      <c r="A883" s="104"/>
      <c r="B883" s="104"/>
      <c r="C883" s="104"/>
      <c r="D883" s="104"/>
      <c r="E883" s="105"/>
      <c r="F883" s="104"/>
      <c r="G883" s="104"/>
      <c r="H883" s="104"/>
    </row>
    <row r="884" spans="1:8" ht="14.25" x14ac:dyDescent="0.2">
      <c r="A884" s="104"/>
      <c r="B884" s="104"/>
      <c r="C884" s="104"/>
      <c r="D884" s="104"/>
      <c r="E884" s="105"/>
      <c r="F884" s="104"/>
      <c r="G884" s="104"/>
      <c r="H884" s="104"/>
    </row>
    <row r="885" spans="1:8" ht="14.25" x14ac:dyDescent="0.2">
      <c r="A885" s="104"/>
      <c r="B885" s="104"/>
      <c r="C885" s="104"/>
      <c r="D885" s="104"/>
      <c r="E885" s="105"/>
      <c r="F885" s="104"/>
      <c r="G885" s="104"/>
      <c r="H885" s="104"/>
    </row>
    <row r="886" spans="1:8" ht="14.25" x14ac:dyDescent="0.2">
      <c r="A886" s="104"/>
      <c r="B886" s="104"/>
      <c r="C886" s="104"/>
      <c r="D886" s="104"/>
      <c r="E886" s="105"/>
      <c r="F886" s="104"/>
      <c r="G886" s="104"/>
      <c r="H886" s="104"/>
    </row>
    <row r="887" spans="1:8" ht="14.25" x14ac:dyDescent="0.2">
      <c r="A887" s="104"/>
      <c r="B887" s="104"/>
      <c r="C887" s="104"/>
      <c r="D887" s="104"/>
      <c r="E887" s="105"/>
      <c r="F887" s="104"/>
      <c r="G887" s="104"/>
      <c r="H887" s="104"/>
    </row>
    <row r="888" spans="1:8" ht="14.25" x14ac:dyDescent="0.2">
      <c r="A888" s="104"/>
      <c r="B888" s="104"/>
      <c r="C888" s="104"/>
      <c r="D888" s="104"/>
      <c r="E888" s="105"/>
      <c r="F888" s="104"/>
      <c r="G888" s="104"/>
      <c r="H888" s="104"/>
    </row>
    <row r="889" spans="1:8" ht="14.25" x14ac:dyDescent="0.2">
      <c r="A889" s="104"/>
      <c r="B889" s="104"/>
      <c r="C889" s="104"/>
      <c r="D889" s="104"/>
      <c r="E889" s="105"/>
      <c r="F889" s="104"/>
      <c r="G889" s="104"/>
      <c r="H889" s="104"/>
    </row>
    <row r="890" spans="1:8" ht="14.25" x14ac:dyDescent="0.2">
      <c r="A890" s="104"/>
      <c r="B890" s="104"/>
      <c r="C890" s="104"/>
      <c r="D890" s="104"/>
      <c r="E890" s="105"/>
      <c r="F890" s="104"/>
      <c r="G890" s="104"/>
      <c r="H890" s="104"/>
    </row>
    <row r="891" spans="1:8" ht="14.25" x14ac:dyDescent="0.2">
      <c r="A891" s="104"/>
      <c r="B891" s="104"/>
      <c r="C891" s="104"/>
      <c r="D891" s="104"/>
      <c r="E891" s="105"/>
      <c r="F891" s="104"/>
      <c r="G891" s="104"/>
      <c r="H891" s="104"/>
    </row>
    <row r="892" spans="1:8" ht="14.25" x14ac:dyDescent="0.2">
      <c r="A892" s="104"/>
      <c r="B892" s="104"/>
      <c r="C892" s="104"/>
      <c r="D892" s="104"/>
      <c r="E892" s="105"/>
      <c r="F892" s="104"/>
      <c r="G892" s="104"/>
      <c r="H892" s="104"/>
    </row>
    <row r="893" spans="1:8" ht="14.25" x14ac:dyDescent="0.2">
      <c r="A893" s="104"/>
      <c r="B893" s="104"/>
      <c r="C893" s="104"/>
      <c r="D893" s="104"/>
      <c r="E893" s="105"/>
      <c r="F893" s="104"/>
      <c r="G893" s="104"/>
      <c r="H893" s="104"/>
    </row>
    <row r="894" spans="1:8" ht="14.25" x14ac:dyDescent="0.2">
      <c r="A894" s="104"/>
      <c r="B894" s="104"/>
      <c r="C894" s="104"/>
      <c r="D894" s="104"/>
      <c r="E894" s="105"/>
      <c r="F894" s="104"/>
      <c r="G894" s="104"/>
      <c r="H894" s="104"/>
    </row>
    <row r="895" spans="1:8" ht="14.25" x14ac:dyDescent="0.2">
      <c r="A895" s="104"/>
      <c r="B895" s="104"/>
      <c r="C895" s="104"/>
      <c r="D895" s="104"/>
      <c r="E895" s="105"/>
      <c r="F895" s="104"/>
      <c r="G895" s="104"/>
      <c r="H895" s="104"/>
    </row>
    <row r="896" spans="1:8" ht="14.25" x14ac:dyDescent="0.2">
      <c r="A896" s="104"/>
      <c r="B896" s="104"/>
      <c r="C896" s="104"/>
      <c r="D896" s="104"/>
      <c r="E896" s="105"/>
      <c r="F896" s="104"/>
      <c r="G896" s="104"/>
      <c r="H896" s="104"/>
    </row>
    <row r="897" spans="1:8" ht="14.25" x14ac:dyDescent="0.2">
      <c r="A897" s="104"/>
      <c r="B897" s="104"/>
      <c r="C897" s="104"/>
      <c r="D897" s="104"/>
      <c r="E897" s="105"/>
      <c r="F897" s="104"/>
      <c r="G897" s="104"/>
      <c r="H897" s="104"/>
    </row>
    <row r="898" spans="1:8" ht="14.25" x14ac:dyDescent="0.2">
      <c r="A898" s="104"/>
      <c r="B898" s="104"/>
      <c r="C898" s="104"/>
      <c r="D898" s="104"/>
      <c r="E898" s="105"/>
      <c r="F898" s="104"/>
      <c r="G898" s="104"/>
      <c r="H898" s="104"/>
    </row>
    <row r="899" spans="1:8" ht="14.25" x14ac:dyDescent="0.2">
      <c r="A899" s="104"/>
      <c r="B899" s="104"/>
      <c r="C899" s="104"/>
      <c r="D899" s="104"/>
      <c r="E899" s="105"/>
      <c r="F899" s="104"/>
      <c r="G899" s="104"/>
      <c r="H899" s="104"/>
    </row>
    <row r="900" spans="1:8" ht="14.25" x14ac:dyDescent="0.2">
      <c r="A900" s="104"/>
      <c r="B900" s="104"/>
      <c r="C900" s="104"/>
      <c r="D900" s="104"/>
      <c r="E900" s="105"/>
      <c r="F900" s="104"/>
      <c r="G900" s="104"/>
      <c r="H900" s="104"/>
    </row>
    <row r="901" spans="1:8" ht="14.25" x14ac:dyDescent="0.2">
      <c r="A901" s="104"/>
      <c r="B901" s="104"/>
      <c r="C901" s="104"/>
      <c r="D901" s="104"/>
      <c r="E901" s="105"/>
      <c r="F901" s="104"/>
      <c r="G901" s="104"/>
      <c r="H901" s="104"/>
    </row>
    <row r="902" spans="1:8" ht="14.25" x14ac:dyDescent="0.2">
      <c r="A902" s="104"/>
      <c r="B902" s="104"/>
      <c r="C902" s="104"/>
      <c r="D902" s="104"/>
      <c r="E902" s="105"/>
      <c r="F902" s="104"/>
      <c r="G902" s="104"/>
      <c r="H902" s="104"/>
    </row>
    <row r="903" spans="1:8" ht="14.25" x14ac:dyDescent="0.2">
      <c r="A903" s="104"/>
      <c r="B903" s="104"/>
      <c r="C903" s="104"/>
      <c r="D903" s="104"/>
      <c r="E903" s="105"/>
      <c r="F903" s="104"/>
      <c r="G903" s="104"/>
      <c r="H903" s="104"/>
    </row>
    <row r="904" spans="1:8" ht="14.25" x14ac:dyDescent="0.2">
      <c r="A904" s="104"/>
      <c r="B904" s="104"/>
      <c r="C904" s="104"/>
      <c r="D904" s="104"/>
      <c r="E904" s="105"/>
      <c r="F904" s="104"/>
      <c r="G904" s="104"/>
      <c r="H904" s="104"/>
    </row>
    <row r="905" spans="1:8" ht="14.25" x14ac:dyDescent="0.2">
      <c r="A905" s="104"/>
      <c r="B905" s="104"/>
      <c r="C905" s="104"/>
      <c r="D905" s="104"/>
      <c r="E905" s="105"/>
      <c r="F905" s="104"/>
      <c r="G905" s="104"/>
      <c r="H905" s="104"/>
    </row>
    <row r="906" spans="1:8" ht="14.25" x14ac:dyDescent="0.2">
      <c r="A906" s="104"/>
      <c r="B906" s="104"/>
      <c r="C906" s="104"/>
      <c r="D906" s="104"/>
      <c r="E906" s="105"/>
      <c r="F906" s="104"/>
      <c r="G906" s="104"/>
      <c r="H906" s="104"/>
    </row>
    <row r="907" spans="1:8" ht="14.25" x14ac:dyDescent="0.2">
      <c r="A907" s="104"/>
      <c r="B907" s="104"/>
      <c r="C907" s="104"/>
      <c r="D907" s="104"/>
      <c r="E907" s="105"/>
      <c r="F907" s="104"/>
      <c r="G907" s="104"/>
      <c r="H907" s="104"/>
    </row>
    <row r="908" spans="1:8" ht="14.25" x14ac:dyDescent="0.2">
      <c r="A908" s="104"/>
      <c r="B908" s="104"/>
      <c r="C908" s="104"/>
      <c r="D908" s="104"/>
      <c r="E908" s="105"/>
      <c r="F908" s="104"/>
      <c r="G908" s="104"/>
      <c r="H908" s="104"/>
    </row>
    <row r="909" spans="1:8" ht="14.25" x14ac:dyDescent="0.2">
      <c r="A909" s="104"/>
      <c r="B909" s="104"/>
      <c r="C909" s="104"/>
      <c r="D909" s="104"/>
      <c r="E909" s="105"/>
      <c r="F909" s="104"/>
      <c r="G909" s="104"/>
      <c r="H909" s="104"/>
    </row>
    <row r="910" spans="1:8" ht="14.25" x14ac:dyDescent="0.2">
      <c r="A910" s="104"/>
      <c r="B910" s="104"/>
      <c r="C910" s="104"/>
      <c r="D910" s="104"/>
      <c r="E910" s="105"/>
      <c r="F910" s="104"/>
      <c r="G910" s="104"/>
      <c r="H910" s="104"/>
    </row>
    <row r="911" spans="1:8" ht="14.25" x14ac:dyDescent="0.2">
      <c r="A911" s="104"/>
      <c r="B911" s="104"/>
      <c r="C911" s="104"/>
      <c r="D911" s="104"/>
      <c r="E911" s="105"/>
      <c r="F911" s="104"/>
      <c r="G911" s="104"/>
      <c r="H911" s="104"/>
    </row>
    <row r="912" spans="1:8" ht="14.25" x14ac:dyDescent="0.2">
      <c r="A912" s="104"/>
      <c r="B912" s="104"/>
      <c r="C912" s="104"/>
      <c r="D912" s="104"/>
      <c r="E912" s="105"/>
      <c r="F912" s="104"/>
      <c r="G912" s="104"/>
      <c r="H912" s="104"/>
    </row>
    <row r="913" spans="1:8" ht="14.25" x14ac:dyDescent="0.2">
      <c r="A913" s="104"/>
      <c r="B913" s="104"/>
      <c r="C913" s="104"/>
      <c r="D913" s="104"/>
      <c r="E913" s="105"/>
      <c r="F913" s="104"/>
      <c r="G913" s="104"/>
      <c r="H913" s="104"/>
    </row>
    <row r="914" spans="1:8" ht="14.25" x14ac:dyDescent="0.2">
      <c r="A914" s="104"/>
      <c r="B914" s="104"/>
      <c r="C914" s="104"/>
      <c r="D914" s="104"/>
      <c r="E914" s="105"/>
      <c r="F914" s="104"/>
      <c r="G914" s="104"/>
      <c r="H914" s="104"/>
    </row>
    <row r="915" spans="1:8" ht="14.25" x14ac:dyDescent="0.2">
      <c r="A915" s="104"/>
      <c r="B915" s="104"/>
      <c r="C915" s="104"/>
      <c r="D915" s="104"/>
      <c r="E915" s="105"/>
      <c r="F915" s="104"/>
      <c r="G915" s="104"/>
      <c r="H915" s="104"/>
    </row>
    <row r="916" spans="1:8" ht="14.25" x14ac:dyDescent="0.2">
      <c r="A916" s="104"/>
      <c r="B916" s="104"/>
      <c r="C916" s="104"/>
      <c r="D916" s="104"/>
      <c r="E916" s="105"/>
      <c r="F916" s="104"/>
      <c r="G916" s="104"/>
      <c r="H916" s="104"/>
    </row>
    <row r="917" spans="1:8" ht="14.25" x14ac:dyDescent="0.2">
      <c r="A917" s="104"/>
      <c r="B917" s="104"/>
      <c r="C917" s="104"/>
      <c r="D917" s="104"/>
      <c r="E917" s="105"/>
      <c r="F917" s="104"/>
      <c r="G917" s="104"/>
      <c r="H917" s="104"/>
    </row>
    <row r="918" spans="1:8" ht="14.25" x14ac:dyDescent="0.2">
      <c r="A918" s="104"/>
      <c r="B918" s="104"/>
      <c r="C918" s="104"/>
      <c r="D918" s="104"/>
      <c r="E918" s="105"/>
      <c r="F918" s="104"/>
      <c r="G918" s="104"/>
      <c r="H918" s="104"/>
    </row>
    <row r="919" spans="1:8" ht="14.25" x14ac:dyDescent="0.2">
      <c r="A919" s="104"/>
      <c r="B919" s="104"/>
      <c r="C919" s="104"/>
      <c r="D919" s="104"/>
      <c r="E919" s="105"/>
      <c r="F919" s="104"/>
      <c r="G919" s="104"/>
      <c r="H919" s="104"/>
    </row>
    <row r="920" spans="1:8" ht="14.25" x14ac:dyDescent="0.2">
      <c r="A920" s="104"/>
      <c r="B920" s="104"/>
      <c r="C920" s="104"/>
      <c r="D920" s="104"/>
      <c r="E920" s="105"/>
      <c r="F920" s="104"/>
      <c r="G920" s="104"/>
      <c r="H920" s="104"/>
    </row>
    <row r="921" spans="1:8" ht="14.25" x14ac:dyDescent="0.2">
      <c r="A921" s="104"/>
      <c r="B921" s="104"/>
      <c r="C921" s="104"/>
      <c r="D921" s="104"/>
      <c r="E921" s="105"/>
      <c r="F921" s="104"/>
      <c r="G921" s="104"/>
      <c r="H921" s="104"/>
    </row>
    <row r="922" spans="1:8" ht="14.25" x14ac:dyDescent="0.2">
      <c r="A922" s="104"/>
      <c r="B922" s="104"/>
      <c r="C922" s="104"/>
      <c r="D922" s="104"/>
      <c r="E922" s="105"/>
      <c r="F922" s="104"/>
      <c r="G922" s="104"/>
      <c r="H922" s="104"/>
    </row>
    <row r="923" spans="1:8" ht="14.25" x14ac:dyDescent="0.2">
      <c r="A923" s="104"/>
      <c r="B923" s="104"/>
      <c r="C923" s="104"/>
      <c r="D923" s="104"/>
      <c r="E923" s="105"/>
      <c r="F923" s="104"/>
      <c r="G923" s="104"/>
      <c r="H923" s="104"/>
    </row>
    <row r="924" spans="1:8" ht="14.25" x14ac:dyDescent="0.2">
      <c r="A924" s="104"/>
      <c r="B924" s="104"/>
      <c r="C924" s="104"/>
      <c r="D924" s="104"/>
      <c r="E924" s="105"/>
      <c r="F924" s="104"/>
      <c r="G924" s="104"/>
      <c r="H924" s="104"/>
    </row>
    <row r="925" spans="1:8" ht="14.25" x14ac:dyDescent="0.2">
      <c r="A925" s="104"/>
      <c r="B925" s="104"/>
      <c r="C925" s="104"/>
      <c r="D925" s="104"/>
      <c r="E925" s="105"/>
      <c r="F925" s="104"/>
      <c r="G925" s="104"/>
      <c r="H925" s="104"/>
    </row>
    <row r="926" spans="1:8" ht="14.25" x14ac:dyDescent="0.2">
      <c r="A926" s="104"/>
      <c r="B926" s="104"/>
      <c r="C926" s="104"/>
      <c r="D926" s="104"/>
      <c r="E926" s="105"/>
      <c r="F926" s="104"/>
      <c r="G926" s="104"/>
      <c r="H926" s="104"/>
    </row>
    <row r="927" spans="1:8" ht="14.25" x14ac:dyDescent="0.2">
      <c r="A927" s="104"/>
      <c r="B927" s="104"/>
      <c r="C927" s="104"/>
      <c r="D927" s="104"/>
      <c r="E927" s="105"/>
      <c r="F927" s="104"/>
      <c r="G927" s="104"/>
      <c r="H927" s="104"/>
    </row>
    <row r="928" spans="1:8" ht="14.25" x14ac:dyDescent="0.2">
      <c r="A928" s="104"/>
      <c r="B928" s="104"/>
      <c r="C928" s="104"/>
      <c r="D928" s="104"/>
      <c r="E928" s="105"/>
      <c r="F928" s="104"/>
      <c r="G928" s="104"/>
      <c r="H928" s="104"/>
    </row>
    <row r="929" spans="1:8" ht="14.25" x14ac:dyDescent="0.2">
      <c r="A929" s="104"/>
      <c r="B929" s="104"/>
      <c r="C929" s="104"/>
      <c r="D929" s="104"/>
      <c r="E929" s="105"/>
      <c r="F929" s="104"/>
      <c r="G929" s="104"/>
      <c r="H929" s="104"/>
    </row>
    <row r="930" spans="1:8" ht="14.25" x14ac:dyDescent="0.2">
      <c r="A930" s="104"/>
      <c r="B930" s="104"/>
      <c r="C930" s="104"/>
      <c r="D930" s="104"/>
      <c r="E930" s="105"/>
      <c r="F930" s="104"/>
      <c r="G930" s="104"/>
      <c r="H930" s="104"/>
    </row>
    <row r="931" spans="1:8" ht="14.25" x14ac:dyDescent="0.2">
      <c r="A931" s="104"/>
      <c r="B931" s="104"/>
      <c r="C931" s="104"/>
      <c r="D931" s="104"/>
      <c r="E931" s="105"/>
      <c r="F931" s="104"/>
      <c r="G931" s="104"/>
      <c r="H931" s="104"/>
    </row>
    <row r="932" spans="1:8" ht="14.25" x14ac:dyDescent="0.2">
      <c r="A932" s="104"/>
      <c r="B932" s="104"/>
      <c r="C932" s="104"/>
      <c r="D932" s="104"/>
      <c r="E932" s="105"/>
      <c r="F932" s="104"/>
      <c r="G932" s="104"/>
      <c r="H932" s="104"/>
    </row>
    <row r="933" spans="1:8" ht="14.25" x14ac:dyDescent="0.2">
      <c r="A933" s="104"/>
      <c r="B933" s="104"/>
      <c r="C933" s="104"/>
      <c r="D933" s="104"/>
      <c r="E933" s="105"/>
      <c r="F933" s="104"/>
      <c r="G933" s="104"/>
      <c r="H933" s="104"/>
    </row>
    <row r="934" spans="1:8" ht="14.25" x14ac:dyDescent="0.2">
      <c r="A934" s="104"/>
      <c r="B934" s="104"/>
      <c r="C934" s="104"/>
      <c r="D934" s="104"/>
      <c r="E934" s="105"/>
      <c r="F934" s="104"/>
      <c r="G934" s="104"/>
      <c r="H934" s="104"/>
    </row>
    <row r="935" spans="1:8" ht="14.25" x14ac:dyDescent="0.2">
      <c r="A935" s="104"/>
      <c r="B935" s="104"/>
      <c r="C935" s="104"/>
      <c r="D935" s="104"/>
      <c r="E935" s="105"/>
      <c r="F935" s="104"/>
      <c r="G935" s="104"/>
      <c r="H935" s="104"/>
    </row>
    <row r="936" spans="1:8" ht="14.25" x14ac:dyDescent="0.2">
      <c r="A936" s="104"/>
      <c r="B936" s="104"/>
      <c r="C936" s="104"/>
      <c r="D936" s="104"/>
      <c r="E936" s="105"/>
      <c r="F936" s="104"/>
      <c r="G936" s="104"/>
      <c r="H936" s="104"/>
    </row>
    <row r="937" spans="1:8" ht="14.25" x14ac:dyDescent="0.2">
      <c r="A937" s="104"/>
      <c r="B937" s="104"/>
      <c r="C937" s="104"/>
      <c r="D937" s="104"/>
      <c r="E937" s="105"/>
      <c r="F937" s="104"/>
      <c r="G937" s="104"/>
      <c r="H937" s="104"/>
    </row>
    <row r="938" spans="1:8" ht="14.25" x14ac:dyDescent="0.2">
      <c r="A938" s="104"/>
      <c r="B938" s="104"/>
      <c r="C938" s="104"/>
      <c r="D938" s="104"/>
      <c r="E938" s="105"/>
      <c r="F938" s="104"/>
      <c r="G938" s="104"/>
      <c r="H938" s="104"/>
    </row>
    <row r="939" spans="1:8" ht="14.25" x14ac:dyDescent="0.2">
      <c r="A939" s="104"/>
      <c r="B939" s="104"/>
      <c r="C939" s="104"/>
      <c r="D939" s="104"/>
      <c r="E939" s="105"/>
      <c r="F939" s="104"/>
      <c r="G939" s="104"/>
      <c r="H939" s="104"/>
    </row>
    <row r="940" spans="1:8" ht="14.25" x14ac:dyDescent="0.2">
      <c r="A940" s="104"/>
      <c r="B940" s="104"/>
      <c r="C940" s="104"/>
      <c r="D940" s="104"/>
      <c r="E940" s="105"/>
      <c r="F940" s="104"/>
      <c r="G940" s="104"/>
      <c r="H940" s="104"/>
    </row>
    <row r="941" spans="1:8" ht="14.25" x14ac:dyDescent="0.2">
      <c r="A941" s="104"/>
      <c r="B941" s="104"/>
      <c r="C941" s="104"/>
      <c r="D941" s="104"/>
      <c r="E941" s="105"/>
      <c r="F941" s="104"/>
      <c r="G941" s="104"/>
      <c r="H941" s="104"/>
    </row>
    <row r="942" spans="1:8" ht="14.25" x14ac:dyDescent="0.2">
      <c r="A942" s="104"/>
      <c r="B942" s="104"/>
      <c r="C942" s="104"/>
      <c r="D942" s="104"/>
      <c r="E942" s="105"/>
      <c r="F942" s="104"/>
      <c r="G942" s="104"/>
      <c r="H942" s="104"/>
    </row>
    <row r="943" spans="1:8" ht="14.25" x14ac:dyDescent="0.2">
      <c r="A943" s="104"/>
      <c r="B943" s="104"/>
      <c r="C943" s="104"/>
      <c r="D943" s="104"/>
      <c r="E943" s="105"/>
      <c r="F943" s="104"/>
      <c r="G943" s="104"/>
      <c r="H943" s="104"/>
    </row>
    <row r="944" spans="1:8" ht="14.25" x14ac:dyDescent="0.2">
      <c r="A944" s="104"/>
      <c r="B944" s="104"/>
      <c r="C944" s="104"/>
      <c r="D944" s="104"/>
      <c r="E944" s="105"/>
      <c r="F944" s="104"/>
      <c r="G944" s="104"/>
      <c r="H944" s="104"/>
    </row>
    <row r="945" spans="1:8" ht="14.25" x14ac:dyDescent="0.2">
      <c r="A945" s="104"/>
      <c r="B945" s="104"/>
      <c r="C945" s="104"/>
      <c r="D945" s="104"/>
      <c r="E945" s="105"/>
      <c r="F945" s="104"/>
      <c r="G945" s="104"/>
      <c r="H945" s="104"/>
    </row>
    <row r="946" spans="1:8" ht="14.25" x14ac:dyDescent="0.2">
      <c r="A946" s="104"/>
      <c r="B946" s="104"/>
      <c r="C946" s="104"/>
      <c r="D946" s="104"/>
      <c r="E946" s="105"/>
      <c r="F946" s="104"/>
      <c r="G946" s="104"/>
      <c r="H946" s="104"/>
    </row>
    <row r="947" spans="1:8" ht="14.25" x14ac:dyDescent="0.2">
      <c r="A947" s="104"/>
      <c r="B947" s="104"/>
      <c r="C947" s="104"/>
      <c r="D947" s="104"/>
      <c r="E947" s="105"/>
      <c r="F947" s="104"/>
      <c r="G947" s="104"/>
      <c r="H947" s="104"/>
    </row>
    <row r="948" spans="1:8" ht="14.25" x14ac:dyDescent="0.2">
      <c r="A948" s="104"/>
      <c r="B948" s="104"/>
      <c r="C948" s="104"/>
      <c r="D948" s="104"/>
      <c r="E948" s="105"/>
      <c r="F948" s="104"/>
      <c r="G948" s="104"/>
      <c r="H948" s="104"/>
    </row>
    <row r="949" spans="1:8" ht="14.25" x14ac:dyDescent="0.2">
      <c r="A949" s="104"/>
      <c r="B949" s="104"/>
      <c r="C949" s="104"/>
      <c r="D949" s="104"/>
      <c r="E949" s="105"/>
      <c r="F949" s="104"/>
      <c r="G949" s="104"/>
      <c r="H949" s="104"/>
    </row>
    <row r="950" spans="1:8" ht="14.25" x14ac:dyDescent="0.2">
      <c r="A950" s="104"/>
      <c r="B950" s="104"/>
      <c r="C950" s="104"/>
      <c r="D950" s="104"/>
      <c r="E950" s="105"/>
      <c r="F950" s="104"/>
      <c r="G950" s="104"/>
      <c r="H950" s="104"/>
    </row>
    <row r="951" spans="1:8" ht="14.25" x14ac:dyDescent="0.2">
      <c r="A951" s="104"/>
      <c r="B951" s="104"/>
      <c r="C951" s="104"/>
      <c r="D951" s="104"/>
      <c r="E951" s="105"/>
      <c r="F951" s="104"/>
      <c r="G951" s="104"/>
      <c r="H951" s="104"/>
    </row>
    <row r="952" spans="1:8" ht="14.25" x14ac:dyDescent="0.2">
      <c r="A952" s="104"/>
      <c r="B952" s="104"/>
      <c r="C952" s="104"/>
      <c r="D952" s="104"/>
      <c r="E952" s="105"/>
      <c r="F952" s="104"/>
      <c r="G952" s="104"/>
      <c r="H952" s="104"/>
    </row>
    <row r="953" spans="1:8" ht="14.25" x14ac:dyDescent="0.2">
      <c r="A953" s="104"/>
      <c r="B953" s="104"/>
      <c r="C953" s="104"/>
      <c r="D953" s="104"/>
      <c r="E953" s="105"/>
      <c r="F953" s="104"/>
      <c r="G953" s="104"/>
      <c r="H953" s="104"/>
    </row>
    <row r="954" spans="1:8" ht="14.25" x14ac:dyDescent="0.2">
      <c r="A954" s="104"/>
      <c r="B954" s="104"/>
      <c r="C954" s="104"/>
      <c r="D954" s="104"/>
      <c r="E954" s="105"/>
      <c r="F954" s="104"/>
      <c r="G954" s="104"/>
      <c r="H954" s="104"/>
    </row>
    <row r="955" spans="1:8" ht="14.25" x14ac:dyDescent="0.2">
      <c r="A955" s="104"/>
      <c r="B955" s="104"/>
      <c r="C955" s="104"/>
      <c r="D955" s="104"/>
      <c r="E955" s="105"/>
      <c r="F955" s="104"/>
      <c r="G955" s="104"/>
      <c r="H955" s="104"/>
    </row>
    <row r="956" spans="1:8" ht="14.25" x14ac:dyDescent="0.2">
      <c r="A956" s="104"/>
      <c r="B956" s="104"/>
      <c r="C956" s="104"/>
      <c r="D956" s="104"/>
      <c r="E956" s="105"/>
      <c r="F956" s="104"/>
      <c r="G956" s="104"/>
      <c r="H956" s="104"/>
    </row>
    <row r="957" spans="1:8" ht="14.25" x14ac:dyDescent="0.2">
      <c r="A957" s="104"/>
      <c r="B957" s="104"/>
      <c r="C957" s="104"/>
      <c r="D957" s="104"/>
      <c r="E957" s="105"/>
      <c r="F957" s="104"/>
      <c r="G957" s="104"/>
      <c r="H957" s="104"/>
    </row>
    <row r="958" spans="1:8" ht="14.25" x14ac:dyDescent="0.2">
      <c r="A958" s="104"/>
      <c r="B958" s="104"/>
      <c r="C958" s="104"/>
      <c r="D958" s="104"/>
      <c r="E958" s="105"/>
      <c r="F958" s="104"/>
      <c r="G958" s="104"/>
      <c r="H958" s="104"/>
    </row>
    <row r="959" spans="1:8" ht="14.25" x14ac:dyDescent="0.2">
      <c r="A959" s="104"/>
      <c r="B959" s="104"/>
      <c r="C959" s="104"/>
      <c r="D959" s="104"/>
      <c r="E959" s="105"/>
      <c r="F959" s="104"/>
      <c r="G959" s="104"/>
      <c r="H959" s="104"/>
    </row>
    <row r="960" spans="1:8" ht="14.25" x14ac:dyDescent="0.2">
      <c r="A960" s="104"/>
      <c r="B960" s="104"/>
      <c r="C960" s="104"/>
      <c r="D960" s="104"/>
      <c r="E960" s="105"/>
      <c r="F960" s="104"/>
      <c r="G960" s="104"/>
      <c r="H960" s="104"/>
    </row>
    <row r="961" spans="1:8" ht="14.25" x14ac:dyDescent="0.2">
      <c r="A961" s="104"/>
      <c r="B961" s="104"/>
      <c r="C961" s="104"/>
      <c r="D961" s="104"/>
      <c r="E961" s="105"/>
      <c r="F961" s="104"/>
      <c r="G961" s="104"/>
      <c r="H961" s="104"/>
    </row>
    <row r="962" spans="1:8" ht="14.25" x14ac:dyDescent="0.2">
      <c r="A962" s="104"/>
      <c r="B962" s="104"/>
      <c r="C962" s="104"/>
      <c r="D962" s="104"/>
      <c r="E962" s="105"/>
      <c r="F962" s="104"/>
      <c r="G962" s="104"/>
      <c r="H962" s="104"/>
    </row>
    <row r="963" spans="1:8" ht="14.25" x14ac:dyDescent="0.2">
      <c r="A963" s="104"/>
      <c r="B963" s="104"/>
      <c r="C963" s="104"/>
      <c r="D963" s="104"/>
      <c r="E963" s="105"/>
      <c r="F963" s="104"/>
      <c r="G963" s="104"/>
      <c r="H963" s="104"/>
    </row>
    <row r="964" spans="1:8" ht="14.25" x14ac:dyDescent="0.2">
      <c r="A964" s="104"/>
      <c r="B964" s="104"/>
      <c r="C964" s="104"/>
      <c r="D964" s="104"/>
      <c r="E964" s="105"/>
      <c r="F964" s="104"/>
      <c r="G964" s="104"/>
      <c r="H964" s="104"/>
    </row>
    <row r="965" spans="1:8" ht="14.25" x14ac:dyDescent="0.2">
      <c r="A965" s="104"/>
      <c r="B965" s="104"/>
      <c r="C965" s="104"/>
      <c r="D965" s="104"/>
      <c r="E965" s="105"/>
      <c r="F965" s="104"/>
      <c r="G965" s="104"/>
      <c r="H965" s="104"/>
    </row>
    <row r="966" spans="1:8" ht="14.25" x14ac:dyDescent="0.2">
      <c r="A966" s="104"/>
      <c r="B966" s="104"/>
      <c r="C966" s="104"/>
      <c r="D966" s="104"/>
      <c r="E966" s="105"/>
      <c r="F966" s="104"/>
      <c r="G966" s="104"/>
      <c r="H966" s="104"/>
    </row>
    <row r="967" spans="1:8" ht="14.25" x14ac:dyDescent="0.2">
      <c r="A967" s="104"/>
      <c r="B967" s="104"/>
      <c r="C967" s="104"/>
      <c r="D967" s="104"/>
      <c r="E967" s="105"/>
      <c r="F967" s="104"/>
      <c r="G967" s="104"/>
      <c r="H967" s="104"/>
    </row>
    <row r="968" spans="1:8" ht="14.25" x14ac:dyDescent="0.2">
      <c r="A968" s="104"/>
      <c r="B968" s="104"/>
      <c r="C968" s="104"/>
      <c r="D968" s="104"/>
      <c r="E968" s="105"/>
      <c r="F968" s="104"/>
      <c r="G968" s="104"/>
      <c r="H968" s="104"/>
    </row>
    <row r="969" spans="1:8" ht="14.25" x14ac:dyDescent="0.2">
      <c r="A969" s="104"/>
      <c r="B969" s="104"/>
      <c r="C969" s="104"/>
      <c r="D969" s="104"/>
      <c r="E969" s="105"/>
      <c r="F969" s="104"/>
      <c r="G969" s="104"/>
      <c r="H969" s="104"/>
    </row>
    <row r="970" spans="1:8" ht="14.25" x14ac:dyDescent="0.2">
      <c r="A970" s="104"/>
      <c r="B970" s="104"/>
      <c r="C970" s="104"/>
      <c r="D970" s="104"/>
      <c r="E970" s="105"/>
      <c r="F970" s="104"/>
      <c r="G970" s="104"/>
      <c r="H970" s="104"/>
    </row>
    <row r="971" spans="1:8" ht="14.25" x14ac:dyDescent="0.2">
      <c r="A971" s="104"/>
      <c r="B971" s="104"/>
      <c r="C971" s="104"/>
      <c r="D971" s="104"/>
      <c r="E971" s="105"/>
      <c r="F971" s="104"/>
      <c r="G971" s="104"/>
      <c r="H971" s="104"/>
    </row>
    <row r="972" spans="1:8" ht="14.25" x14ac:dyDescent="0.2">
      <c r="A972" s="104"/>
      <c r="B972" s="104"/>
      <c r="C972" s="104"/>
      <c r="D972" s="104"/>
      <c r="E972" s="105"/>
      <c r="F972" s="104"/>
      <c r="G972" s="104"/>
      <c r="H972" s="104"/>
    </row>
    <row r="973" spans="1:8" ht="14.25" x14ac:dyDescent="0.2">
      <c r="A973" s="104"/>
      <c r="B973" s="104"/>
      <c r="C973" s="104"/>
      <c r="D973" s="104"/>
      <c r="E973" s="105"/>
      <c r="F973" s="104"/>
      <c r="G973" s="104"/>
      <c r="H973" s="104"/>
    </row>
    <row r="974" spans="1:8" ht="14.25" x14ac:dyDescent="0.2">
      <c r="A974" s="104"/>
      <c r="B974" s="104"/>
      <c r="C974" s="104"/>
      <c r="D974" s="104"/>
      <c r="E974" s="105"/>
      <c r="F974" s="104"/>
      <c r="G974" s="104"/>
      <c r="H974" s="104"/>
    </row>
    <row r="975" spans="1:8" ht="14.25" x14ac:dyDescent="0.2">
      <c r="A975" s="104"/>
      <c r="B975" s="104"/>
      <c r="C975" s="104"/>
      <c r="D975" s="104"/>
      <c r="E975" s="105"/>
      <c r="F975" s="104"/>
      <c r="G975" s="104"/>
      <c r="H975" s="104"/>
    </row>
    <row r="976" spans="1:8" ht="14.25" x14ac:dyDescent="0.2">
      <c r="A976" s="104"/>
      <c r="B976" s="104"/>
      <c r="C976" s="104"/>
      <c r="D976" s="104"/>
      <c r="E976" s="105"/>
      <c r="F976" s="104"/>
      <c r="G976" s="104"/>
      <c r="H976" s="104"/>
    </row>
    <row r="977" spans="1:8" ht="14.25" x14ac:dyDescent="0.2">
      <c r="A977" s="104"/>
      <c r="B977" s="104"/>
      <c r="C977" s="104"/>
      <c r="D977" s="104"/>
      <c r="E977" s="105"/>
      <c r="F977" s="104"/>
      <c r="G977" s="104"/>
      <c r="H977" s="104"/>
    </row>
    <row r="978" spans="1:8" ht="14.25" x14ac:dyDescent="0.2">
      <c r="A978" s="104"/>
      <c r="B978" s="104"/>
      <c r="C978" s="104"/>
      <c r="D978" s="104"/>
      <c r="E978" s="105"/>
      <c r="F978" s="104"/>
      <c r="G978" s="104"/>
      <c r="H978" s="104"/>
    </row>
    <row r="979" spans="1:8" ht="14.25" x14ac:dyDescent="0.2">
      <c r="A979" s="104"/>
      <c r="B979" s="104"/>
      <c r="C979" s="104"/>
      <c r="D979" s="104"/>
      <c r="E979" s="105"/>
      <c r="F979" s="104"/>
      <c r="G979" s="104"/>
      <c r="H979" s="104"/>
    </row>
    <row r="980" spans="1:8" ht="14.25" x14ac:dyDescent="0.2">
      <c r="A980" s="104"/>
      <c r="B980" s="104"/>
      <c r="C980" s="104"/>
      <c r="D980" s="104"/>
      <c r="E980" s="105"/>
      <c r="F980" s="104"/>
      <c r="G980" s="104"/>
      <c r="H980" s="104"/>
    </row>
    <row r="981" spans="1:8" ht="14.25" x14ac:dyDescent="0.2">
      <c r="A981" s="104"/>
      <c r="B981" s="104"/>
      <c r="C981" s="104"/>
      <c r="D981" s="104"/>
      <c r="E981" s="105"/>
      <c r="F981" s="104"/>
      <c r="G981" s="104"/>
      <c r="H981" s="104"/>
    </row>
    <row r="982" spans="1:8" ht="14.25" x14ac:dyDescent="0.2">
      <c r="A982" s="104"/>
      <c r="B982" s="104"/>
      <c r="C982" s="104"/>
      <c r="D982" s="104"/>
      <c r="E982" s="105"/>
      <c r="F982" s="104"/>
      <c r="G982" s="104"/>
      <c r="H982" s="104"/>
    </row>
    <row r="983" spans="1:8" ht="14.25" x14ac:dyDescent="0.2">
      <c r="A983" s="104"/>
      <c r="B983" s="104"/>
      <c r="C983" s="104"/>
      <c r="D983" s="104"/>
      <c r="E983" s="105"/>
      <c r="F983" s="104"/>
      <c r="G983" s="104"/>
      <c r="H983" s="104"/>
    </row>
    <row r="984" spans="1:8" ht="14.25" x14ac:dyDescent="0.2">
      <c r="A984" s="104"/>
      <c r="B984" s="104"/>
      <c r="C984" s="104"/>
      <c r="D984" s="104"/>
      <c r="E984" s="105"/>
      <c r="F984" s="104"/>
      <c r="G984" s="104"/>
      <c r="H984" s="104"/>
    </row>
    <row r="985" spans="1:8" ht="14.25" x14ac:dyDescent="0.2">
      <c r="A985" s="104"/>
      <c r="B985" s="104"/>
      <c r="C985" s="104"/>
      <c r="D985" s="104"/>
      <c r="E985" s="105"/>
      <c r="F985" s="104"/>
      <c r="G985" s="104"/>
      <c r="H985" s="104"/>
    </row>
    <row r="986" spans="1:8" ht="14.25" x14ac:dyDescent="0.2">
      <c r="A986" s="104"/>
      <c r="B986" s="104"/>
      <c r="C986" s="104"/>
      <c r="D986" s="104"/>
      <c r="E986" s="105"/>
      <c r="F986" s="104"/>
      <c r="G986" s="104"/>
      <c r="H986" s="104"/>
    </row>
    <row r="987" spans="1:8" ht="14.25" x14ac:dyDescent="0.2">
      <c r="A987" s="104"/>
      <c r="B987" s="104"/>
      <c r="C987" s="104"/>
      <c r="D987" s="104"/>
      <c r="E987" s="105"/>
      <c r="F987" s="104"/>
      <c r="G987" s="104"/>
      <c r="H987" s="104"/>
    </row>
    <row r="988" spans="1:8" ht="14.25" x14ac:dyDescent="0.2">
      <c r="A988" s="104"/>
      <c r="B988" s="104"/>
      <c r="C988" s="104"/>
      <c r="D988" s="104"/>
      <c r="E988" s="105"/>
      <c r="F988" s="104"/>
      <c r="G988" s="104"/>
      <c r="H988" s="104"/>
    </row>
    <row r="989" spans="1:8" ht="14.25" x14ac:dyDescent="0.2">
      <c r="A989" s="104"/>
      <c r="B989" s="104"/>
      <c r="C989" s="104"/>
      <c r="D989" s="104"/>
      <c r="E989" s="105"/>
      <c r="F989" s="104"/>
      <c r="G989" s="104"/>
      <c r="H989" s="104"/>
    </row>
    <row r="990" spans="1:8" ht="14.25" x14ac:dyDescent="0.2">
      <c r="A990" s="104"/>
      <c r="B990" s="104"/>
      <c r="C990" s="104"/>
      <c r="D990" s="104"/>
      <c r="E990" s="105"/>
      <c r="F990" s="104"/>
      <c r="G990" s="104"/>
      <c r="H990" s="104"/>
    </row>
    <row r="991" spans="1:8" ht="14.25" x14ac:dyDescent="0.2">
      <c r="A991" s="104"/>
      <c r="B991" s="104"/>
      <c r="C991" s="104"/>
      <c r="D991" s="104"/>
      <c r="E991" s="105"/>
      <c r="F991" s="104"/>
      <c r="G991" s="104"/>
      <c r="H991" s="104"/>
    </row>
    <row r="992" spans="1:8" ht="14.25" x14ac:dyDescent="0.2">
      <c r="A992" s="104"/>
      <c r="B992" s="104"/>
      <c r="C992" s="104"/>
      <c r="D992" s="104"/>
      <c r="E992" s="105"/>
      <c r="F992" s="104"/>
      <c r="G992" s="104"/>
      <c r="H992" s="104"/>
    </row>
    <row r="993" spans="1:8" ht="14.25" x14ac:dyDescent="0.2">
      <c r="A993" s="104"/>
      <c r="B993" s="104"/>
      <c r="C993" s="104"/>
      <c r="D993" s="104"/>
      <c r="E993" s="105"/>
      <c r="F993" s="104"/>
      <c r="G993" s="104"/>
      <c r="H993" s="104"/>
    </row>
    <row r="994" spans="1:8" ht="14.25" x14ac:dyDescent="0.2">
      <c r="A994" s="104"/>
      <c r="B994" s="104"/>
      <c r="C994" s="104"/>
      <c r="D994" s="104"/>
      <c r="E994" s="105"/>
      <c r="F994" s="104"/>
      <c r="G994" s="104"/>
      <c r="H994" s="104"/>
    </row>
    <row r="995" spans="1:8" ht="14.25" x14ac:dyDescent="0.2">
      <c r="A995" s="104"/>
      <c r="B995" s="104"/>
      <c r="C995" s="104"/>
      <c r="D995" s="104"/>
      <c r="E995" s="105"/>
      <c r="F995" s="104"/>
      <c r="G995" s="104"/>
      <c r="H995" s="104"/>
    </row>
    <row r="996" spans="1:8" ht="14.25" x14ac:dyDescent="0.2">
      <c r="A996" s="104"/>
      <c r="B996" s="104"/>
      <c r="C996" s="104"/>
      <c r="D996" s="104"/>
      <c r="E996" s="105"/>
      <c r="F996" s="104"/>
      <c r="G996" s="104"/>
      <c r="H996" s="104"/>
    </row>
    <row r="997" spans="1:8" ht="14.25" x14ac:dyDescent="0.2">
      <c r="A997" s="104"/>
      <c r="B997" s="104"/>
      <c r="C997" s="104"/>
      <c r="D997" s="104"/>
      <c r="E997" s="105"/>
      <c r="F997" s="104"/>
      <c r="G997" s="104"/>
      <c r="H997" s="104"/>
    </row>
    <row r="998" spans="1:8" ht="14.25" x14ac:dyDescent="0.2">
      <c r="A998" s="104"/>
      <c r="B998" s="104"/>
      <c r="C998" s="104"/>
      <c r="D998" s="104"/>
      <c r="E998" s="105"/>
      <c r="F998" s="104"/>
      <c r="G998" s="104"/>
      <c r="H998" s="104"/>
    </row>
    <row r="999" spans="1:8" ht="14.25" x14ac:dyDescent="0.2">
      <c r="A999" s="104"/>
      <c r="B999" s="104"/>
      <c r="C999" s="104"/>
      <c r="D999" s="104"/>
      <c r="E999" s="105"/>
      <c r="F999" s="104"/>
      <c r="G999" s="104"/>
      <c r="H999" s="104"/>
    </row>
    <row r="1000" spans="1:8" ht="14.25" x14ac:dyDescent="0.2">
      <c r="A1000" s="104"/>
      <c r="B1000" s="104"/>
      <c r="C1000" s="104"/>
      <c r="D1000" s="104"/>
      <c r="E1000" s="105"/>
      <c r="F1000" s="104"/>
      <c r="G1000" s="104"/>
      <c r="H1000" s="104"/>
    </row>
    <row r="1001" spans="1:8" ht="14.25" x14ac:dyDescent="0.2">
      <c r="A1001" s="104"/>
      <c r="B1001" s="104"/>
      <c r="C1001" s="104"/>
      <c r="D1001" s="104"/>
      <c r="E1001" s="105"/>
      <c r="F1001" s="104"/>
      <c r="G1001" s="104"/>
      <c r="H1001" s="104"/>
    </row>
    <row r="1002" spans="1:8" ht="14.25" x14ac:dyDescent="0.2">
      <c r="A1002" s="104"/>
      <c r="B1002" s="104"/>
      <c r="C1002" s="104"/>
      <c r="D1002" s="104"/>
      <c r="E1002" s="105"/>
      <c r="F1002" s="104"/>
      <c r="G1002" s="104"/>
      <c r="H1002" s="104"/>
    </row>
  </sheetData>
  <mergeCells count="1">
    <mergeCell ref="A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A6ECE-6FC8-EB42-90CB-06B2DCB8CC46}">
  <sheetPr>
    <pageSetUpPr fitToPage="1"/>
  </sheetPr>
  <dimension ref="A1:L128"/>
  <sheetViews>
    <sheetView workbookViewId="0">
      <selection activeCell="E19" sqref="E19"/>
    </sheetView>
  </sheetViews>
  <sheetFormatPr defaultColWidth="10.85546875" defaultRowHeight="18.75" x14ac:dyDescent="0.3"/>
  <cols>
    <col min="1" max="1" width="10.85546875" style="7"/>
    <col min="2" max="2" width="20.42578125" style="4" customWidth="1"/>
    <col min="3" max="10" width="16.28515625" style="4" customWidth="1"/>
    <col min="11" max="11" width="16.28515625" style="7" customWidth="1"/>
    <col min="12" max="16384" width="10.85546875" style="4"/>
  </cols>
  <sheetData>
    <row r="1" spans="1:12" x14ac:dyDescent="0.3">
      <c r="A1" s="139" t="s">
        <v>168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2" x14ac:dyDescent="0.3">
      <c r="A2" s="142" t="s">
        <v>129</v>
      </c>
      <c r="B2" s="142" t="s">
        <v>128</v>
      </c>
      <c r="C2" s="143" t="s">
        <v>159</v>
      </c>
      <c r="D2" s="144"/>
      <c r="E2" s="144"/>
      <c r="F2" s="144"/>
      <c r="G2" s="144"/>
      <c r="H2" s="144"/>
      <c r="I2" s="145"/>
      <c r="J2" s="142" t="s">
        <v>160</v>
      </c>
      <c r="K2" s="140" t="s">
        <v>169</v>
      </c>
    </row>
    <row r="3" spans="1:12" ht="93.75" x14ac:dyDescent="0.3">
      <c r="A3" s="142"/>
      <c r="B3" s="142"/>
      <c r="C3" s="1" t="s">
        <v>161</v>
      </c>
      <c r="D3" s="1" t="s">
        <v>162</v>
      </c>
      <c r="E3" s="1" t="s">
        <v>163</v>
      </c>
      <c r="F3" s="1" t="s">
        <v>164</v>
      </c>
      <c r="G3" s="1" t="s">
        <v>165</v>
      </c>
      <c r="H3" s="1" t="s">
        <v>166</v>
      </c>
      <c r="I3" s="1" t="s">
        <v>167</v>
      </c>
      <c r="J3" s="142"/>
      <c r="K3" s="141"/>
    </row>
    <row r="4" spans="1:12" x14ac:dyDescent="0.3">
      <c r="A4" s="1"/>
      <c r="B4" s="1" t="s">
        <v>132</v>
      </c>
      <c r="C4" s="1">
        <f>SUM(C5:C128)</f>
        <v>0</v>
      </c>
      <c r="D4" s="1">
        <f t="shared" ref="D4:K4" si="0">SUM(D5:D128)</f>
        <v>0</v>
      </c>
      <c r="E4" s="1">
        <f t="shared" si="0"/>
        <v>0</v>
      </c>
      <c r="F4" s="1">
        <f t="shared" si="0"/>
        <v>0</v>
      </c>
      <c r="G4" s="1">
        <f t="shared" si="0"/>
        <v>0</v>
      </c>
      <c r="H4" s="1">
        <f t="shared" si="0"/>
        <v>0</v>
      </c>
      <c r="I4" s="1">
        <f t="shared" si="0"/>
        <v>0</v>
      </c>
      <c r="J4" s="1">
        <f t="shared" si="0"/>
        <v>0</v>
      </c>
      <c r="K4" s="1">
        <f t="shared" si="0"/>
        <v>0</v>
      </c>
      <c r="L4" s="42"/>
    </row>
    <row r="5" spans="1:12" x14ac:dyDescent="0.3">
      <c r="A5" s="1" cm="1">
        <f t="array" ref="A5">1+COUNT(_xlfn.UNIQUE(_xlfn._xlws.FILTER($K$5:$K$128, $K$5:$K$128 &lt; K5)))</f>
        <v>1</v>
      </c>
      <c r="B5" s="43" t="s">
        <v>31</v>
      </c>
      <c r="C5" s="40"/>
      <c r="D5" s="44"/>
      <c r="E5" s="44"/>
      <c r="F5" s="40"/>
      <c r="G5" s="40"/>
      <c r="H5" s="40"/>
      <c r="I5" s="40"/>
      <c r="J5" s="40"/>
      <c r="K5" s="46">
        <f t="shared" ref="K5:K36" si="1">C5-E5-G5</f>
        <v>0</v>
      </c>
    </row>
    <row r="6" spans="1:12" x14ac:dyDescent="0.3">
      <c r="A6" s="1" cm="1">
        <f t="array" ref="A6">1+COUNT(_xlfn.UNIQUE(_xlfn._xlws.FILTER($K$5:$K$128, $K$5:$K$128 &lt; K6)))</f>
        <v>1</v>
      </c>
      <c r="B6" s="43" t="s">
        <v>29</v>
      </c>
      <c r="C6" s="40"/>
      <c r="D6" s="44"/>
      <c r="E6" s="44"/>
      <c r="F6" s="40"/>
      <c r="G6" s="40"/>
      <c r="H6" s="40"/>
      <c r="I6" s="40"/>
      <c r="J6" s="40"/>
      <c r="K6" s="46">
        <f t="shared" si="1"/>
        <v>0</v>
      </c>
    </row>
    <row r="7" spans="1:12" x14ac:dyDescent="0.3">
      <c r="A7" s="1" cm="1">
        <f t="array" ref="A7">1+COUNT(_xlfn.UNIQUE(_xlfn._xlws.FILTER($K$5:$K$128, $K$5:$K$128 &lt; K7)))</f>
        <v>1</v>
      </c>
      <c r="B7" s="43" t="s">
        <v>64</v>
      </c>
      <c r="C7" s="40"/>
      <c r="D7" s="44"/>
      <c r="E7" s="44"/>
      <c r="F7" s="40"/>
      <c r="G7" s="40"/>
      <c r="H7" s="40"/>
      <c r="I7" s="40"/>
      <c r="J7" s="40"/>
      <c r="K7" s="46">
        <f t="shared" si="1"/>
        <v>0</v>
      </c>
    </row>
    <row r="8" spans="1:12" x14ac:dyDescent="0.3">
      <c r="A8" s="1" cm="1">
        <f t="array" ref="A8">1+COUNT(_xlfn.UNIQUE(_xlfn._xlws.FILTER($K$5:$K$128, $K$5:$K$128 &lt; K8)))</f>
        <v>1</v>
      </c>
      <c r="B8" s="43" t="s">
        <v>8</v>
      </c>
      <c r="C8" s="40"/>
      <c r="D8" s="44"/>
      <c r="E8" s="44"/>
      <c r="F8" s="40"/>
      <c r="G8" s="40"/>
      <c r="H8" s="40"/>
      <c r="I8" s="40"/>
      <c r="J8" s="40"/>
      <c r="K8" s="46">
        <f t="shared" si="1"/>
        <v>0</v>
      </c>
    </row>
    <row r="9" spans="1:12" x14ac:dyDescent="0.3">
      <c r="A9" s="1" cm="1">
        <f t="array" ref="A9">1+COUNT(_xlfn.UNIQUE(_xlfn._xlws.FILTER($K$5:$K$128, $K$5:$K$128 &lt; K9)))</f>
        <v>1</v>
      </c>
      <c r="B9" s="43" t="s">
        <v>60</v>
      </c>
      <c r="C9" s="40"/>
      <c r="D9" s="44"/>
      <c r="E9" s="44"/>
      <c r="F9" s="40"/>
      <c r="G9" s="40"/>
      <c r="H9" s="40"/>
      <c r="I9" s="40"/>
      <c r="J9" s="40"/>
      <c r="K9" s="46">
        <f t="shared" si="1"/>
        <v>0</v>
      </c>
    </row>
    <row r="10" spans="1:12" x14ac:dyDescent="0.3">
      <c r="A10" s="1" cm="1">
        <f t="array" ref="A10">1+COUNT(_xlfn.UNIQUE(_xlfn._xlws.FILTER($K$5:$K$128, $K$5:$K$128 &lt; K10)))</f>
        <v>1</v>
      </c>
      <c r="B10" s="43" t="s">
        <v>110</v>
      </c>
      <c r="C10" s="40"/>
      <c r="D10" s="44"/>
      <c r="E10" s="44"/>
      <c r="F10" s="40"/>
      <c r="G10" s="40"/>
      <c r="H10" s="40"/>
      <c r="I10" s="40"/>
      <c r="J10" s="40"/>
      <c r="K10" s="46">
        <f t="shared" si="1"/>
        <v>0</v>
      </c>
    </row>
    <row r="11" spans="1:12" x14ac:dyDescent="0.3">
      <c r="A11" s="1" cm="1">
        <f t="array" ref="A11">1+COUNT(_xlfn.UNIQUE(_xlfn._xlws.FILTER($K$5:$K$128, $K$5:$K$128 &lt; K11)))</f>
        <v>1</v>
      </c>
      <c r="B11" s="43" t="s">
        <v>51</v>
      </c>
      <c r="C11" s="40"/>
      <c r="D11" s="44"/>
      <c r="E11" s="44"/>
      <c r="F11" s="40"/>
      <c r="G11" s="40"/>
      <c r="H11" s="40"/>
      <c r="I11" s="40"/>
      <c r="J11" s="40"/>
      <c r="K11" s="46">
        <f t="shared" si="1"/>
        <v>0</v>
      </c>
    </row>
    <row r="12" spans="1:12" x14ac:dyDescent="0.3">
      <c r="A12" s="1" cm="1">
        <f t="array" ref="A12">1+COUNT(_xlfn.UNIQUE(_xlfn._xlws.FILTER($K$5:$K$128, $K$5:$K$128 &lt; K12)))</f>
        <v>1</v>
      </c>
      <c r="B12" s="43" t="s">
        <v>59</v>
      </c>
      <c r="C12" s="40"/>
      <c r="D12" s="44"/>
      <c r="E12" s="44"/>
      <c r="F12" s="40"/>
      <c r="G12" s="40"/>
      <c r="H12" s="40"/>
      <c r="I12" s="40"/>
      <c r="J12" s="40"/>
      <c r="K12" s="46">
        <f t="shared" si="1"/>
        <v>0</v>
      </c>
    </row>
    <row r="13" spans="1:12" ht="37.5" x14ac:dyDescent="0.3">
      <c r="A13" s="1" cm="1">
        <f t="array" ref="A13">1+COUNT(_xlfn.UNIQUE(_xlfn._xlws.FILTER($K$5:$K$128, $K$5:$K$128 &lt; K13)))</f>
        <v>1</v>
      </c>
      <c r="B13" s="43" t="s">
        <v>11</v>
      </c>
      <c r="C13" s="40"/>
      <c r="D13" s="44"/>
      <c r="E13" s="44"/>
      <c r="F13" s="40"/>
      <c r="G13" s="40"/>
      <c r="H13" s="40"/>
      <c r="I13" s="40"/>
      <c r="J13" s="40"/>
      <c r="K13" s="46">
        <f t="shared" si="1"/>
        <v>0</v>
      </c>
    </row>
    <row r="14" spans="1:12" x14ac:dyDescent="0.3">
      <c r="A14" s="1" cm="1">
        <f t="array" ref="A14">1+COUNT(_xlfn.UNIQUE(_xlfn._xlws.FILTER($K$5:$K$128, $K$5:$K$128 &lt; K14)))</f>
        <v>1</v>
      </c>
      <c r="B14" s="43" t="s">
        <v>27</v>
      </c>
      <c r="C14" s="40"/>
      <c r="D14" s="44"/>
      <c r="E14" s="44"/>
      <c r="F14" s="40"/>
      <c r="G14" s="40"/>
      <c r="H14" s="40"/>
      <c r="I14" s="40"/>
      <c r="J14" s="40"/>
      <c r="K14" s="46">
        <f t="shared" si="1"/>
        <v>0</v>
      </c>
    </row>
    <row r="15" spans="1:12" x14ac:dyDescent="0.3">
      <c r="A15" s="1" cm="1">
        <f t="array" ref="A15">1+COUNT(_xlfn.UNIQUE(_xlfn._xlws.FILTER($K$5:$K$128, $K$5:$K$128 &lt; K15)))</f>
        <v>1</v>
      </c>
      <c r="B15" s="43" t="s">
        <v>97</v>
      </c>
      <c r="C15" s="40"/>
      <c r="D15" s="44"/>
      <c r="E15" s="44"/>
      <c r="F15" s="40"/>
      <c r="G15" s="40"/>
      <c r="H15" s="40"/>
      <c r="I15" s="40"/>
      <c r="J15" s="40"/>
      <c r="K15" s="46">
        <f t="shared" si="1"/>
        <v>0</v>
      </c>
    </row>
    <row r="16" spans="1:12" x14ac:dyDescent="0.3">
      <c r="A16" s="1" cm="1">
        <f t="array" ref="A16">1+COUNT(_xlfn.UNIQUE(_xlfn._xlws.FILTER($K$5:$K$128, $K$5:$K$128 &lt; K16)))</f>
        <v>1</v>
      </c>
      <c r="B16" s="43" t="s">
        <v>120</v>
      </c>
      <c r="C16" s="40"/>
      <c r="D16" s="44"/>
      <c r="E16" s="44"/>
      <c r="F16" s="40"/>
      <c r="G16" s="40"/>
      <c r="H16" s="40"/>
      <c r="I16" s="40"/>
      <c r="J16" s="40"/>
      <c r="K16" s="46">
        <f t="shared" si="1"/>
        <v>0</v>
      </c>
    </row>
    <row r="17" spans="1:11" x14ac:dyDescent="0.3">
      <c r="A17" s="1" cm="1">
        <f t="array" ref="A17">1+COUNT(_xlfn.UNIQUE(_xlfn._xlws.FILTER($K$5:$K$128, $K$5:$K$128 &lt; K17)))</f>
        <v>1</v>
      </c>
      <c r="B17" s="43" t="s">
        <v>88</v>
      </c>
      <c r="C17" s="40"/>
      <c r="D17" s="44"/>
      <c r="E17" s="44"/>
      <c r="F17" s="40"/>
      <c r="G17" s="40"/>
      <c r="H17" s="40"/>
      <c r="I17" s="40"/>
      <c r="J17" s="40"/>
      <c r="K17" s="46">
        <f t="shared" si="1"/>
        <v>0</v>
      </c>
    </row>
    <row r="18" spans="1:11" x14ac:dyDescent="0.3">
      <c r="A18" s="1" cm="1">
        <f t="array" ref="A18">1+COUNT(_xlfn.UNIQUE(_xlfn._xlws.FILTER($K$5:$K$128, $K$5:$K$128 &lt; K18)))</f>
        <v>1</v>
      </c>
      <c r="B18" s="43" t="s">
        <v>44</v>
      </c>
      <c r="C18" s="40"/>
      <c r="D18" s="44"/>
      <c r="E18" s="44"/>
      <c r="F18" s="40"/>
      <c r="G18" s="40"/>
      <c r="H18" s="40"/>
      <c r="I18" s="40"/>
      <c r="J18" s="40"/>
      <c r="K18" s="46">
        <f t="shared" si="1"/>
        <v>0</v>
      </c>
    </row>
    <row r="19" spans="1:11" x14ac:dyDescent="0.3">
      <c r="A19" s="1" cm="1">
        <f t="array" ref="A19">1+COUNT(_xlfn.UNIQUE(_xlfn._xlws.FILTER($K$5:$K$128, $K$5:$K$128 &lt; K19)))</f>
        <v>1</v>
      </c>
      <c r="B19" s="43" t="s">
        <v>45</v>
      </c>
      <c r="C19" s="40"/>
      <c r="D19" s="44"/>
      <c r="E19" s="44"/>
      <c r="F19" s="40"/>
      <c r="G19" s="40"/>
      <c r="H19" s="40"/>
      <c r="I19" s="40"/>
      <c r="J19" s="40"/>
      <c r="K19" s="46">
        <f t="shared" si="1"/>
        <v>0</v>
      </c>
    </row>
    <row r="20" spans="1:11" x14ac:dyDescent="0.3">
      <c r="A20" s="1" cm="1">
        <f t="array" ref="A20">1+COUNT(_xlfn.UNIQUE(_xlfn._xlws.FILTER($K$5:$K$128, $K$5:$K$128 &lt; K20)))</f>
        <v>1</v>
      </c>
      <c r="B20" s="43" t="s">
        <v>19</v>
      </c>
      <c r="C20" s="40"/>
      <c r="D20" s="44"/>
      <c r="E20" s="44"/>
      <c r="F20" s="40"/>
      <c r="G20" s="40"/>
      <c r="H20" s="40"/>
      <c r="I20" s="40"/>
      <c r="J20" s="40"/>
      <c r="K20" s="46">
        <f t="shared" si="1"/>
        <v>0</v>
      </c>
    </row>
    <row r="21" spans="1:11" x14ac:dyDescent="0.3">
      <c r="A21" s="1" cm="1">
        <f t="array" ref="A21">1+COUNT(_xlfn.UNIQUE(_xlfn._xlws.FILTER($K$5:$K$128, $K$5:$K$128 &lt; K21)))</f>
        <v>1</v>
      </c>
      <c r="B21" s="43" t="s">
        <v>25</v>
      </c>
      <c r="C21" s="40"/>
      <c r="D21" s="44"/>
      <c r="E21" s="44"/>
      <c r="F21" s="40"/>
      <c r="G21" s="40"/>
      <c r="H21" s="40"/>
      <c r="I21" s="40"/>
      <c r="J21" s="40"/>
      <c r="K21" s="46">
        <f t="shared" si="1"/>
        <v>0</v>
      </c>
    </row>
    <row r="22" spans="1:11" x14ac:dyDescent="0.3">
      <c r="A22" s="1" cm="1">
        <f t="array" ref="A22">1+COUNT(_xlfn.UNIQUE(_xlfn._xlws.FILTER($K$5:$K$128, $K$5:$K$128 &lt; K22)))</f>
        <v>1</v>
      </c>
      <c r="B22" s="43" t="s">
        <v>73</v>
      </c>
      <c r="C22" s="40"/>
      <c r="D22" s="44"/>
      <c r="E22" s="44"/>
      <c r="F22" s="40"/>
      <c r="G22" s="40"/>
      <c r="H22" s="40"/>
      <c r="I22" s="40"/>
      <c r="J22" s="40"/>
      <c r="K22" s="46">
        <f t="shared" si="1"/>
        <v>0</v>
      </c>
    </row>
    <row r="23" spans="1:11" x14ac:dyDescent="0.3">
      <c r="A23" s="1" cm="1">
        <f t="array" ref="A23">1+COUNT(_xlfn.UNIQUE(_xlfn._xlws.FILTER($K$5:$K$128, $K$5:$K$128 &lt; K23)))</f>
        <v>1</v>
      </c>
      <c r="B23" s="43" t="s">
        <v>78</v>
      </c>
      <c r="C23" s="40"/>
      <c r="D23" s="44"/>
      <c r="E23" s="44"/>
      <c r="F23" s="40"/>
      <c r="G23" s="40"/>
      <c r="H23" s="40"/>
      <c r="I23" s="40"/>
      <c r="J23" s="40"/>
      <c r="K23" s="46">
        <f t="shared" si="1"/>
        <v>0</v>
      </c>
    </row>
    <row r="24" spans="1:11" ht="37.5" x14ac:dyDescent="0.3">
      <c r="A24" s="1" cm="1">
        <f t="array" ref="A24">1+COUNT(_xlfn.UNIQUE(_xlfn._xlws.FILTER($K$5:$K$128, $K$5:$K$128 &lt; K24)))</f>
        <v>1</v>
      </c>
      <c r="B24" s="43" t="s">
        <v>5</v>
      </c>
      <c r="C24" s="40"/>
      <c r="D24" s="44"/>
      <c r="E24" s="44"/>
      <c r="F24" s="40"/>
      <c r="G24" s="40"/>
      <c r="H24" s="40"/>
      <c r="I24" s="40"/>
      <c r="J24" s="40"/>
      <c r="K24" s="46">
        <f t="shared" si="1"/>
        <v>0</v>
      </c>
    </row>
    <row r="25" spans="1:11" x14ac:dyDescent="0.3">
      <c r="A25" s="1" cm="1">
        <f t="array" ref="A25">1+COUNT(_xlfn.UNIQUE(_xlfn._xlws.FILTER($K$5:$K$128, $K$5:$K$128 &lt; K25)))</f>
        <v>1</v>
      </c>
      <c r="B25" s="43" t="s">
        <v>105</v>
      </c>
      <c r="C25" s="40"/>
      <c r="D25" s="44"/>
      <c r="E25" s="44"/>
      <c r="F25" s="40"/>
      <c r="G25" s="40"/>
      <c r="H25" s="40"/>
      <c r="I25" s="40"/>
      <c r="J25" s="40"/>
      <c r="K25" s="46">
        <f t="shared" si="1"/>
        <v>0</v>
      </c>
    </row>
    <row r="26" spans="1:11" x14ac:dyDescent="0.3">
      <c r="A26" s="1" cm="1">
        <f t="array" ref="A26">1+COUNT(_xlfn.UNIQUE(_xlfn._xlws.FILTER($K$5:$K$128, $K$5:$K$128 &lt; K26)))</f>
        <v>1</v>
      </c>
      <c r="B26" s="43" t="s">
        <v>122</v>
      </c>
      <c r="C26" s="40"/>
      <c r="D26" s="44"/>
      <c r="E26" s="44"/>
      <c r="F26" s="40"/>
      <c r="G26" s="40"/>
      <c r="H26" s="40"/>
      <c r="I26" s="40"/>
      <c r="J26" s="40"/>
      <c r="K26" s="46">
        <f t="shared" si="1"/>
        <v>0</v>
      </c>
    </row>
    <row r="27" spans="1:11" x14ac:dyDescent="0.3">
      <c r="A27" s="1" cm="1">
        <f t="array" ref="A27">1+COUNT(_xlfn.UNIQUE(_xlfn._xlws.FILTER($K$5:$K$128, $K$5:$K$128 &lt; K27)))</f>
        <v>1</v>
      </c>
      <c r="B27" s="43" t="s">
        <v>116</v>
      </c>
      <c r="C27" s="40"/>
      <c r="D27" s="44"/>
      <c r="E27" s="44"/>
      <c r="F27" s="40"/>
      <c r="G27" s="40"/>
      <c r="H27" s="40"/>
      <c r="I27" s="40"/>
      <c r="J27" s="40"/>
      <c r="K27" s="46">
        <f t="shared" si="1"/>
        <v>0</v>
      </c>
    </row>
    <row r="28" spans="1:11" x14ac:dyDescent="0.3">
      <c r="A28" s="1" cm="1">
        <f t="array" ref="A28">1+COUNT(_xlfn.UNIQUE(_xlfn._xlws.FILTER($K$5:$K$128, $K$5:$K$128 &lt; K28)))</f>
        <v>1</v>
      </c>
      <c r="B28" s="43" t="s">
        <v>91</v>
      </c>
      <c r="C28" s="40"/>
      <c r="D28" s="44"/>
      <c r="E28" s="44"/>
      <c r="F28" s="40"/>
      <c r="G28" s="40"/>
      <c r="H28" s="40"/>
      <c r="I28" s="40"/>
      <c r="J28" s="40"/>
      <c r="K28" s="46">
        <f t="shared" si="1"/>
        <v>0</v>
      </c>
    </row>
    <row r="29" spans="1:11" x14ac:dyDescent="0.3">
      <c r="A29" s="1" cm="1">
        <f t="array" ref="A29">1+COUNT(_xlfn.UNIQUE(_xlfn._xlws.FILTER($K$5:$K$128, $K$5:$K$128 &lt; K29)))</f>
        <v>1</v>
      </c>
      <c r="B29" s="43" t="s">
        <v>14</v>
      </c>
      <c r="C29" s="40"/>
      <c r="D29" s="44"/>
      <c r="E29" s="44"/>
      <c r="F29" s="40"/>
      <c r="G29" s="40"/>
      <c r="H29" s="40"/>
      <c r="I29" s="40"/>
      <c r="J29" s="40"/>
      <c r="K29" s="46">
        <f t="shared" si="1"/>
        <v>0</v>
      </c>
    </row>
    <row r="30" spans="1:11" x14ac:dyDescent="0.3">
      <c r="A30" s="1" cm="1">
        <f t="array" ref="A30">1+COUNT(_xlfn.UNIQUE(_xlfn._xlws.FILTER($K$5:$K$128, $K$5:$K$128 &lt; K30)))</f>
        <v>1</v>
      </c>
      <c r="B30" s="43" t="s">
        <v>33</v>
      </c>
      <c r="C30" s="40"/>
      <c r="D30" s="44"/>
      <c r="E30" s="44"/>
      <c r="F30" s="40"/>
      <c r="G30" s="40"/>
      <c r="H30" s="40"/>
      <c r="I30" s="40"/>
      <c r="J30" s="40"/>
      <c r="K30" s="46">
        <f t="shared" si="1"/>
        <v>0</v>
      </c>
    </row>
    <row r="31" spans="1:11" x14ac:dyDescent="0.3">
      <c r="A31" s="1" cm="1">
        <f t="array" ref="A31">1+COUNT(_xlfn.UNIQUE(_xlfn._xlws.FILTER($K$5:$K$128, $K$5:$K$128 &lt; K31)))</f>
        <v>1</v>
      </c>
      <c r="B31" s="43" t="s">
        <v>30</v>
      </c>
      <c r="C31" s="40"/>
      <c r="D31" s="44"/>
      <c r="E31" s="44"/>
      <c r="F31" s="40"/>
      <c r="G31" s="40"/>
      <c r="H31" s="40"/>
      <c r="I31" s="40"/>
      <c r="J31" s="40"/>
      <c r="K31" s="46">
        <f t="shared" si="1"/>
        <v>0</v>
      </c>
    </row>
    <row r="32" spans="1:11" x14ac:dyDescent="0.3">
      <c r="A32" s="1" cm="1">
        <f t="array" ref="A32">1+COUNT(_xlfn.UNIQUE(_xlfn._xlws.FILTER($K$5:$K$128, $K$5:$K$128 &lt; K32)))</f>
        <v>1</v>
      </c>
      <c r="B32" s="43" t="s">
        <v>70</v>
      </c>
      <c r="C32" s="40"/>
      <c r="D32" s="44"/>
      <c r="E32" s="44"/>
      <c r="F32" s="40"/>
      <c r="G32" s="40"/>
      <c r="H32" s="40"/>
      <c r="I32" s="40"/>
      <c r="J32" s="40"/>
      <c r="K32" s="46">
        <f t="shared" si="1"/>
        <v>0</v>
      </c>
    </row>
    <row r="33" spans="1:11" x14ac:dyDescent="0.3">
      <c r="A33" s="1" cm="1">
        <f t="array" ref="A33">1+COUNT(_xlfn.UNIQUE(_xlfn._xlws.FILTER($K$5:$K$128, $K$5:$K$128 &lt; K33)))</f>
        <v>1</v>
      </c>
      <c r="B33" s="43" t="s">
        <v>90</v>
      </c>
      <c r="C33" s="40"/>
      <c r="D33" s="44"/>
      <c r="E33" s="44"/>
      <c r="F33" s="40"/>
      <c r="G33" s="40"/>
      <c r="H33" s="40"/>
      <c r="I33" s="40"/>
      <c r="J33" s="40"/>
      <c r="K33" s="46">
        <f t="shared" si="1"/>
        <v>0</v>
      </c>
    </row>
    <row r="34" spans="1:11" x14ac:dyDescent="0.3">
      <c r="A34" s="1" cm="1">
        <f t="array" ref="A34">1+COUNT(_xlfn.UNIQUE(_xlfn._xlws.FILTER($K$5:$K$128, $K$5:$K$128 &lt; K34)))</f>
        <v>1</v>
      </c>
      <c r="B34" s="43" t="s">
        <v>93</v>
      </c>
      <c r="C34" s="40"/>
      <c r="D34" s="44"/>
      <c r="E34" s="44"/>
      <c r="F34" s="40"/>
      <c r="G34" s="40"/>
      <c r="H34" s="40"/>
      <c r="I34" s="40"/>
      <c r="J34" s="40"/>
      <c r="K34" s="46">
        <f t="shared" si="1"/>
        <v>0</v>
      </c>
    </row>
    <row r="35" spans="1:11" x14ac:dyDescent="0.3">
      <c r="A35" s="1" cm="1">
        <f t="array" ref="A35">1+COUNT(_xlfn.UNIQUE(_xlfn._xlws.FILTER($K$5:$K$128, $K$5:$K$128 &lt; K35)))</f>
        <v>1</v>
      </c>
      <c r="B35" s="43" t="s">
        <v>28</v>
      </c>
      <c r="C35" s="40"/>
      <c r="D35" s="44"/>
      <c r="E35" s="44"/>
      <c r="F35" s="40"/>
      <c r="G35" s="40"/>
      <c r="H35" s="40"/>
      <c r="I35" s="40"/>
      <c r="J35" s="40"/>
      <c r="K35" s="46">
        <f t="shared" si="1"/>
        <v>0</v>
      </c>
    </row>
    <row r="36" spans="1:11" x14ac:dyDescent="0.3">
      <c r="A36" s="1" cm="1">
        <f t="array" ref="A36">1+COUNT(_xlfn.UNIQUE(_xlfn._xlws.FILTER($K$5:$K$128, $K$5:$K$128 &lt; K36)))</f>
        <v>1</v>
      </c>
      <c r="B36" s="43" t="s">
        <v>16</v>
      </c>
      <c r="C36" s="40"/>
      <c r="D36" s="44"/>
      <c r="E36" s="44"/>
      <c r="F36" s="40"/>
      <c r="G36" s="40"/>
      <c r="H36" s="40"/>
      <c r="I36" s="40"/>
      <c r="J36" s="40"/>
      <c r="K36" s="46">
        <f t="shared" si="1"/>
        <v>0</v>
      </c>
    </row>
    <row r="37" spans="1:11" x14ac:dyDescent="0.3">
      <c r="A37" s="1" cm="1">
        <f t="array" ref="A37">1+COUNT(_xlfn.UNIQUE(_xlfn._xlws.FILTER($K$5:$K$128, $K$5:$K$128 &lt; K37)))</f>
        <v>1</v>
      </c>
      <c r="B37" s="43" t="s">
        <v>41</v>
      </c>
      <c r="C37" s="40"/>
      <c r="D37" s="44"/>
      <c r="E37" s="44"/>
      <c r="F37" s="40"/>
      <c r="G37" s="40"/>
      <c r="H37" s="40"/>
      <c r="I37" s="40"/>
      <c r="J37" s="40"/>
      <c r="K37" s="46">
        <f t="shared" ref="K37:K68" si="2">C37-E37-G37</f>
        <v>0</v>
      </c>
    </row>
    <row r="38" spans="1:11" x14ac:dyDescent="0.3">
      <c r="A38" s="1" cm="1">
        <f t="array" ref="A38">1+COUNT(_xlfn.UNIQUE(_xlfn._xlws.FILTER($K$5:$K$128, $K$5:$K$128 &lt; K38)))</f>
        <v>1</v>
      </c>
      <c r="B38" s="43" t="s">
        <v>42</v>
      </c>
      <c r="C38" s="40"/>
      <c r="D38" s="44"/>
      <c r="E38" s="44"/>
      <c r="F38" s="40"/>
      <c r="G38" s="40"/>
      <c r="H38" s="40"/>
      <c r="I38" s="40"/>
      <c r="J38" s="40"/>
      <c r="K38" s="46">
        <f t="shared" si="2"/>
        <v>0</v>
      </c>
    </row>
    <row r="39" spans="1:11" x14ac:dyDescent="0.3">
      <c r="A39" s="1" cm="1">
        <f t="array" ref="A39">1+COUNT(_xlfn.UNIQUE(_xlfn._xlws.FILTER($K$5:$K$128, $K$5:$K$128 &lt; K39)))</f>
        <v>1</v>
      </c>
      <c r="B39" s="43" t="s">
        <v>3</v>
      </c>
      <c r="C39" s="40"/>
      <c r="D39" s="44"/>
      <c r="E39" s="44"/>
      <c r="F39" s="40"/>
      <c r="G39" s="40"/>
      <c r="H39" s="40"/>
      <c r="I39" s="40"/>
      <c r="J39" s="40"/>
      <c r="K39" s="46">
        <f t="shared" si="2"/>
        <v>0</v>
      </c>
    </row>
    <row r="40" spans="1:11" x14ac:dyDescent="0.3">
      <c r="A40" s="1" cm="1">
        <f t="array" ref="A40">1+COUNT(_xlfn.UNIQUE(_xlfn._xlws.FILTER($K$5:$K$128, $K$5:$K$128 &lt; K40)))</f>
        <v>1</v>
      </c>
      <c r="B40" s="43" t="s">
        <v>48</v>
      </c>
      <c r="C40" s="40"/>
      <c r="D40" s="44"/>
      <c r="E40" s="44"/>
      <c r="F40" s="40"/>
      <c r="G40" s="40"/>
      <c r="H40" s="40"/>
      <c r="I40" s="40"/>
      <c r="J40" s="40"/>
      <c r="K40" s="46">
        <f t="shared" si="2"/>
        <v>0</v>
      </c>
    </row>
    <row r="41" spans="1:11" x14ac:dyDescent="0.3">
      <c r="A41" s="1" cm="1">
        <f t="array" ref="A41">1+COUNT(_xlfn.UNIQUE(_xlfn._xlws.FILTER($K$5:$K$128, $K$5:$K$128 &lt; K41)))</f>
        <v>1</v>
      </c>
      <c r="B41" s="43" t="s">
        <v>26</v>
      </c>
      <c r="C41" s="40"/>
      <c r="D41" s="44"/>
      <c r="E41" s="44"/>
      <c r="F41" s="40"/>
      <c r="G41" s="40"/>
      <c r="H41" s="40"/>
      <c r="I41" s="40"/>
      <c r="J41" s="40"/>
      <c r="K41" s="46">
        <f t="shared" si="2"/>
        <v>0</v>
      </c>
    </row>
    <row r="42" spans="1:11" x14ac:dyDescent="0.3">
      <c r="A42" s="1" cm="1">
        <f t="array" ref="A42">1+COUNT(_xlfn.UNIQUE(_xlfn._xlws.FILTER($K$5:$K$128, $K$5:$K$128 &lt; K42)))</f>
        <v>1</v>
      </c>
      <c r="B42" s="43" t="s">
        <v>1</v>
      </c>
      <c r="C42" s="40"/>
      <c r="D42" s="44"/>
      <c r="E42" s="44"/>
      <c r="F42" s="40"/>
      <c r="G42" s="40"/>
      <c r="H42" s="40"/>
      <c r="I42" s="40"/>
      <c r="J42" s="40"/>
      <c r="K42" s="46">
        <f t="shared" si="2"/>
        <v>0</v>
      </c>
    </row>
    <row r="43" spans="1:11" x14ac:dyDescent="0.3">
      <c r="A43" s="1" cm="1">
        <f t="array" ref="A43">1+COUNT(_xlfn.UNIQUE(_xlfn._xlws.FILTER($K$5:$K$128, $K$5:$K$128 &lt; K43)))</f>
        <v>1</v>
      </c>
      <c r="B43" s="43" t="s">
        <v>99</v>
      </c>
      <c r="C43" s="40"/>
      <c r="D43" s="44"/>
      <c r="E43" s="44"/>
      <c r="F43" s="40"/>
      <c r="G43" s="40"/>
      <c r="H43" s="40"/>
      <c r="I43" s="40"/>
      <c r="J43" s="40"/>
      <c r="K43" s="46">
        <f t="shared" si="2"/>
        <v>0</v>
      </c>
    </row>
    <row r="44" spans="1:11" x14ac:dyDescent="0.3">
      <c r="A44" s="1" cm="1">
        <f t="array" ref="A44">1+COUNT(_xlfn.UNIQUE(_xlfn._xlws.FILTER($K$5:$K$128, $K$5:$K$128 &lt; K44)))</f>
        <v>1</v>
      </c>
      <c r="B44" s="43" t="s">
        <v>40</v>
      </c>
      <c r="C44" s="40"/>
      <c r="D44" s="44"/>
      <c r="E44" s="44"/>
      <c r="F44" s="40"/>
      <c r="G44" s="40"/>
      <c r="H44" s="40"/>
      <c r="I44" s="40"/>
      <c r="J44" s="40"/>
      <c r="K44" s="46">
        <f t="shared" si="2"/>
        <v>0</v>
      </c>
    </row>
    <row r="45" spans="1:11" x14ac:dyDescent="0.3">
      <c r="A45" s="1" cm="1">
        <f t="array" ref="A45">1+COUNT(_xlfn.UNIQUE(_xlfn._xlws.FILTER($K$5:$K$128, $K$5:$K$128 &lt; K45)))</f>
        <v>1</v>
      </c>
      <c r="B45" s="43" t="s">
        <v>21</v>
      </c>
      <c r="C45" s="40"/>
      <c r="D45" s="44"/>
      <c r="E45" s="44"/>
      <c r="F45" s="40"/>
      <c r="G45" s="40"/>
      <c r="H45" s="40"/>
      <c r="I45" s="40"/>
      <c r="J45" s="40"/>
      <c r="K45" s="46">
        <f t="shared" si="2"/>
        <v>0</v>
      </c>
    </row>
    <row r="46" spans="1:11" x14ac:dyDescent="0.3">
      <c r="A46" s="1" cm="1">
        <f t="array" ref="A46">1+COUNT(_xlfn.UNIQUE(_xlfn._xlws.FILTER($K$5:$K$128, $K$5:$K$128 &lt; K46)))</f>
        <v>1</v>
      </c>
      <c r="B46" s="43" t="s">
        <v>39</v>
      </c>
      <c r="C46" s="40"/>
      <c r="D46" s="44"/>
      <c r="E46" s="44"/>
      <c r="F46" s="40"/>
      <c r="G46" s="40"/>
      <c r="H46" s="40"/>
      <c r="I46" s="40"/>
      <c r="J46" s="40"/>
      <c r="K46" s="46">
        <f t="shared" si="2"/>
        <v>0</v>
      </c>
    </row>
    <row r="47" spans="1:11" x14ac:dyDescent="0.3">
      <c r="A47" s="1" cm="1">
        <f t="array" ref="A47">1+COUNT(_xlfn.UNIQUE(_xlfn._xlws.FILTER($K$5:$K$128, $K$5:$K$128 &lt; K47)))</f>
        <v>1</v>
      </c>
      <c r="B47" s="43" t="s">
        <v>79</v>
      </c>
      <c r="C47" s="40"/>
      <c r="D47" s="44"/>
      <c r="E47" s="44"/>
      <c r="F47" s="40"/>
      <c r="G47" s="40"/>
      <c r="H47" s="40"/>
      <c r="I47" s="40"/>
      <c r="J47" s="40"/>
      <c r="K47" s="46">
        <f t="shared" si="2"/>
        <v>0</v>
      </c>
    </row>
    <row r="48" spans="1:11" x14ac:dyDescent="0.3">
      <c r="A48" s="1" cm="1">
        <f t="array" ref="A48">1+COUNT(_xlfn.UNIQUE(_xlfn._xlws.FILTER($K$5:$K$128, $K$5:$K$128 &lt; K48)))</f>
        <v>1</v>
      </c>
      <c r="B48" s="43" t="s">
        <v>43</v>
      </c>
      <c r="C48" s="40"/>
      <c r="D48" s="44"/>
      <c r="E48" s="44"/>
      <c r="F48" s="40"/>
      <c r="G48" s="40"/>
      <c r="H48" s="40"/>
      <c r="I48" s="40"/>
      <c r="J48" s="40"/>
      <c r="K48" s="46">
        <f t="shared" si="2"/>
        <v>0</v>
      </c>
    </row>
    <row r="49" spans="1:11" x14ac:dyDescent="0.3">
      <c r="A49" s="1" cm="1">
        <f t="array" ref="A49">1+COUNT(_xlfn.UNIQUE(_xlfn._xlws.FILTER($K$5:$K$128, $K$5:$K$128 &lt; K49)))</f>
        <v>1</v>
      </c>
      <c r="B49" s="43" t="s">
        <v>9</v>
      </c>
      <c r="C49" s="40"/>
      <c r="D49" s="44"/>
      <c r="E49" s="44"/>
      <c r="F49" s="40"/>
      <c r="G49" s="40"/>
      <c r="H49" s="40"/>
      <c r="I49" s="40"/>
      <c r="J49" s="40"/>
      <c r="K49" s="46">
        <f t="shared" si="2"/>
        <v>0</v>
      </c>
    </row>
    <row r="50" spans="1:11" x14ac:dyDescent="0.3">
      <c r="A50" s="1" cm="1">
        <f t="array" ref="A50">1+COUNT(_xlfn.UNIQUE(_xlfn._xlws.FILTER($K$5:$K$128, $K$5:$K$128 &lt; K50)))</f>
        <v>1</v>
      </c>
      <c r="B50" s="43" t="s">
        <v>47</v>
      </c>
      <c r="C50" s="40"/>
      <c r="D50" s="44"/>
      <c r="E50" s="44"/>
      <c r="F50" s="40"/>
      <c r="G50" s="40"/>
      <c r="H50" s="40"/>
      <c r="I50" s="40"/>
      <c r="J50" s="40"/>
      <c r="K50" s="46">
        <f t="shared" si="2"/>
        <v>0</v>
      </c>
    </row>
    <row r="51" spans="1:11" x14ac:dyDescent="0.3">
      <c r="A51" s="1" cm="1">
        <f t="array" ref="A51">1+COUNT(_xlfn.UNIQUE(_xlfn._xlws.FILTER($K$5:$K$128, $K$5:$K$128 &lt; K51)))</f>
        <v>1</v>
      </c>
      <c r="B51" s="43" t="s">
        <v>63</v>
      </c>
      <c r="C51" s="40"/>
      <c r="D51" s="44"/>
      <c r="E51" s="44"/>
      <c r="F51" s="40"/>
      <c r="G51" s="40"/>
      <c r="H51" s="40"/>
      <c r="I51" s="40"/>
      <c r="J51" s="40"/>
      <c r="K51" s="46">
        <f t="shared" si="2"/>
        <v>0</v>
      </c>
    </row>
    <row r="52" spans="1:11" x14ac:dyDescent="0.3">
      <c r="A52" s="1" cm="1">
        <f t="array" ref="A52">1+COUNT(_xlfn.UNIQUE(_xlfn._xlws.FILTER($K$5:$K$128, $K$5:$K$128 &lt; K52)))</f>
        <v>1</v>
      </c>
      <c r="B52" s="45" t="s">
        <v>61</v>
      </c>
      <c r="C52" s="40"/>
      <c r="D52" s="44"/>
      <c r="E52" s="44"/>
      <c r="F52" s="40"/>
      <c r="G52" s="40"/>
      <c r="H52" s="40"/>
      <c r="I52" s="40"/>
      <c r="J52" s="40"/>
      <c r="K52" s="46">
        <f t="shared" si="2"/>
        <v>0</v>
      </c>
    </row>
    <row r="53" spans="1:11" x14ac:dyDescent="0.3">
      <c r="A53" s="1" cm="1">
        <f t="array" ref="A53">1+COUNT(_xlfn.UNIQUE(_xlfn._xlws.FILTER($K$5:$K$128, $K$5:$K$128 &lt; K53)))</f>
        <v>1</v>
      </c>
      <c r="B53" s="43" t="s">
        <v>4</v>
      </c>
      <c r="C53" s="40"/>
      <c r="D53" s="44"/>
      <c r="E53" s="44"/>
      <c r="F53" s="40"/>
      <c r="G53" s="40"/>
      <c r="H53" s="40"/>
      <c r="I53" s="40"/>
      <c r="J53" s="40"/>
      <c r="K53" s="46">
        <f t="shared" si="2"/>
        <v>0</v>
      </c>
    </row>
    <row r="54" spans="1:11" ht="37.5" x14ac:dyDescent="0.3">
      <c r="A54" s="1" cm="1">
        <f t="array" ref="A54">1+COUNT(_xlfn.UNIQUE(_xlfn._xlws.FILTER($K$5:$K$128, $K$5:$K$128 &lt; K54)))</f>
        <v>1</v>
      </c>
      <c r="B54" s="43" t="s">
        <v>37</v>
      </c>
      <c r="C54" s="40"/>
      <c r="D54" s="44"/>
      <c r="E54" s="44"/>
      <c r="F54" s="40"/>
      <c r="G54" s="40"/>
      <c r="H54" s="40"/>
      <c r="I54" s="40"/>
      <c r="J54" s="40"/>
      <c r="K54" s="46">
        <f t="shared" si="2"/>
        <v>0</v>
      </c>
    </row>
    <row r="55" spans="1:11" ht="37.5" x14ac:dyDescent="0.3">
      <c r="A55" s="1" cm="1">
        <f t="array" ref="A55">1+COUNT(_xlfn.UNIQUE(_xlfn._xlws.FILTER($K$5:$K$128, $K$5:$K$128 &lt; K55)))</f>
        <v>1</v>
      </c>
      <c r="B55" s="43" t="s">
        <v>17</v>
      </c>
      <c r="C55" s="40"/>
      <c r="D55" s="44"/>
      <c r="E55" s="44"/>
      <c r="F55" s="40"/>
      <c r="G55" s="40"/>
      <c r="H55" s="40"/>
      <c r="I55" s="40"/>
      <c r="J55" s="40"/>
      <c r="K55" s="46">
        <f t="shared" si="2"/>
        <v>0</v>
      </c>
    </row>
    <row r="56" spans="1:11" x14ac:dyDescent="0.3">
      <c r="A56" s="1" cm="1">
        <f t="array" ref="A56">1+COUNT(_xlfn.UNIQUE(_xlfn._xlws.FILTER($K$5:$K$128, $K$5:$K$128 &lt; K56)))</f>
        <v>1</v>
      </c>
      <c r="B56" s="43" t="s">
        <v>12</v>
      </c>
      <c r="C56" s="40"/>
      <c r="D56" s="44"/>
      <c r="E56" s="44"/>
      <c r="F56" s="40"/>
      <c r="G56" s="40"/>
      <c r="H56" s="40"/>
      <c r="I56" s="40"/>
      <c r="J56" s="40"/>
      <c r="K56" s="46">
        <f t="shared" si="2"/>
        <v>0</v>
      </c>
    </row>
    <row r="57" spans="1:11" x14ac:dyDescent="0.3">
      <c r="A57" s="1" cm="1">
        <f t="array" ref="A57">1+COUNT(_xlfn.UNIQUE(_xlfn._xlws.FILTER($K$5:$K$128, $K$5:$K$128 &lt; K57)))</f>
        <v>1</v>
      </c>
      <c r="B57" s="43" t="s">
        <v>56</v>
      </c>
      <c r="C57" s="40"/>
      <c r="D57" s="44"/>
      <c r="E57" s="44"/>
      <c r="F57" s="40"/>
      <c r="G57" s="40"/>
      <c r="H57" s="40"/>
      <c r="I57" s="40"/>
      <c r="J57" s="40"/>
      <c r="K57" s="46">
        <f t="shared" si="2"/>
        <v>0</v>
      </c>
    </row>
    <row r="58" spans="1:11" x14ac:dyDescent="0.3">
      <c r="A58" s="1" cm="1">
        <f t="array" ref="A58">1+COUNT(_xlfn.UNIQUE(_xlfn._xlws.FILTER($K$5:$K$128, $K$5:$K$128 &lt; K58)))</f>
        <v>1</v>
      </c>
      <c r="B58" s="45" t="s">
        <v>35</v>
      </c>
      <c r="C58" s="40"/>
      <c r="D58" s="44"/>
      <c r="E58" s="44"/>
      <c r="F58" s="40"/>
      <c r="G58" s="40"/>
      <c r="H58" s="40"/>
      <c r="I58" s="40"/>
      <c r="J58" s="40"/>
      <c r="K58" s="46">
        <f t="shared" si="2"/>
        <v>0</v>
      </c>
    </row>
    <row r="59" spans="1:11" x14ac:dyDescent="0.3">
      <c r="A59" s="1" cm="1">
        <f t="array" ref="A59">1+COUNT(_xlfn.UNIQUE(_xlfn._xlws.FILTER($K$5:$K$128, $K$5:$K$128 &lt; K59)))</f>
        <v>1</v>
      </c>
      <c r="B59" s="43" t="s">
        <v>117</v>
      </c>
      <c r="C59" s="40"/>
      <c r="D59" s="44"/>
      <c r="E59" s="44"/>
      <c r="F59" s="40"/>
      <c r="G59" s="40"/>
      <c r="H59" s="40"/>
      <c r="I59" s="40"/>
      <c r="J59" s="40"/>
      <c r="K59" s="46">
        <f t="shared" si="2"/>
        <v>0</v>
      </c>
    </row>
    <row r="60" spans="1:11" ht="37.5" x14ac:dyDescent="0.3">
      <c r="A60" s="1" cm="1">
        <f t="array" ref="A60">1+COUNT(_xlfn.UNIQUE(_xlfn._xlws.FILTER($K$5:$K$128, $K$5:$K$128 &lt; K60)))</f>
        <v>1</v>
      </c>
      <c r="B60" s="43" t="s">
        <v>68</v>
      </c>
      <c r="C60" s="40"/>
      <c r="D60" s="44"/>
      <c r="E60" s="44"/>
      <c r="F60" s="40"/>
      <c r="G60" s="40"/>
      <c r="H60" s="40"/>
      <c r="I60" s="40"/>
      <c r="J60" s="40"/>
      <c r="K60" s="46">
        <f t="shared" si="2"/>
        <v>0</v>
      </c>
    </row>
    <row r="61" spans="1:11" x14ac:dyDescent="0.3">
      <c r="A61" s="1" cm="1">
        <f t="array" ref="A61">1+COUNT(_xlfn.UNIQUE(_xlfn._xlws.FILTER($K$5:$K$128, $K$5:$K$128 &lt; K61)))</f>
        <v>1</v>
      </c>
      <c r="B61" s="43" t="s">
        <v>104</v>
      </c>
      <c r="C61" s="40"/>
      <c r="D61" s="44"/>
      <c r="E61" s="44"/>
      <c r="F61" s="40"/>
      <c r="G61" s="40"/>
      <c r="H61" s="40"/>
      <c r="I61" s="40"/>
      <c r="J61" s="40"/>
      <c r="K61" s="46">
        <f t="shared" si="2"/>
        <v>0</v>
      </c>
    </row>
    <row r="62" spans="1:11" x14ac:dyDescent="0.3">
      <c r="A62" s="1" cm="1">
        <f t="array" ref="A62">1+COUNT(_xlfn.UNIQUE(_xlfn._xlws.FILTER($K$5:$K$128, $K$5:$K$128 &lt; K62)))</f>
        <v>1</v>
      </c>
      <c r="B62" s="43" t="s">
        <v>113</v>
      </c>
      <c r="C62" s="40"/>
      <c r="D62" s="44"/>
      <c r="E62" s="44"/>
      <c r="F62" s="40"/>
      <c r="G62" s="40"/>
      <c r="H62" s="40"/>
      <c r="I62" s="40"/>
      <c r="J62" s="40"/>
      <c r="K62" s="46">
        <f t="shared" si="2"/>
        <v>0</v>
      </c>
    </row>
    <row r="63" spans="1:11" x14ac:dyDescent="0.3">
      <c r="A63" s="1" cm="1">
        <f t="array" ref="A63">1+COUNT(_xlfn.UNIQUE(_xlfn._xlws.FILTER($K$5:$K$128, $K$5:$K$128 &lt; K63)))</f>
        <v>1</v>
      </c>
      <c r="B63" s="43" t="s">
        <v>119</v>
      </c>
      <c r="C63" s="40"/>
      <c r="D63" s="44"/>
      <c r="E63" s="44"/>
      <c r="F63" s="40"/>
      <c r="G63" s="40"/>
      <c r="H63" s="40"/>
      <c r="I63" s="40"/>
      <c r="J63" s="40"/>
      <c r="K63" s="46">
        <f t="shared" si="2"/>
        <v>0</v>
      </c>
    </row>
    <row r="64" spans="1:11" x14ac:dyDescent="0.3">
      <c r="A64" s="1" cm="1">
        <f t="array" ref="A64">1+COUNT(_xlfn.UNIQUE(_xlfn._xlws.FILTER($K$5:$K$128, $K$5:$K$128 &lt; K64)))</f>
        <v>1</v>
      </c>
      <c r="B64" s="43" t="s">
        <v>0</v>
      </c>
      <c r="C64" s="40"/>
      <c r="D64" s="44"/>
      <c r="E64" s="44"/>
      <c r="F64" s="40"/>
      <c r="G64" s="40"/>
      <c r="H64" s="40"/>
      <c r="I64" s="40"/>
      <c r="J64" s="40"/>
      <c r="K64" s="46">
        <f t="shared" si="2"/>
        <v>0</v>
      </c>
    </row>
    <row r="65" spans="1:11" x14ac:dyDescent="0.3">
      <c r="A65" s="1" cm="1">
        <f t="array" ref="A65">1+COUNT(_xlfn.UNIQUE(_xlfn._xlws.FILTER($K$5:$K$128, $K$5:$K$128 &lt; K65)))</f>
        <v>1</v>
      </c>
      <c r="B65" s="43" t="s">
        <v>80</v>
      </c>
      <c r="C65" s="40"/>
      <c r="D65" s="44"/>
      <c r="E65" s="44"/>
      <c r="F65" s="40"/>
      <c r="G65" s="40"/>
      <c r="H65" s="40"/>
      <c r="I65" s="40"/>
      <c r="J65" s="40"/>
      <c r="K65" s="46">
        <f t="shared" si="2"/>
        <v>0</v>
      </c>
    </row>
    <row r="66" spans="1:11" x14ac:dyDescent="0.3">
      <c r="A66" s="1" cm="1">
        <f t="array" ref="A66">1+COUNT(_xlfn.UNIQUE(_xlfn._xlws.FILTER($K$5:$K$128, $K$5:$K$128 &lt; K66)))</f>
        <v>1</v>
      </c>
      <c r="B66" s="43" t="s">
        <v>95</v>
      </c>
      <c r="C66" s="40"/>
      <c r="D66" s="44"/>
      <c r="E66" s="44"/>
      <c r="F66" s="40"/>
      <c r="G66" s="40"/>
      <c r="H66" s="40"/>
      <c r="I66" s="40"/>
      <c r="J66" s="40"/>
      <c r="K66" s="46">
        <f t="shared" si="2"/>
        <v>0</v>
      </c>
    </row>
    <row r="67" spans="1:11" x14ac:dyDescent="0.3">
      <c r="A67" s="1" cm="1">
        <f t="array" ref="A67">1+COUNT(_xlfn.UNIQUE(_xlfn._xlws.FILTER($K$5:$K$128, $K$5:$K$128 &lt; K67)))</f>
        <v>1</v>
      </c>
      <c r="B67" s="43" t="s">
        <v>76</v>
      </c>
      <c r="C67" s="40"/>
      <c r="D67" s="44"/>
      <c r="E67" s="44"/>
      <c r="F67" s="40"/>
      <c r="G67" s="40"/>
      <c r="H67" s="40"/>
      <c r="I67" s="40"/>
      <c r="J67" s="40"/>
      <c r="K67" s="46">
        <f t="shared" si="2"/>
        <v>0</v>
      </c>
    </row>
    <row r="68" spans="1:11" x14ac:dyDescent="0.3">
      <c r="A68" s="1" cm="1">
        <f t="array" ref="A68">1+COUNT(_xlfn.UNIQUE(_xlfn._xlws.FILTER($K$5:$K$128, $K$5:$K$128 &lt; K68)))</f>
        <v>1</v>
      </c>
      <c r="B68" s="43" t="s">
        <v>89</v>
      </c>
      <c r="C68" s="40"/>
      <c r="D68" s="44"/>
      <c r="E68" s="44"/>
      <c r="F68" s="40"/>
      <c r="G68" s="40"/>
      <c r="H68" s="40"/>
      <c r="I68" s="40"/>
      <c r="J68" s="40"/>
      <c r="K68" s="46">
        <f t="shared" si="2"/>
        <v>0</v>
      </c>
    </row>
    <row r="69" spans="1:11" x14ac:dyDescent="0.3">
      <c r="A69" s="1" cm="1">
        <f t="array" ref="A69">1+COUNT(_xlfn.UNIQUE(_xlfn._xlws.FILTER($K$5:$K$128, $K$5:$K$128 &lt; K69)))</f>
        <v>1</v>
      </c>
      <c r="B69" s="43" t="s">
        <v>130</v>
      </c>
      <c r="C69" s="40"/>
      <c r="D69" s="44"/>
      <c r="E69" s="44"/>
      <c r="F69" s="40"/>
      <c r="G69" s="40"/>
      <c r="H69" s="40"/>
      <c r="I69" s="40"/>
      <c r="J69" s="40"/>
      <c r="K69" s="46">
        <f t="shared" ref="K69:K100" si="3">C69-E69-G69</f>
        <v>0</v>
      </c>
    </row>
    <row r="70" spans="1:11" x14ac:dyDescent="0.3">
      <c r="A70" s="1" cm="1">
        <f t="array" ref="A70">1+COUNT(_xlfn.UNIQUE(_xlfn._xlws.FILTER($K$5:$K$128, $K$5:$K$128 &lt; K70)))</f>
        <v>1</v>
      </c>
      <c r="B70" s="43" t="s">
        <v>20</v>
      </c>
      <c r="C70" s="40"/>
      <c r="D70" s="44"/>
      <c r="E70" s="44"/>
      <c r="F70" s="40"/>
      <c r="G70" s="40"/>
      <c r="H70" s="40"/>
      <c r="I70" s="40"/>
      <c r="J70" s="40"/>
      <c r="K70" s="46">
        <f t="shared" si="3"/>
        <v>0</v>
      </c>
    </row>
    <row r="71" spans="1:11" x14ac:dyDescent="0.3">
      <c r="A71" s="1" cm="1">
        <f t="array" ref="A71">1+COUNT(_xlfn.UNIQUE(_xlfn._xlws.FILTER($K$5:$K$128, $K$5:$K$128 &lt; K71)))</f>
        <v>1</v>
      </c>
      <c r="B71" s="43" t="s">
        <v>94</v>
      </c>
      <c r="C71" s="40"/>
      <c r="D71" s="44"/>
      <c r="E71" s="44"/>
      <c r="F71" s="40"/>
      <c r="G71" s="40"/>
      <c r="H71" s="40"/>
      <c r="I71" s="40"/>
      <c r="J71" s="40"/>
      <c r="K71" s="46">
        <f t="shared" si="3"/>
        <v>0</v>
      </c>
    </row>
    <row r="72" spans="1:11" x14ac:dyDescent="0.3">
      <c r="A72" s="1" cm="1">
        <f t="array" ref="A72">1+COUNT(_xlfn.UNIQUE(_xlfn._xlws.FILTER($K$5:$K$128, $K$5:$K$128 &lt; K72)))</f>
        <v>1</v>
      </c>
      <c r="B72" s="43" t="s">
        <v>18</v>
      </c>
      <c r="C72" s="40"/>
      <c r="D72" s="44"/>
      <c r="E72" s="44"/>
      <c r="F72" s="40"/>
      <c r="G72" s="40"/>
      <c r="H72" s="40"/>
      <c r="I72" s="40"/>
      <c r="J72" s="40"/>
      <c r="K72" s="46">
        <f t="shared" si="3"/>
        <v>0</v>
      </c>
    </row>
    <row r="73" spans="1:11" x14ac:dyDescent="0.3">
      <c r="A73" s="1" cm="1">
        <f t="array" ref="A73">1+COUNT(_xlfn.UNIQUE(_xlfn._xlws.FILTER($K$5:$K$128, $K$5:$K$128 &lt; K73)))</f>
        <v>1</v>
      </c>
      <c r="B73" s="43" t="s">
        <v>84</v>
      </c>
      <c r="C73" s="40"/>
      <c r="D73" s="44"/>
      <c r="E73" s="44"/>
      <c r="F73" s="40"/>
      <c r="G73" s="40"/>
      <c r="H73" s="40"/>
      <c r="I73" s="40"/>
      <c r="J73" s="40"/>
      <c r="K73" s="46">
        <f t="shared" si="3"/>
        <v>0</v>
      </c>
    </row>
    <row r="74" spans="1:11" x14ac:dyDescent="0.3">
      <c r="A74" s="1" cm="1">
        <f t="array" ref="A74">1+COUNT(_xlfn.UNIQUE(_xlfn._xlws.FILTER($K$5:$K$128, $K$5:$K$128 &lt; K74)))</f>
        <v>1</v>
      </c>
      <c r="B74" s="43" t="s">
        <v>72</v>
      </c>
      <c r="C74" s="40"/>
      <c r="D74" s="44"/>
      <c r="E74" s="44"/>
      <c r="F74" s="40"/>
      <c r="G74" s="40"/>
      <c r="H74" s="40"/>
      <c r="I74" s="40"/>
      <c r="J74" s="40"/>
      <c r="K74" s="46">
        <f t="shared" si="3"/>
        <v>0</v>
      </c>
    </row>
    <row r="75" spans="1:11" x14ac:dyDescent="0.3">
      <c r="A75" s="1" cm="1">
        <f t="array" ref="A75">1+COUNT(_xlfn.UNIQUE(_xlfn._xlws.FILTER($K$5:$K$128, $K$5:$K$128 &lt; K75)))</f>
        <v>1</v>
      </c>
      <c r="B75" s="43" t="s">
        <v>112</v>
      </c>
      <c r="C75" s="40"/>
      <c r="D75" s="44"/>
      <c r="E75" s="44"/>
      <c r="F75" s="40"/>
      <c r="G75" s="40"/>
      <c r="H75" s="40"/>
      <c r="I75" s="40"/>
      <c r="J75" s="40"/>
      <c r="K75" s="46">
        <f t="shared" si="3"/>
        <v>0</v>
      </c>
    </row>
    <row r="76" spans="1:11" x14ac:dyDescent="0.3">
      <c r="A76" s="1" cm="1">
        <f t="array" ref="A76">1+COUNT(_xlfn.UNIQUE(_xlfn._xlws.FILTER($K$5:$K$128, $K$5:$K$128 &lt; K76)))</f>
        <v>1</v>
      </c>
      <c r="B76" s="43" t="s">
        <v>87</v>
      </c>
      <c r="C76" s="40"/>
      <c r="D76" s="44"/>
      <c r="E76" s="44"/>
      <c r="F76" s="40"/>
      <c r="G76" s="40"/>
      <c r="H76" s="40"/>
      <c r="I76" s="40"/>
      <c r="J76" s="40"/>
      <c r="K76" s="46">
        <f t="shared" si="3"/>
        <v>0</v>
      </c>
    </row>
    <row r="77" spans="1:11" x14ac:dyDescent="0.3">
      <c r="A77" s="1" cm="1">
        <f t="array" ref="A77">1+COUNT(_xlfn.UNIQUE(_xlfn._xlws.FILTER($K$5:$K$128, $K$5:$K$128 &lt; K77)))</f>
        <v>1</v>
      </c>
      <c r="B77" s="43" t="s">
        <v>50</v>
      </c>
      <c r="C77" s="40"/>
      <c r="D77" s="44"/>
      <c r="E77" s="44"/>
      <c r="F77" s="40"/>
      <c r="G77" s="40"/>
      <c r="H77" s="40"/>
      <c r="I77" s="40"/>
      <c r="J77" s="40"/>
      <c r="K77" s="46">
        <f t="shared" si="3"/>
        <v>0</v>
      </c>
    </row>
    <row r="78" spans="1:11" x14ac:dyDescent="0.3">
      <c r="A78" s="1" cm="1">
        <f t="array" ref="A78">1+COUNT(_xlfn.UNIQUE(_xlfn._xlws.FILTER($K$5:$K$128, $K$5:$K$128 &lt; K78)))</f>
        <v>1</v>
      </c>
      <c r="B78" s="43" t="s">
        <v>66</v>
      </c>
      <c r="C78" s="40"/>
      <c r="D78" s="44"/>
      <c r="E78" s="44"/>
      <c r="F78" s="40"/>
      <c r="G78" s="40"/>
      <c r="H78" s="40"/>
      <c r="I78" s="40"/>
      <c r="J78" s="40"/>
      <c r="K78" s="46">
        <f t="shared" si="3"/>
        <v>0</v>
      </c>
    </row>
    <row r="79" spans="1:11" x14ac:dyDescent="0.3">
      <c r="A79" s="1" cm="1">
        <f t="array" ref="A79">1+COUNT(_xlfn.UNIQUE(_xlfn._xlws.FILTER($K$5:$K$128, $K$5:$K$128 &lt; K79)))</f>
        <v>1</v>
      </c>
      <c r="B79" s="43" t="s">
        <v>36</v>
      </c>
      <c r="C79" s="40"/>
      <c r="D79" s="44"/>
      <c r="E79" s="44"/>
      <c r="F79" s="40"/>
      <c r="G79" s="40"/>
      <c r="H79" s="40"/>
      <c r="I79" s="40"/>
      <c r="J79" s="40"/>
      <c r="K79" s="46">
        <f t="shared" si="3"/>
        <v>0</v>
      </c>
    </row>
    <row r="80" spans="1:11" x14ac:dyDescent="0.3">
      <c r="A80" s="1" cm="1">
        <f t="array" ref="A80">1+COUNT(_xlfn.UNIQUE(_xlfn._xlws.FILTER($K$5:$K$128, $K$5:$K$128 &lt; K80)))</f>
        <v>1</v>
      </c>
      <c r="B80" s="43" t="s">
        <v>75</v>
      </c>
      <c r="C80" s="40"/>
      <c r="D80" s="44"/>
      <c r="E80" s="44"/>
      <c r="F80" s="40"/>
      <c r="G80" s="40"/>
      <c r="H80" s="40"/>
      <c r="I80" s="40"/>
      <c r="J80" s="40"/>
      <c r="K80" s="46">
        <f t="shared" si="3"/>
        <v>0</v>
      </c>
    </row>
    <row r="81" spans="1:11" x14ac:dyDescent="0.3">
      <c r="A81" s="1" cm="1">
        <f t="array" ref="A81">1+COUNT(_xlfn.UNIQUE(_xlfn._xlws.FILTER($K$5:$K$128, $K$5:$K$128 &lt; K81)))</f>
        <v>1</v>
      </c>
      <c r="B81" s="43" t="s">
        <v>77</v>
      </c>
      <c r="C81" s="40"/>
      <c r="D81" s="44"/>
      <c r="E81" s="44"/>
      <c r="F81" s="40"/>
      <c r="G81" s="40"/>
      <c r="H81" s="40"/>
      <c r="I81" s="40"/>
      <c r="J81" s="40"/>
      <c r="K81" s="46">
        <f t="shared" si="3"/>
        <v>0</v>
      </c>
    </row>
    <row r="82" spans="1:11" x14ac:dyDescent="0.3">
      <c r="A82" s="1" cm="1">
        <f t="array" ref="A82">1+COUNT(_xlfn.UNIQUE(_xlfn._xlws.FILTER($K$5:$K$128, $K$5:$K$128 &lt; K82)))</f>
        <v>1</v>
      </c>
      <c r="B82" s="43" t="s">
        <v>121</v>
      </c>
      <c r="C82" s="40"/>
      <c r="D82" s="44"/>
      <c r="E82" s="44"/>
      <c r="F82" s="40"/>
      <c r="G82" s="40"/>
      <c r="H82" s="40"/>
      <c r="I82" s="40"/>
      <c r="J82" s="40"/>
      <c r="K82" s="46">
        <f t="shared" si="3"/>
        <v>0</v>
      </c>
    </row>
    <row r="83" spans="1:11" x14ac:dyDescent="0.3">
      <c r="A83" s="1" cm="1">
        <f t="array" ref="A83">1+COUNT(_xlfn.UNIQUE(_xlfn._xlws.FILTER($K$5:$K$128, $K$5:$K$128 &lt; K83)))</f>
        <v>1</v>
      </c>
      <c r="B83" s="43" t="s">
        <v>6</v>
      </c>
      <c r="C83" s="40"/>
      <c r="D83" s="44"/>
      <c r="E83" s="44"/>
      <c r="F83" s="40"/>
      <c r="G83" s="40"/>
      <c r="H83" s="40"/>
      <c r="I83" s="40"/>
      <c r="J83" s="40"/>
      <c r="K83" s="46">
        <f t="shared" si="3"/>
        <v>0</v>
      </c>
    </row>
    <row r="84" spans="1:11" x14ac:dyDescent="0.3">
      <c r="A84" s="1" cm="1">
        <f t="array" ref="A84">1+COUNT(_xlfn.UNIQUE(_xlfn._xlws.FILTER($K$5:$K$128, $K$5:$K$128 &lt; K84)))</f>
        <v>1</v>
      </c>
      <c r="B84" s="43" t="s">
        <v>83</v>
      </c>
      <c r="C84" s="40"/>
      <c r="D84" s="44"/>
      <c r="E84" s="44"/>
      <c r="F84" s="40"/>
      <c r="G84" s="40"/>
      <c r="H84" s="40"/>
      <c r="I84" s="40"/>
      <c r="J84" s="40"/>
      <c r="K84" s="46">
        <f t="shared" si="3"/>
        <v>0</v>
      </c>
    </row>
    <row r="85" spans="1:11" x14ac:dyDescent="0.3">
      <c r="A85" s="1" cm="1">
        <f t="array" ref="A85">1+COUNT(_xlfn.UNIQUE(_xlfn._xlws.FILTER($K$5:$K$128, $K$5:$K$128 &lt; K85)))</f>
        <v>1</v>
      </c>
      <c r="B85" s="43" t="s">
        <v>101</v>
      </c>
      <c r="C85" s="40"/>
      <c r="D85" s="44"/>
      <c r="E85" s="44"/>
      <c r="F85" s="40"/>
      <c r="G85" s="40"/>
      <c r="H85" s="40"/>
      <c r="I85" s="40"/>
      <c r="J85" s="40"/>
      <c r="K85" s="46">
        <f t="shared" si="3"/>
        <v>0</v>
      </c>
    </row>
    <row r="86" spans="1:11" ht="37.5" x14ac:dyDescent="0.3">
      <c r="A86" s="1" cm="1">
        <f t="array" ref="A86">1+COUNT(_xlfn.UNIQUE(_xlfn._xlws.FILTER($K$5:$K$128, $K$5:$K$128 &lt; K86)))</f>
        <v>1</v>
      </c>
      <c r="B86" s="43" t="s">
        <v>103</v>
      </c>
      <c r="C86" s="40"/>
      <c r="D86" s="44"/>
      <c r="E86" s="44"/>
      <c r="F86" s="40"/>
      <c r="G86" s="40"/>
      <c r="H86" s="40"/>
      <c r="I86" s="40"/>
      <c r="J86" s="40"/>
      <c r="K86" s="46">
        <f t="shared" si="3"/>
        <v>0</v>
      </c>
    </row>
    <row r="87" spans="1:11" x14ac:dyDescent="0.3">
      <c r="A87" s="1" cm="1">
        <f t="array" ref="A87">1+COUNT(_xlfn.UNIQUE(_xlfn._xlws.FILTER($K$5:$K$128, $K$5:$K$128 &lt; K87)))</f>
        <v>1</v>
      </c>
      <c r="B87" s="43" t="s">
        <v>102</v>
      </c>
      <c r="C87" s="40"/>
      <c r="D87" s="44"/>
      <c r="E87" s="44"/>
      <c r="F87" s="40"/>
      <c r="G87" s="40"/>
      <c r="H87" s="40"/>
      <c r="I87" s="40"/>
      <c r="J87" s="40"/>
      <c r="K87" s="46">
        <f t="shared" si="3"/>
        <v>0</v>
      </c>
    </row>
    <row r="88" spans="1:11" x14ac:dyDescent="0.3">
      <c r="A88" s="1" cm="1">
        <f t="array" ref="A88">1+COUNT(_xlfn.UNIQUE(_xlfn._xlws.FILTER($K$5:$K$128, $K$5:$K$128 &lt; K88)))</f>
        <v>1</v>
      </c>
      <c r="B88" s="43" t="s">
        <v>52</v>
      </c>
      <c r="C88" s="40"/>
      <c r="D88" s="44"/>
      <c r="E88" s="44"/>
      <c r="F88" s="40"/>
      <c r="G88" s="40"/>
      <c r="H88" s="40"/>
      <c r="I88" s="40"/>
      <c r="J88" s="40"/>
      <c r="K88" s="46">
        <f t="shared" si="3"/>
        <v>0</v>
      </c>
    </row>
    <row r="89" spans="1:11" x14ac:dyDescent="0.3">
      <c r="A89" s="1" cm="1">
        <f t="array" ref="A89">1+COUNT(_xlfn.UNIQUE(_xlfn._xlws.FILTER($K$5:$K$128, $K$5:$K$128 &lt; K89)))</f>
        <v>1</v>
      </c>
      <c r="B89" s="43" t="s">
        <v>38</v>
      </c>
      <c r="C89" s="40"/>
      <c r="D89" s="44"/>
      <c r="E89" s="44"/>
      <c r="F89" s="40"/>
      <c r="G89" s="40"/>
      <c r="H89" s="40"/>
      <c r="I89" s="40"/>
      <c r="J89" s="40"/>
      <c r="K89" s="46">
        <f t="shared" si="3"/>
        <v>0</v>
      </c>
    </row>
    <row r="90" spans="1:11" x14ac:dyDescent="0.3">
      <c r="A90" s="1" cm="1">
        <f t="array" ref="A90">1+COUNT(_xlfn.UNIQUE(_xlfn._xlws.FILTER($K$5:$K$128, $K$5:$K$128 &lt; K90)))</f>
        <v>1</v>
      </c>
      <c r="B90" s="43" t="s">
        <v>111</v>
      </c>
      <c r="C90" s="40"/>
      <c r="D90" s="44"/>
      <c r="E90" s="44"/>
      <c r="F90" s="40"/>
      <c r="G90" s="40"/>
      <c r="H90" s="40"/>
      <c r="I90" s="40"/>
      <c r="J90" s="40"/>
      <c r="K90" s="46">
        <f t="shared" si="3"/>
        <v>0</v>
      </c>
    </row>
    <row r="91" spans="1:11" x14ac:dyDescent="0.3">
      <c r="A91" s="1" cm="1">
        <f t="array" ref="A91">1+COUNT(_xlfn.UNIQUE(_xlfn._xlws.FILTER($K$5:$K$128, $K$5:$K$128 &lt; K91)))</f>
        <v>1</v>
      </c>
      <c r="B91" s="43" t="s">
        <v>107</v>
      </c>
      <c r="C91" s="40"/>
      <c r="D91" s="44"/>
      <c r="E91" s="44"/>
      <c r="F91" s="40"/>
      <c r="G91" s="40"/>
      <c r="H91" s="40"/>
      <c r="I91" s="40"/>
      <c r="J91" s="40"/>
      <c r="K91" s="46">
        <f t="shared" si="3"/>
        <v>0</v>
      </c>
    </row>
    <row r="92" spans="1:11" x14ac:dyDescent="0.3">
      <c r="A92" s="1" cm="1">
        <f t="array" ref="A92">1+COUNT(_xlfn.UNIQUE(_xlfn._xlws.FILTER($K$5:$K$128, $K$5:$K$128 &lt; K92)))</f>
        <v>1</v>
      </c>
      <c r="B92" s="43" t="s">
        <v>71</v>
      </c>
      <c r="C92" s="40"/>
      <c r="D92" s="44"/>
      <c r="E92" s="44"/>
      <c r="F92" s="40"/>
      <c r="G92" s="40"/>
      <c r="H92" s="40"/>
      <c r="I92" s="40"/>
      <c r="J92" s="40"/>
      <c r="K92" s="46">
        <f t="shared" si="3"/>
        <v>0</v>
      </c>
    </row>
    <row r="93" spans="1:11" x14ac:dyDescent="0.3">
      <c r="A93" s="1" cm="1">
        <f t="array" ref="A93">1+COUNT(_xlfn.UNIQUE(_xlfn._xlws.FILTER($K$5:$K$128, $K$5:$K$128 &lt; K93)))</f>
        <v>1</v>
      </c>
      <c r="B93" s="43" t="s">
        <v>85</v>
      </c>
      <c r="C93" s="40"/>
      <c r="D93" s="44"/>
      <c r="E93" s="44"/>
      <c r="F93" s="40"/>
      <c r="G93" s="40"/>
      <c r="H93" s="40"/>
      <c r="I93" s="40"/>
      <c r="J93" s="40"/>
      <c r="K93" s="46">
        <f t="shared" si="3"/>
        <v>0</v>
      </c>
    </row>
    <row r="94" spans="1:11" x14ac:dyDescent="0.3">
      <c r="A94" s="1" cm="1">
        <f t="array" ref="A94">1+COUNT(_xlfn.UNIQUE(_xlfn._xlws.FILTER($K$5:$K$128, $K$5:$K$128 &lt; K94)))</f>
        <v>1</v>
      </c>
      <c r="B94" s="43" t="s">
        <v>81</v>
      </c>
      <c r="C94" s="40"/>
      <c r="D94" s="44"/>
      <c r="E94" s="44"/>
      <c r="F94" s="40"/>
      <c r="G94" s="40"/>
      <c r="H94" s="40"/>
      <c r="I94" s="40"/>
      <c r="J94" s="40"/>
      <c r="K94" s="46">
        <f t="shared" si="3"/>
        <v>0</v>
      </c>
    </row>
    <row r="95" spans="1:11" x14ac:dyDescent="0.3">
      <c r="A95" s="1" cm="1">
        <f t="array" ref="A95">1+COUNT(_xlfn.UNIQUE(_xlfn._xlws.FILTER($K$5:$K$128, $K$5:$K$128 &lt; K95)))</f>
        <v>1</v>
      </c>
      <c r="B95" s="43" t="s">
        <v>46</v>
      </c>
      <c r="C95" s="40"/>
      <c r="D95" s="44"/>
      <c r="E95" s="44"/>
      <c r="F95" s="40"/>
      <c r="G95" s="40"/>
      <c r="H95" s="40"/>
      <c r="I95" s="40"/>
      <c r="J95" s="40"/>
      <c r="K95" s="46">
        <f t="shared" si="3"/>
        <v>0</v>
      </c>
    </row>
    <row r="96" spans="1:11" x14ac:dyDescent="0.3">
      <c r="A96" s="1" cm="1">
        <f t="array" ref="A96">1+COUNT(_xlfn.UNIQUE(_xlfn._xlws.FILTER($K$5:$K$128, $K$5:$K$128 &lt; K96)))</f>
        <v>1</v>
      </c>
      <c r="B96" s="43" t="s">
        <v>7</v>
      </c>
      <c r="C96" s="40"/>
      <c r="D96" s="44"/>
      <c r="E96" s="44"/>
      <c r="F96" s="40"/>
      <c r="G96" s="40"/>
      <c r="H96" s="40"/>
      <c r="I96" s="40"/>
      <c r="J96" s="40"/>
      <c r="K96" s="46">
        <f t="shared" si="3"/>
        <v>0</v>
      </c>
    </row>
    <row r="97" spans="1:11" x14ac:dyDescent="0.3">
      <c r="A97" s="1" cm="1">
        <f t="array" ref="A97">1+COUNT(_xlfn.UNIQUE(_xlfn._xlws.FILTER($K$5:$K$128, $K$5:$K$128 &lt; K97)))</f>
        <v>1</v>
      </c>
      <c r="B97" s="43" t="s">
        <v>53</v>
      </c>
      <c r="C97" s="40"/>
      <c r="D97" s="44"/>
      <c r="E97" s="44"/>
      <c r="F97" s="40"/>
      <c r="G97" s="40"/>
      <c r="H97" s="40"/>
      <c r="I97" s="40"/>
      <c r="J97" s="40"/>
      <c r="K97" s="46">
        <f t="shared" si="3"/>
        <v>0</v>
      </c>
    </row>
    <row r="98" spans="1:11" x14ac:dyDescent="0.3">
      <c r="A98" s="1" cm="1">
        <f t="array" ref="A98">1+COUNT(_xlfn.UNIQUE(_xlfn._xlws.FILTER($K$5:$K$128, $K$5:$K$128 &lt; K98)))</f>
        <v>1</v>
      </c>
      <c r="B98" s="43" t="s">
        <v>22</v>
      </c>
      <c r="C98" s="40"/>
      <c r="D98" s="44"/>
      <c r="E98" s="44"/>
      <c r="F98" s="40"/>
      <c r="G98" s="40"/>
      <c r="H98" s="40"/>
      <c r="I98" s="40"/>
      <c r="J98" s="40"/>
      <c r="K98" s="46">
        <f t="shared" si="3"/>
        <v>0</v>
      </c>
    </row>
    <row r="99" spans="1:11" x14ac:dyDescent="0.3">
      <c r="A99" s="1" cm="1">
        <f t="array" ref="A99">1+COUNT(_xlfn.UNIQUE(_xlfn._xlws.FILTER($K$5:$K$128, $K$5:$K$128 &lt; K99)))</f>
        <v>1</v>
      </c>
      <c r="B99" s="43" t="s">
        <v>54</v>
      </c>
      <c r="C99" s="40"/>
      <c r="D99" s="44"/>
      <c r="E99" s="44"/>
      <c r="F99" s="40"/>
      <c r="G99" s="40"/>
      <c r="H99" s="40"/>
      <c r="I99" s="40"/>
      <c r="J99" s="40"/>
      <c r="K99" s="46">
        <f t="shared" si="3"/>
        <v>0</v>
      </c>
    </row>
    <row r="100" spans="1:11" x14ac:dyDescent="0.3">
      <c r="A100" s="1" cm="1">
        <f t="array" ref="A100">1+COUNT(_xlfn.UNIQUE(_xlfn._xlws.FILTER($K$5:$K$128, $K$5:$K$128 &lt; K100)))</f>
        <v>1</v>
      </c>
      <c r="B100" s="43" t="s">
        <v>123</v>
      </c>
      <c r="C100" s="40"/>
      <c r="D100" s="44"/>
      <c r="E100" s="44"/>
      <c r="F100" s="40"/>
      <c r="G100" s="40"/>
      <c r="H100" s="40"/>
      <c r="I100" s="40"/>
      <c r="J100" s="40"/>
      <c r="K100" s="46">
        <f t="shared" si="3"/>
        <v>0</v>
      </c>
    </row>
    <row r="101" spans="1:11" ht="37.5" x14ac:dyDescent="0.3">
      <c r="A101" s="1" cm="1">
        <f t="array" ref="A101">1+COUNT(_xlfn.UNIQUE(_xlfn._xlws.FILTER($K$5:$K$128, $K$5:$K$128 &lt; K101)))</f>
        <v>1</v>
      </c>
      <c r="B101" s="43" t="s">
        <v>67</v>
      </c>
      <c r="C101" s="40"/>
      <c r="D101" s="44"/>
      <c r="E101" s="44"/>
      <c r="F101" s="40"/>
      <c r="G101" s="40"/>
      <c r="H101" s="40"/>
      <c r="I101" s="40"/>
      <c r="J101" s="40"/>
      <c r="K101" s="46">
        <f t="shared" ref="K101:K128" si="4">C101-E101-G101</f>
        <v>0</v>
      </c>
    </row>
    <row r="102" spans="1:11" x14ac:dyDescent="0.3">
      <c r="A102" s="1" cm="1">
        <f t="array" ref="A102">1+COUNT(_xlfn.UNIQUE(_xlfn._xlws.FILTER($K$5:$K$128, $K$5:$K$128 &lt; K102)))</f>
        <v>1</v>
      </c>
      <c r="B102" s="43" t="s">
        <v>15</v>
      </c>
      <c r="C102" s="40"/>
      <c r="D102" s="44"/>
      <c r="E102" s="44"/>
      <c r="F102" s="40"/>
      <c r="G102" s="40"/>
      <c r="H102" s="40"/>
      <c r="I102" s="40"/>
      <c r="J102" s="40"/>
      <c r="K102" s="46">
        <f t="shared" si="4"/>
        <v>0</v>
      </c>
    </row>
    <row r="103" spans="1:11" ht="37.5" x14ac:dyDescent="0.3">
      <c r="A103" s="1" cm="1">
        <f t="array" ref="A103">1+COUNT(_xlfn.UNIQUE(_xlfn._xlws.FILTER($K$5:$K$128, $K$5:$K$128 &lt; K103)))</f>
        <v>1</v>
      </c>
      <c r="B103" s="43" t="s">
        <v>2</v>
      </c>
      <c r="C103" s="40"/>
      <c r="D103" s="44"/>
      <c r="E103" s="44"/>
      <c r="F103" s="40"/>
      <c r="G103" s="40"/>
      <c r="H103" s="40"/>
      <c r="I103" s="40"/>
      <c r="J103" s="40"/>
      <c r="K103" s="46">
        <f t="shared" si="4"/>
        <v>0</v>
      </c>
    </row>
    <row r="104" spans="1:11" x14ac:dyDescent="0.3">
      <c r="A104" s="1" cm="1">
        <f t="array" ref="A104">1+COUNT(_xlfn.UNIQUE(_xlfn._xlws.FILTER($K$5:$K$128, $K$5:$K$128 &lt; K104)))</f>
        <v>1</v>
      </c>
      <c r="B104" s="43" t="s">
        <v>115</v>
      </c>
      <c r="C104" s="40"/>
      <c r="D104" s="44"/>
      <c r="E104" s="44"/>
      <c r="F104" s="40"/>
      <c r="G104" s="40"/>
      <c r="H104" s="40"/>
      <c r="I104" s="40"/>
      <c r="J104" s="40"/>
      <c r="K104" s="46">
        <f t="shared" si="4"/>
        <v>0</v>
      </c>
    </row>
    <row r="105" spans="1:11" x14ac:dyDescent="0.3">
      <c r="A105" s="1" cm="1">
        <f t="array" ref="A105">1+COUNT(_xlfn.UNIQUE(_xlfn._xlws.FILTER($K$5:$K$128, $K$5:$K$128 &lt; K105)))</f>
        <v>1</v>
      </c>
      <c r="B105" s="43" t="s">
        <v>65</v>
      </c>
      <c r="C105" s="40"/>
      <c r="D105" s="44"/>
      <c r="E105" s="44"/>
      <c r="F105" s="40"/>
      <c r="G105" s="40"/>
      <c r="H105" s="40"/>
      <c r="I105" s="40"/>
      <c r="J105" s="40"/>
      <c r="K105" s="46">
        <f t="shared" si="4"/>
        <v>0</v>
      </c>
    </row>
    <row r="106" spans="1:11" x14ac:dyDescent="0.3">
      <c r="A106" s="1" cm="1">
        <f t="array" ref="A106">1+COUNT(_xlfn.UNIQUE(_xlfn._xlws.FILTER($K$5:$K$128, $K$5:$K$128 &lt; K106)))</f>
        <v>1</v>
      </c>
      <c r="B106" s="43" t="s">
        <v>55</v>
      </c>
      <c r="C106" s="40"/>
      <c r="D106" s="44"/>
      <c r="E106" s="44"/>
      <c r="F106" s="40"/>
      <c r="G106" s="40"/>
      <c r="H106" s="40"/>
      <c r="I106" s="40"/>
      <c r="J106" s="40"/>
      <c r="K106" s="46">
        <f t="shared" si="4"/>
        <v>0</v>
      </c>
    </row>
    <row r="107" spans="1:11" x14ac:dyDescent="0.3">
      <c r="A107" s="1" cm="1">
        <f t="array" ref="A107">1+COUNT(_xlfn.UNIQUE(_xlfn._xlws.FILTER($K$5:$K$128, $K$5:$K$128 &lt; K107)))</f>
        <v>1</v>
      </c>
      <c r="B107" s="43" t="s">
        <v>57</v>
      </c>
      <c r="C107" s="40"/>
      <c r="D107" s="44"/>
      <c r="E107" s="44"/>
      <c r="F107" s="40"/>
      <c r="G107" s="40"/>
      <c r="H107" s="40"/>
      <c r="I107" s="40"/>
      <c r="J107" s="40"/>
      <c r="K107" s="46">
        <f t="shared" si="4"/>
        <v>0</v>
      </c>
    </row>
    <row r="108" spans="1:11" x14ac:dyDescent="0.3">
      <c r="A108" s="1" cm="1">
        <f t="array" ref="A108">1+COUNT(_xlfn.UNIQUE(_xlfn._xlws.FILTER($K$5:$K$128, $K$5:$K$128 &lt; K108)))</f>
        <v>1</v>
      </c>
      <c r="B108" s="43" t="s">
        <v>98</v>
      </c>
      <c r="C108" s="40"/>
      <c r="D108" s="44"/>
      <c r="E108" s="44"/>
      <c r="F108" s="40"/>
      <c r="G108" s="40"/>
      <c r="H108" s="40"/>
      <c r="I108" s="40"/>
      <c r="J108" s="40"/>
      <c r="K108" s="46">
        <f t="shared" si="4"/>
        <v>0</v>
      </c>
    </row>
    <row r="109" spans="1:11" x14ac:dyDescent="0.3">
      <c r="A109" s="1" cm="1">
        <f t="array" ref="A109">1+COUNT(_xlfn.UNIQUE(_xlfn._xlws.FILTER($K$5:$K$128, $K$5:$K$128 &lt; K109)))</f>
        <v>1</v>
      </c>
      <c r="B109" s="43" t="s">
        <v>74</v>
      </c>
      <c r="C109" s="40"/>
      <c r="D109" s="44"/>
      <c r="E109" s="44"/>
      <c r="F109" s="40"/>
      <c r="G109" s="40"/>
      <c r="H109" s="40"/>
      <c r="I109" s="40"/>
      <c r="J109" s="40"/>
      <c r="K109" s="46">
        <f t="shared" si="4"/>
        <v>0</v>
      </c>
    </row>
    <row r="110" spans="1:11" ht="37.5" x14ac:dyDescent="0.3">
      <c r="A110" s="1" cm="1">
        <f t="array" ref="A110">1+COUNT(_xlfn.UNIQUE(_xlfn._xlws.FILTER($K$5:$K$128, $K$5:$K$128 &lt; K110)))</f>
        <v>1</v>
      </c>
      <c r="B110" s="43" t="s">
        <v>24</v>
      </c>
      <c r="C110" s="40"/>
      <c r="D110" s="44"/>
      <c r="E110" s="44"/>
      <c r="F110" s="40"/>
      <c r="G110" s="40"/>
      <c r="H110" s="40"/>
      <c r="I110" s="40"/>
      <c r="J110" s="40"/>
      <c r="K110" s="46">
        <f t="shared" si="4"/>
        <v>0</v>
      </c>
    </row>
    <row r="111" spans="1:11" x14ac:dyDescent="0.3">
      <c r="A111" s="1" cm="1">
        <f t="array" ref="A111">1+COUNT(_xlfn.UNIQUE(_xlfn._xlws.FILTER($K$5:$K$128, $K$5:$K$128 &lt; K111)))</f>
        <v>1</v>
      </c>
      <c r="B111" s="43" t="s">
        <v>34</v>
      </c>
      <c r="C111" s="40"/>
      <c r="D111" s="44"/>
      <c r="E111" s="44"/>
      <c r="F111" s="40"/>
      <c r="G111" s="40"/>
      <c r="H111" s="40"/>
      <c r="I111" s="40"/>
      <c r="J111" s="40"/>
      <c r="K111" s="46">
        <f t="shared" si="4"/>
        <v>0</v>
      </c>
    </row>
    <row r="112" spans="1:11" x14ac:dyDescent="0.3">
      <c r="A112" s="1" cm="1">
        <f t="array" ref="A112">1+COUNT(_xlfn.UNIQUE(_xlfn._xlws.FILTER($K$5:$K$128, $K$5:$K$128 &lt; K112)))</f>
        <v>1</v>
      </c>
      <c r="B112" s="43" t="s">
        <v>69</v>
      </c>
      <c r="C112" s="40"/>
      <c r="D112" s="44"/>
      <c r="E112" s="44"/>
      <c r="F112" s="40"/>
      <c r="G112" s="40"/>
      <c r="H112" s="40"/>
      <c r="I112" s="40"/>
      <c r="J112" s="40"/>
      <c r="K112" s="46">
        <f t="shared" si="4"/>
        <v>0</v>
      </c>
    </row>
    <row r="113" spans="1:11" x14ac:dyDescent="0.3">
      <c r="A113" s="1" cm="1">
        <f t="array" ref="A113">1+COUNT(_xlfn.UNIQUE(_xlfn._xlws.FILTER($K$5:$K$128, $K$5:$K$128 &lt; K113)))</f>
        <v>1</v>
      </c>
      <c r="B113" s="43" t="s">
        <v>10</v>
      </c>
      <c r="C113" s="40"/>
      <c r="D113" s="44"/>
      <c r="E113" s="44"/>
      <c r="F113" s="40"/>
      <c r="G113" s="40"/>
      <c r="H113" s="40"/>
      <c r="I113" s="40"/>
      <c r="J113" s="40"/>
      <c r="K113" s="46">
        <f t="shared" si="4"/>
        <v>0</v>
      </c>
    </row>
    <row r="114" spans="1:11" x14ac:dyDescent="0.3">
      <c r="A114" s="1" cm="1">
        <f t="array" ref="A114">1+COUNT(_xlfn.UNIQUE(_xlfn._xlws.FILTER($K$5:$K$128, $K$5:$K$128 &lt; K114)))</f>
        <v>1</v>
      </c>
      <c r="B114" s="43" t="s">
        <v>13</v>
      </c>
      <c r="C114" s="40"/>
      <c r="D114" s="44"/>
      <c r="E114" s="44"/>
      <c r="F114" s="40"/>
      <c r="G114" s="40"/>
      <c r="H114" s="40"/>
      <c r="I114" s="40"/>
      <c r="J114" s="40"/>
      <c r="K114" s="46">
        <f t="shared" si="4"/>
        <v>0</v>
      </c>
    </row>
    <row r="115" spans="1:11" x14ac:dyDescent="0.3">
      <c r="A115" s="1" cm="1">
        <f t="array" ref="A115">1+COUNT(_xlfn.UNIQUE(_xlfn._xlws.FILTER($K$5:$K$128, $K$5:$K$128 &lt; K115)))</f>
        <v>1</v>
      </c>
      <c r="B115" s="43" t="s">
        <v>92</v>
      </c>
      <c r="C115" s="40"/>
      <c r="D115" s="44"/>
      <c r="E115" s="44"/>
      <c r="F115" s="40"/>
      <c r="G115" s="40"/>
      <c r="H115" s="40"/>
      <c r="I115" s="40"/>
      <c r="J115" s="40"/>
      <c r="K115" s="46">
        <f t="shared" si="4"/>
        <v>0</v>
      </c>
    </row>
    <row r="116" spans="1:11" x14ac:dyDescent="0.3">
      <c r="A116" s="1" cm="1">
        <f t="array" ref="A116">1+COUNT(_xlfn.UNIQUE(_xlfn._xlws.FILTER($K$5:$K$128, $K$5:$K$128 &lt; K116)))</f>
        <v>1</v>
      </c>
      <c r="B116" s="43" t="s">
        <v>100</v>
      </c>
      <c r="C116" s="40"/>
      <c r="D116" s="44"/>
      <c r="E116" s="44"/>
      <c r="F116" s="40"/>
      <c r="G116" s="40"/>
      <c r="H116" s="40"/>
      <c r="I116" s="40"/>
      <c r="J116" s="40"/>
      <c r="K116" s="46">
        <f t="shared" si="4"/>
        <v>0</v>
      </c>
    </row>
    <row r="117" spans="1:11" x14ac:dyDescent="0.3">
      <c r="A117" s="1" cm="1">
        <f t="array" ref="A117">1+COUNT(_xlfn.UNIQUE(_xlfn._xlws.FILTER($K$5:$K$128, $K$5:$K$128 &lt; K117)))</f>
        <v>1</v>
      </c>
      <c r="B117" s="43" t="s">
        <v>32</v>
      </c>
      <c r="C117" s="40"/>
      <c r="D117" s="44"/>
      <c r="E117" s="44"/>
      <c r="F117" s="40"/>
      <c r="G117" s="40"/>
      <c r="H117" s="40"/>
      <c r="I117" s="40"/>
      <c r="J117" s="40"/>
      <c r="K117" s="46">
        <f t="shared" si="4"/>
        <v>0</v>
      </c>
    </row>
    <row r="118" spans="1:11" x14ac:dyDescent="0.3">
      <c r="A118" s="1" cm="1">
        <f t="array" ref="A118">1+COUNT(_xlfn.UNIQUE(_xlfn._xlws.FILTER($K$5:$K$128, $K$5:$K$128 &lt; K118)))</f>
        <v>1</v>
      </c>
      <c r="B118" s="43" t="s">
        <v>58</v>
      </c>
      <c r="C118" s="40"/>
      <c r="D118" s="44"/>
      <c r="E118" s="44"/>
      <c r="F118" s="40"/>
      <c r="G118" s="40"/>
      <c r="H118" s="40"/>
      <c r="I118" s="40"/>
      <c r="J118" s="40"/>
      <c r="K118" s="46">
        <f t="shared" si="4"/>
        <v>0</v>
      </c>
    </row>
    <row r="119" spans="1:11" x14ac:dyDescent="0.3">
      <c r="A119" s="1" cm="1">
        <f t="array" ref="A119">1+COUNT(_xlfn.UNIQUE(_xlfn._xlws.FILTER($K$5:$K$128, $K$5:$K$128 &lt; K119)))</f>
        <v>1</v>
      </c>
      <c r="B119" s="43" t="s">
        <v>114</v>
      </c>
      <c r="C119" s="40"/>
      <c r="D119" s="44"/>
      <c r="E119" s="44"/>
      <c r="F119" s="40"/>
      <c r="G119" s="40"/>
      <c r="H119" s="40"/>
      <c r="I119" s="40"/>
      <c r="J119" s="40"/>
      <c r="K119" s="46">
        <f t="shared" si="4"/>
        <v>0</v>
      </c>
    </row>
    <row r="120" spans="1:11" x14ac:dyDescent="0.3">
      <c r="A120" s="1" cm="1">
        <f t="array" ref="A120">1+COUNT(_xlfn.UNIQUE(_xlfn._xlws.FILTER($K$5:$K$128, $K$5:$K$128 &lt; K120)))</f>
        <v>1</v>
      </c>
      <c r="B120" s="43" t="s">
        <v>23</v>
      </c>
      <c r="C120" s="40"/>
      <c r="D120" s="44"/>
      <c r="E120" s="44"/>
      <c r="F120" s="40"/>
      <c r="G120" s="40"/>
      <c r="H120" s="40"/>
      <c r="I120" s="40"/>
      <c r="J120" s="40"/>
      <c r="K120" s="46">
        <f t="shared" si="4"/>
        <v>0</v>
      </c>
    </row>
    <row r="121" spans="1:11" x14ac:dyDescent="0.3">
      <c r="A121" s="1" cm="1">
        <f t="array" ref="A121">1+COUNT(_xlfn.UNIQUE(_xlfn._xlws.FILTER($K$5:$K$128, $K$5:$K$128 &lt; K121)))</f>
        <v>1</v>
      </c>
      <c r="B121" s="43" t="s">
        <v>49</v>
      </c>
      <c r="C121" s="40"/>
      <c r="D121" s="44"/>
      <c r="E121" s="44"/>
      <c r="F121" s="40"/>
      <c r="G121" s="40"/>
      <c r="H121" s="40"/>
      <c r="I121" s="40"/>
      <c r="J121" s="40"/>
      <c r="K121" s="46">
        <f t="shared" si="4"/>
        <v>0</v>
      </c>
    </row>
    <row r="122" spans="1:11" x14ac:dyDescent="0.3">
      <c r="A122" s="1" cm="1">
        <f t="array" ref="A122">1+COUNT(_xlfn.UNIQUE(_xlfn._xlws.FILTER($K$5:$K$128, $K$5:$K$128 &lt; K122)))</f>
        <v>1</v>
      </c>
      <c r="B122" s="43" t="s">
        <v>109</v>
      </c>
      <c r="C122" s="40"/>
      <c r="D122" s="44"/>
      <c r="E122" s="44"/>
      <c r="F122" s="40"/>
      <c r="G122" s="40"/>
      <c r="H122" s="40"/>
      <c r="I122" s="40"/>
      <c r="J122" s="40"/>
      <c r="K122" s="46">
        <f t="shared" si="4"/>
        <v>0</v>
      </c>
    </row>
    <row r="123" spans="1:11" x14ac:dyDescent="0.3">
      <c r="A123" s="1" cm="1">
        <f t="array" ref="A123">1+COUNT(_xlfn.UNIQUE(_xlfn._xlws.FILTER($K$5:$K$128, $K$5:$K$128 &lt; K123)))</f>
        <v>1</v>
      </c>
      <c r="B123" s="43" t="s">
        <v>86</v>
      </c>
      <c r="C123" s="40"/>
      <c r="D123" s="44"/>
      <c r="E123" s="44"/>
      <c r="F123" s="40"/>
      <c r="G123" s="40"/>
      <c r="H123" s="40"/>
      <c r="I123" s="40"/>
      <c r="J123" s="40"/>
      <c r="K123" s="46">
        <f t="shared" si="4"/>
        <v>0</v>
      </c>
    </row>
    <row r="124" spans="1:11" x14ac:dyDescent="0.3">
      <c r="A124" s="1" cm="1">
        <f t="array" ref="A124">1+COUNT(_xlfn.UNIQUE(_xlfn._xlws.FILTER($K$5:$K$128, $K$5:$K$128 &lt; K124)))</f>
        <v>1</v>
      </c>
      <c r="B124" s="43" t="s">
        <v>106</v>
      </c>
      <c r="C124" s="40"/>
      <c r="D124" s="44"/>
      <c r="E124" s="44"/>
      <c r="F124" s="40"/>
      <c r="G124" s="40"/>
      <c r="H124" s="40"/>
      <c r="I124" s="40"/>
      <c r="J124" s="40"/>
      <c r="K124" s="46">
        <f t="shared" si="4"/>
        <v>0</v>
      </c>
    </row>
    <row r="125" spans="1:11" x14ac:dyDescent="0.3">
      <c r="A125" s="1" cm="1">
        <f t="array" ref="A125">1+COUNT(_xlfn.UNIQUE(_xlfn._xlws.FILTER($K$5:$K$128, $K$5:$K$128 &lt; K125)))</f>
        <v>1</v>
      </c>
      <c r="B125" s="43" t="s">
        <v>118</v>
      </c>
      <c r="C125" s="40"/>
      <c r="D125" s="44"/>
      <c r="E125" s="44"/>
      <c r="F125" s="40"/>
      <c r="G125" s="40"/>
      <c r="H125" s="40"/>
      <c r="I125" s="40"/>
      <c r="J125" s="40"/>
      <c r="K125" s="46">
        <f t="shared" si="4"/>
        <v>0</v>
      </c>
    </row>
    <row r="126" spans="1:11" x14ac:dyDescent="0.3">
      <c r="A126" s="1" cm="1">
        <f t="array" ref="A126">1+COUNT(_xlfn.UNIQUE(_xlfn._xlws.FILTER($K$5:$K$128, $K$5:$K$128 &lt; K126)))</f>
        <v>1</v>
      </c>
      <c r="B126" s="43" t="s">
        <v>131</v>
      </c>
      <c r="C126" s="40"/>
      <c r="D126" s="44"/>
      <c r="E126" s="44"/>
      <c r="F126" s="40"/>
      <c r="G126" s="40"/>
      <c r="H126" s="40"/>
      <c r="I126" s="40"/>
      <c r="J126" s="40"/>
      <c r="K126" s="46">
        <f t="shared" si="4"/>
        <v>0</v>
      </c>
    </row>
    <row r="127" spans="1:11" x14ac:dyDescent="0.3">
      <c r="A127" s="1" cm="1">
        <f t="array" ref="A127">1+COUNT(_xlfn.UNIQUE(_xlfn._xlws.FILTER($K$5:$K$128, $K$5:$K$128 &lt; K127)))</f>
        <v>1</v>
      </c>
      <c r="B127" s="43" t="s">
        <v>62</v>
      </c>
      <c r="C127" s="40"/>
      <c r="D127" s="44"/>
      <c r="E127" s="44"/>
      <c r="F127" s="40"/>
      <c r="G127" s="40"/>
      <c r="H127" s="40"/>
      <c r="I127" s="40"/>
      <c r="J127" s="40"/>
      <c r="K127" s="46">
        <f t="shared" si="4"/>
        <v>0</v>
      </c>
    </row>
    <row r="128" spans="1:11" x14ac:dyDescent="0.3">
      <c r="A128" s="1" cm="1">
        <f t="array" ref="A128">1+COUNT(_xlfn.UNIQUE(_xlfn._xlws.FILTER($K$5:$K$128, $K$5:$K$128 &lt; K128)))</f>
        <v>1</v>
      </c>
      <c r="B128" s="43" t="s">
        <v>108</v>
      </c>
      <c r="C128" s="40"/>
      <c r="D128" s="44"/>
      <c r="E128" s="44"/>
      <c r="F128" s="40"/>
      <c r="G128" s="40"/>
      <c r="H128" s="40"/>
      <c r="I128" s="40"/>
      <c r="J128" s="40"/>
      <c r="K128" s="46">
        <f t="shared" si="4"/>
        <v>0</v>
      </c>
    </row>
  </sheetData>
  <mergeCells count="6">
    <mergeCell ref="A1:J1"/>
    <mergeCell ref="K2:K3"/>
    <mergeCell ref="A2:A3"/>
    <mergeCell ref="B2:B3"/>
    <mergeCell ref="C2:I2"/>
    <mergeCell ref="J2:J3"/>
  </mergeCells>
  <pageMargins left="0.7" right="0.7" top="0.75" bottom="0.75" header="0.3" footer="0.3"/>
  <pageSetup paperSize="9" scale="65" fitToHeight="4" orientation="landscape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0D93-99F3-9244-8347-F53E4F6A56AD}">
  <sheetPr>
    <pageSetUpPr fitToPage="1"/>
  </sheetPr>
  <dimension ref="A1:J127"/>
  <sheetViews>
    <sheetView zoomScale="107" zoomScaleNormal="130" workbookViewId="0">
      <selection activeCell="D17" sqref="D17"/>
    </sheetView>
  </sheetViews>
  <sheetFormatPr defaultColWidth="10.85546875" defaultRowHeight="18.75" x14ac:dyDescent="0.2"/>
  <cols>
    <col min="1" max="1" width="9.42578125" style="9" customWidth="1"/>
    <col min="2" max="2" width="22.42578125" style="3" customWidth="1"/>
    <col min="3" max="9" width="13" style="3" customWidth="1"/>
    <col min="10" max="10" width="18.28515625" style="3" customWidth="1"/>
    <col min="11" max="16384" width="10.85546875" style="3"/>
  </cols>
  <sheetData>
    <row r="1" spans="1:10" ht="35.1" customHeight="1" x14ac:dyDescent="0.2">
      <c r="A1" s="148" t="s">
        <v>146</v>
      </c>
      <c r="B1" s="148"/>
      <c r="C1" s="148"/>
      <c r="D1" s="148"/>
      <c r="E1" s="148"/>
      <c r="F1" s="148"/>
      <c r="G1" s="148"/>
      <c r="H1" s="148"/>
      <c r="I1" s="148"/>
      <c r="J1" s="148"/>
    </row>
    <row r="2" spans="1:10" ht="75" x14ac:dyDescent="0.2">
      <c r="A2" s="113" t="s">
        <v>129</v>
      </c>
      <c r="B2" s="114" t="s">
        <v>133</v>
      </c>
      <c r="C2" s="114" t="s">
        <v>124</v>
      </c>
      <c r="D2" s="114" t="s">
        <v>134</v>
      </c>
      <c r="E2" s="30" t="s">
        <v>248</v>
      </c>
      <c r="F2" s="30" t="s">
        <v>135</v>
      </c>
      <c r="G2" s="30" t="s">
        <v>147</v>
      </c>
      <c r="H2" s="30" t="s">
        <v>136</v>
      </c>
      <c r="I2" s="30" t="s">
        <v>137</v>
      </c>
      <c r="J2" s="31"/>
    </row>
    <row r="3" spans="1:10" x14ac:dyDescent="0.2">
      <c r="A3" s="146" t="s">
        <v>145</v>
      </c>
      <c r="B3" s="147"/>
      <c r="C3" s="39">
        <f>SUM(C4:C127)</f>
        <v>0</v>
      </c>
      <c r="D3" s="39">
        <f>SUM(D4:D127)</f>
        <v>0</v>
      </c>
      <c r="E3" s="39">
        <f t="shared" ref="E3:I3" si="0">SUM(E4:E127)</f>
        <v>0</v>
      </c>
      <c r="F3" s="39">
        <f t="shared" si="0"/>
        <v>0</v>
      </c>
      <c r="G3" s="39">
        <f t="shared" si="0"/>
        <v>0</v>
      </c>
      <c r="H3" s="39">
        <f t="shared" si="0"/>
        <v>0</v>
      </c>
      <c r="I3" s="39">
        <f t="shared" si="0"/>
        <v>0</v>
      </c>
      <c r="J3" s="37" t="e">
        <f t="shared" ref="J3:J34" si="1">E3/C3</f>
        <v>#DIV/0!</v>
      </c>
    </row>
    <row r="4" spans="1:10" x14ac:dyDescent="0.3">
      <c r="A4" s="38" cm="1">
        <f t="array" ref="A4">1+COUNT(_xlfn.UNIQUE(_xlfn._xlws.FILTER($J$4:$J$127, $J$4:$J$127 &gt; J4)))</f>
        <v>1</v>
      </c>
      <c r="B4" s="29" t="s">
        <v>103</v>
      </c>
      <c r="C4" s="32"/>
      <c r="D4" s="33"/>
      <c r="E4" s="32"/>
      <c r="F4" s="33"/>
      <c r="G4" s="33"/>
      <c r="H4" s="33"/>
      <c r="I4" s="33"/>
      <c r="J4" s="37" t="e">
        <f t="shared" si="1"/>
        <v>#DIV/0!</v>
      </c>
    </row>
    <row r="5" spans="1:10" x14ac:dyDescent="0.3">
      <c r="A5" s="38" cm="1">
        <f t="array" ref="A5">1+COUNT(_xlfn.UNIQUE(_xlfn._xlws.FILTER($J$4:$J$127, $J$4:$J$127 &gt; J5)))</f>
        <v>1</v>
      </c>
      <c r="B5" s="29" t="s">
        <v>102</v>
      </c>
      <c r="C5" s="32"/>
      <c r="D5" s="33"/>
      <c r="E5" s="32"/>
      <c r="F5" s="33"/>
      <c r="G5" s="33"/>
      <c r="H5" s="33"/>
      <c r="I5" s="33"/>
      <c r="J5" s="37" t="e">
        <f t="shared" si="1"/>
        <v>#DIV/0!</v>
      </c>
    </row>
    <row r="6" spans="1:10" x14ac:dyDescent="0.3">
      <c r="A6" s="38" cm="1">
        <f t="array" ref="A6">1+COUNT(_xlfn.UNIQUE(_xlfn._xlws.FILTER($J$4:$J$127, $J$4:$J$127 &gt; J6)))</f>
        <v>1</v>
      </c>
      <c r="B6" s="29" t="s">
        <v>92</v>
      </c>
      <c r="C6" s="32"/>
      <c r="D6" s="33"/>
      <c r="E6" s="32"/>
      <c r="F6" s="33"/>
      <c r="G6" s="33"/>
      <c r="H6" s="33"/>
      <c r="I6" s="33"/>
      <c r="J6" s="37" t="e">
        <f t="shared" si="1"/>
        <v>#DIV/0!</v>
      </c>
    </row>
    <row r="7" spans="1:10" x14ac:dyDescent="0.3">
      <c r="A7" s="38" cm="1">
        <f t="array" ref="A7">1+COUNT(_xlfn.UNIQUE(_xlfn._xlws.FILTER($J$4:$J$127, $J$4:$J$127 &gt; J7)))</f>
        <v>1</v>
      </c>
      <c r="B7" s="29" t="s">
        <v>33</v>
      </c>
      <c r="C7" s="32"/>
      <c r="D7" s="33"/>
      <c r="E7" s="32"/>
      <c r="F7" s="33"/>
      <c r="G7" s="33"/>
      <c r="H7" s="33"/>
      <c r="I7" s="33"/>
      <c r="J7" s="37" t="e">
        <f t="shared" si="1"/>
        <v>#DIV/0!</v>
      </c>
    </row>
    <row r="8" spans="1:10" x14ac:dyDescent="0.3">
      <c r="A8" s="38" cm="1">
        <f t="array" ref="A8">1+COUNT(_xlfn.UNIQUE(_xlfn._xlws.FILTER($J$4:$J$127, $J$4:$J$127 &gt; J8)))</f>
        <v>1</v>
      </c>
      <c r="B8" s="29" t="s">
        <v>52</v>
      </c>
      <c r="C8" s="32"/>
      <c r="D8" s="33"/>
      <c r="E8" s="32"/>
      <c r="F8" s="33"/>
      <c r="G8" s="33"/>
      <c r="H8" s="33"/>
      <c r="I8" s="33"/>
      <c r="J8" s="37" t="e">
        <f t="shared" si="1"/>
        <v>#DIV/0!</v>
      </c>
    </row>
    <row r="9" spans="1:10" x14ac:dyDescent="0.3">
      <c r="A9" s="38" cm="1">
        <f t="array" ref="A9">1+COUNT(_xlfn.UNIQUE(_xlfn._xlws.FILTER($J$4:$J$127, $J$4:$J$127 &gt; J9)))</f>
        <v>1</v>
      </c>
      <c r="B9" s="29" t="s">
        <v>22</v>
      </c>
      <c r="C9" s="32"/>
      <c r="D9" s="33"/>
      <c r="E9" s="32"/>
      <c r="F9" s="33"/>
      <c r="G9" s="33"/>
      <c r="H9" s="33"/>
      <c r="I9" s="33"/>
      <c r="J9" s="37" t="e">
        <f t="shared" si="1"/>
        <v>#DIV/0!</v>
      </c>
    </row>
    <row r="10" spans="1:10" x14ac:dyDescent="0.3">
      <c r="A10" s="38" cm="1">
        <f t="array" ref="A10">1+COUNT(_xlfn.UNIQUE(_xlfn._xlws.FILTER($J$4:$J$127, $J$4:$J$127 &gt; J10)))</f>
        <v>1</v>
      </c>
      <c r="B10" s="29" t="s">
        <v>51</v>
      </c>
      <c r="C10" s="32"/>
      <c r="D10" s="33"/>
      <c r="E10" s="32"/>
      <c r="F10" s="33"/>
      <c r="G10" s="33"/>
      <c r="H10" s="33"/>
      <c r="I10" s="33"/>
      <c r="J10" s="37" t="e">
        <f t="shared" si="1"/>
        <v>#DIV/0!</v>
      </c>
    </row>
    <row r="11" spans="1:10" x14ac:dyDescent="0.3">
      <c r="A11" s="38" cm="1">
        <f t="array" ref="A11">1+COUNT(_xlfn.UNIQUE(_xlfn._xlws.FILTER($J$4:$J$127, $J$4:$J$127 &gt; J11)))</f>
        <v>1</v>
      </c>
      <c r="B11" s="29" t="s">
        <v>63</v>
      </c>
      <c r="C11" s="32"/>
      <c r="D11" s="33"/>
      <c r="E11" s="32"/>
      <c r="F11" s="33"/>
      <c r="G11" s="33"/>
      <c r="H11" s="33"/>
      <c r="I11" s="33"/>
      <c r="J11" s="37" t="e">
        <f t="shared" si="1"/>
        <v>#DIV/0!</v>
      </c>
    </row>
    <row r="12" spans="1:10" x14ac:dyDescent="0.3">
      <c r="A12" s="38" cm="1">
        <f t="array" ref="A12">1+COUNT(_xlfn.UNIQUE(_xlfn._xlws.FILTER($J$4:$J$127, $J$4:$J$127 &gt; J12)))</f>
        <v>1</v>
      </c>
      <c r="B12" s="29" t="s">
        <v>76</v>
      </c>
      <c r="C12" s="32"/>
      <c r="D12" s="33"/>
      <c r="E12" s="32"/>
      <c r="F12" s="33"/>
      <c r="G12" s="33"/>
      <c r="H12" s="33"/>
      <c r="I12" s="33"/>
      <c r="J12" s="37" t="e">
        <f t="shared" si="1"/>
        <v>#DIV/0!</v>
      </c>
    </row>
    <row r="13" spans="1:10" x14ac:dyDescent="0.3">
      <c r="A13" s="38" cm="1">
        <f t="array" ref="A13">1+COUNT(_xlfn.UNIQUE(_xlfn._xlws.FILTER($J$4:$J$127, $J$4:$J$127 &gt; J13)))</f>
        <v>1</v>
      </c>
      <c r="B13" s="29" t="s">
        <v>65</v>
      </c>
      <c r="C13" s="32"/>
      <c r="D13" s="33"/>
      <c r="E13" s="32"/>
      <c r="F13" s="33"/>
      <c r="G13" s="33"/>
      <c r="H13" s="33"/>
      <c r="I13" s="33"/>
      <c r="J13" s="37" t="e">
        <f t="shared" si="1"/>
        <v>#DIV/0!</v>
      </c>
    </row>
    <row r="14" spans="1:10" x14ac:dyDescent="0.3">
      <c r="A14" s="38" cm="1">
        <f t="array" ref="A14">1+COUNT(_xlfn.UNIQUE(_xlfn._xlws.FILTER($J$4:$J$127, $J$4:$J$127 &gt; J14)))</f>
        <v>1</v>
      </c>
      <c r="B14" s="29" t="s">
        <v>0</v>
      </c>
      <c r="C14" s="32"/>
      <c r="D14" s="33"/>
      <c r="E14" s="32"/>
      <c r="F14" s="33"/>
      <c r="G14" s="33"/>
      <c r="H14" s="33"/>
      <c r="I14" s="33"/>
      <c r="J14" s="37" t="e">
        <f t="shared" si="1"/>
        <v>#DIV/0!</v>
      </c>
    </row>
    <row r="15" spans="1:10" x14ac:dyDescent="0.3">
      <c r="A15" s="38" cm="1">
        <f t="array" ref="A15">1+COUNT(_xlfn.UNIQUE(_xlfn._xlws.FILTER($J$4:$J$127, $J$4:$J$127 &gt; J15)))</f>
        <v>1</v>
      </c>
      <c r="B15" s="29" t="s">
        <v>3</v>
      </c>
      <c r="C15" s="32"/>
      <c r="D15" s="33"/>
      <c r="E15" s="32"/>
      <c r="F15" s="32"/>
      <c r="G15" s="33"/>
      <c r="H15" s="33"/>
      <c r="I15" s="33"/>
      <c r="J15" s="37" t="e">
        <f t="shared" si="1"/>
        <v>#DIV/0!</v>
      </c>
    </row>
    <row r="16" spans="1:10" x14ac:dyDescent="0.3">
      <c r="A16" s="38" cm="1">
        <f t="array" ref="A16">1+COUNT(_xlfn.UNIQUE(_xlfn._xlws.FILTER($J$4:$J$127, $J$4:$J$127 &gt; J16)))</f>
        <v>1</v>
      </c>
      <c r="B16" s="29" t="s">
        <v>113</v>
      </c>
      <c r="C16" s="32"/>
      <c r="D16" s="33"/>
      <c r="E16" s="32"/>
      <c r="F16" s="32"/>
      <c r="G16" s="33"/>
      <c r="H16" s="33"/>
      <c r="I16" s="33"/>
      <c r="J16" s="37" t="e">
        <f t="shared" si="1"/>
        <v>#DIV/0!</v>
      </c>
    </row>
    <row r="17" spans="1:10" x14ac:dyDescent="0.3">
      <c r="A17" s="38" cm="1">
        <f t="array" ref="A17">1+COUNT(_xlfn.UNIQUE(_xlfn._xlws.FILTER($J$4:$J$127, $J$4:$J$127 &gt; J17)))</f>
        <v>1</v>
      </c>
      <c r="B17" s="29" t="s">
        <v>85</v>
      </c>
      <c r="C17" s="32"/>
      <c r="D17" s="33"/>
      <c r="E17" s="32"/>
      <c r="F17" s="32"/>
      <c r="G17" s="33"/>
      <c r="H17" s="33"/>
      <c r="I17" s="33"/>
      <c r="J17" s="37" t="e">
        <f t="shared" si="1"/>
        <v>#DIV/0!</v>
      </c>
    </row>
    <row r="18" spans="1:10" x14ac:dyDescent="0.3">
      <c r="A18" s="38" cm="1">
        <f t="array" ref="A18">1+COUNT(_xlfn.UNIQUE(_xlfn._xlws.FILTER($J$4:$J$127, $J$4:$J$127 &gt; J18)))</f>
        <v>1</v>
      </c>
      <c r="B18" s="29" t="s">
        <v>55</v>
      </c>
      <c r="C18" s="32"/>
      <c r="D18" s="33"/>
      <c r="E18" s="32"/>
      <c r="F18" s="32"/>
      <c r="G18" s="33"/>
      <c r="H18" s="33"/>
      <c r="I18" s="33"/>
      <c r="J18" s="37" t="e">
        <f t="shared" si="1"/>
        <v>#DIV/0!</v>
      </c>
    </row>
    <row r="19" spans="1:10" x14ac:dyDescent="0.3">
      <c r="A19" s="38" cm="1">
        <f t="array" ref="A19">1+COUNT(_xlfn.UNIQUE(_xlfn._xlws.FILTER($J$4:$J$127, $J$4:$J$127 &gt; J19)))</f>
        <v>1</v>
      </c>
      <c r="B19" s="29" t="s">
        <v>93</v>
      </c>
      <c r="C19" s="32"/>
      <c r="D19" s="33"/>
      <c r="E19" s="32"/>
      <c r="F19" s="32"/>
      <c r="G19" s="33"/>
      <c r="H19" s="33"/>
      <c r="I19" s="33"/>
      <c r="J19" s="37" t="e">
        <f t="shared" si="1"/>
        <v>#DIV/0!</v>
      </c>
    </row>
    <row r="20" spans="1:10" x14ac:dyDescent="0.3">
      <c r="A20" s="38" cm="1">
        <f t="array" ref="A20">1+COUNT(_xlfn.UNIQUE(_xlfn._xlws.FILTER($J$4:$J$127, $J$4:$J$127 &gt; J20)))</f>
        <v>1</v>
      </c>
      <c r="B20" s="29" t="s">
        <v>40</v>
      </c>
      <c r="C20" s="32"/>
      <c r="D20" s="33"/>
      <c r="E20" s="32"/>
      <c r="F20" s="32"/>
      <c r="G20" s="33"/>
      <c r="H20" s="33"/>
      <c r="I20" s="33"/>
      <c r="J20" s="37" t="e">
        <f t="shared" si="1"/>
        <v>#DIV/0!</v>
      </c>
    </row>
    <row r="21" spans="1:10" x14ac:dyDescent="0.3">
      <c r="A21" s="38" cm="1">
        <f t="array" ref="A21">1+COUNT(_xlfn.UNIQUE(_xlfn._xlws.FILTER($J$4:$J$127, $J$4:$J$127 &gt; J21)))</f>
        <v>1</v>
      </c>
      <c r="B21" s="29" t="s">
        <v>110</v>
      </c>
      <c r="C21" s="32"/>
      <c r="D21" s="33"/>
      <c r="E21" s="32"/>
      <c r="F21" s="32"/>
      <c r="G21" s="33"/>
      <c r="H21" s="33"/>
      <c r="I21" s="33"/>
      <c r="J21" s="37" t="e">
        <f t="shared" si="1"/>
        <v>#DIV/0!</v>
      </c>
    </row>
    <row r="22" spans="1:10" x14ac:dyDescent="0.3">
      <c r="A22" s="38" cm="1">
        <f t="array" ref="A22">1+COUNT(_xlfn.UNIQUE(_xlfn._xlws.FILTER($J$4:$J$127, $J$4:$J$127 &gt; J22)))</f>
        <v>1</v>
      </c>
      <c r="B22" s="29" t="s">
        <v>4</v>
      </c>
      <c r="C22" s="32"/>
      <c r="D22" s="33"/>
      <c r="E22" s="32"/>
      <c r="F22" s="32"/>
      <c r="G22" s="33"/>
      <c r="H22" s="33"/>
      <c r="I22" s="33"/>
      <c r="J22" s="37" t="e">
        <f t="shared" si="1"/>
        <v>#DIV/0!</v>
      </c>
    </row>
    <row r="23" spans="1:10" x14ac:dyDescent="0.3">
      <c r="A23" s="38" cm="1">
        <f t="array" ref="A23">1+COUNT(_xlfn.UNIQUE(_xlfn._xlws.FILTER($J$4:$J$127, $J$4:$J$127 &gt; J23)))</f>
        <v>1</v>
      </c>
      <c r="B23" s="29" t="s">
        <v>59</v>
      </c>
      <c r="C23" s="32"/>
      <c r="D23" s="33"/>
      <c r="E23" s="32"/>
      <c r="F23" s="32"/>
      <c r="G23" s="33"/>
      <c r="H23" s="33"/>
      <c r="I23" s="33"/>
      <c r="J23" s="37" t="e">
        <f t="shared" si="1"/>
        <v>#DIV/0!</v>
      </c>
    </row>
    <row r="24" spans="1:10" x14ac:dyDescent="0.3">
      <c r="A24" s="38" cm="1">
        <f t="array" ref="A24">1+COUNT(_xlfn.UNIQUE(_xlfn._xlws.FILTER($J$4:$J$127, $J$4:$J$127 &gt; J24)))</f>
        <v>1</v>
      </c>
      <c r="B24" s="29" t="s">
        <v>107</v>
      </c>
      <c r="C24" s="32"/>
      <c r="D24" s="33"/>
      <c r="E24" s="32"/>
      <c r="F24" s="32"/>
      <c r="G24" s="33"/>
      <c r="H24" s="33"/>
      <c r="I24" s="33"/>
      <c r="J24" s="37" t="e">
        <f t="shared" si="1"/>
        <v>#DIV/0!</v>
      </c>
    </row>
    <row r="25" spans="1:10" x14ac:dyDescent="0.3">
      <c r="A25" s="38" cm="1">
        <f t="array" ref="A25">1+COUNT(_xlfn.UNIQUE(_xlfn._xlws.FILTER($J$4:$J$127, $J$4:$J$127 &gt; J25)))</f>
        <v>1</v>
      </c>
      <c r="B25" s="29" t="s">
        <v>90</v>
      </c>
      <c r="C25" s="32"/>
      <c r="D25" s="33"/>
      <c r="E25" s="32"/>
      <c r="F25" s="32"/>
      <c r="G25" s="33"/>
      <c r="H25" s="33"/>
      <c r="I25" s="33"/>
      <c r="J25" s="37" t="e">
        <f t="shared" si="1"/>
        <v>#DIV/0!</v>
      </c>
    </row>
    <row r="26" spans="1:10" x14ac:dyDescent="0.3">
      <c r="A26" s="38" cm="1">
        <f t="array" ref="A26">1+COUNT(_xlfn.UNIQUE(_xlfn._xlws.FILTER($J$4:$J$127, $J$4:$J$127 &gt; J26)))</f>
        <v>1</v>
      </c>
      <c r="B26" s="29" t="s">
        <v>36</v>
      </c>
      <c r="C26" s="32"/>
      <c r="D26" s="33"/>
      <c r="E26" s="32"/>
      <c r="F26" s="32"/>
      <c r="G26" s="33"/>
      <c r="H26" s="33"/>
      <c r="I26" s="33"/>
      <c r="J26" s="37" t="e">
        <f t="shared" si="1"/>
        <v>#DIV/0!</v>
      </c>
    </row>
    <row r="27" spans="1:10" x14ac:dyDescent="0.3">
      <c r="A27" s="38" cm="1">
        <f t="array" ref="A27">1+COUNT(_xlfn.UNIQUE(_xlfn._xlws.FILTER($J$4:$J$127, $J$4:$J$127 &gt; J27)))</f>
        <v>1</v>
      </c>
      <c r="B27" s="29" t="s">
        <v>105</v>
      </c>
      <c r="C27" s="32"/>
      <c r="D27" s="33"/>
      <c r="E27" s="32"/>
      <c r="F27" s="32"/>
      <c r="G27" s="33"/>
      <c r="H27" s="33"/>
      <c r="I27" s="33"/>
      <c r="J27" s="37" t="e">
        <f t="shared" si="1"/>
        <v>#DIV/0!</v>
      </c>
    </row>
    <row r="28" spans="1:10" x14ac:dyDescent="0.3">
      <c r="A28" s="38" cm="1">
        <f t="array" ref="A28">1+COUNT(_xlfn.UNIQUE(_xlfn._xlws.FILTER($J$4:$J$127, $J$4:$J$127 &gt; J28)))</f>
        <v>1</v>
      </c>
      <c r="B28" s="29" t="s">
        <v>41</v>
      </c>
      <c r="C28" s="32"/>
      <c r="D28" s="33"/>
      <c r="E28" s="32"/>
      <c r="F28" s="32"/>
      <c r="G28" s="33"/>
      <c r="H28" s="33"/>
      <c r="I28" s="33"/>
      <c r="J28" s="37" t="e">
        <f t="shared" si="1"/>
        <v>#DIV/0!</v>
      </c>
    </row>
    <row r="29" spans="1:10" x14ac:dyDescent="0.3">
      <c r="A29" s="38" cm="1">
        <f t="array" ref="A29">1+COUNT(_xlfn.UNIQUE(_xlfn._xlws.FILTER($J$4:$J$127, $J$4:$J$127 &gt; J29)))</f>
        <v>1</v>
      </c>
      <c r="B29" s="29" t="s">
        <v>115</v>
      </c>
      <c r="C29" s="32"/>
      <c r="D29" s="34"/>
      <c r="E29" s="32"/>
      <c r="F29" s="32"/>
      <c r="G29" s="34"/>
      <c r="H29" s="34"/>
      <c r="I29" s="34"/>
      <c r="J29" s="37" t="e">
        <f t="shared" si="1"/>
        <v>#DIV/0!</v>
      </c>
    </row>
    <row r="30" spans="1:10" x14ac:dyDescent="0.3">
      <c r="A30" s="38" cm="1">
        <f t="array" ref="A30">1+COUNT(_xlfn.UNIQUE(_xlfn._xlws.FILTER($J$4:$J$127, $J$4:$J$127 &gt; J30)))</f>
        <v>1</v>
      </c>
      <c r="B30" s="29" t="s">
        <v>19</v>
      </c>
      <c r="C30" s="32"/>
      <c r="D30" s="33"/>
      <c r="E30" s="32"/>
      <c r="F30" s="32"/>
      <c r="G30" s="33"/>
      <c r="H30" s="33"/>
      <c r="I30" s="33"/>
      <c r="J30" s="37" t="e">
        <f t="shared" si="1"/>
        <v>#DIV/0!</v>
      </c>
    </row>
    <row r="31" spans="1:10" x14ac:dyDescent="0.3">
      <c r="A31" s="38" cm="1">
        <f t="array" ref="A31">1+COUNT(_xlfn.UNIQUE(_xlfn._xlws.FILTER($J$4:$J$127, $J$4:$J$127 &gt; J31)))</f>
        <v>1</v>
      </c>
      <c r="B31" s="29" t="s">
        <v>54</v>
      </c>
      <c r="C31" s="32"/>
      <c r="D31" s="33"/>
      <c r="E31" s="32"/>
      <c r="F31" s="32"/>
      <c r="G31" s="33"/>
      <c r="H31" s="33"/>
      <c r="I31" s="33"/>
      <c r="J31" s="37" t="e">
        <f t="shared" si="1"/>
        <v>#DIV/0!</v>
      </c>
    </row>
    <row r="32" spans="1:10" x14ac:dyDescent="0.3">
      <c r="A32" s="38" cm="1">
        <f t="array" ref="A32">1+COUNT(_xlfn.UNIQUE(_xlfn._xlws.FILTER($J$4:$J$127, $J$4:$J$127 &gt; J32)))</f>
        <v>1</v>
      </c>
      <c r="B32" s="29" t="s">
        <v>119</v>
      </c>
      <c r="C32" s="32"/>
      <c r="D32" s="33"/>
      <c r="E32" s="32"/>
      <c r="F32" s="32"/>
      <c r="G32" s="33"/>
      <c r="H32" s="33"/>
      <c r="I32" s="33"/>
      <c r="J32" s="37" t="e">
        <f t="shared" si="1"/>
        <v>#DIV/0!</v>
      </c>
    </row>
    <row r="33" spans="1:10" x14ac:dyDescent="0.3">
      <c r="A33" s="38" cm="1">
        <f t="array" ref="A33">1+COUNT(_xlfn.UNIQUE(_xlfn._xlws.FILTER($J$4:$J$127, $J$4:$J$127 &gt; J33)))</f>
        <v>1</v>
      </c>
      <c r="B33" s="29" t="s">
        <v>95</v>
      </c>
      <c r="C33" s="32"/>
      <c r="D33" s="33"/>
      <c r="E33" s="32"/>
      <c r="F33" s="32"/>
      <c r="G33" s="33"/>
      <c r="H33" s="33"/>
      <c r="I33" s="33"/>
      <c r="J33" s="37" t="e">
        <f t="shared" si="1"/>
        <v>#DIV/0!</v>
      </c>
    </row>
    <row r="34" spans="1:10" x14ac:dyDescent="0.3">
      <c r="A34" s="38" cm="1">
        <f t="array" ref="A34">1+COUNT(_xlfn.UNIQUE(_xlfn._xlws.FILTER($J$4:$J$127, $J$4:$J$127 &gt; J34)))</f>
        <v>1</v>
      </c>
      <c r="B34" s="29" t="s">
        <v>26</v>
      </c>
      <c r="C34" s="32"/>
      <c r="D34" s="33"/>
      <c r="E34" s="32"/>
      <c r="F34" s="32"/>
      <c r="G34" s="33"/>
      <c r="H34" s="33"/>
      <c r="I34" s="33"/>
      <c r="J34" s="37" t="e">
        <f t="shared" si="1"/>
        <v>#DIV/0!</v>
      </c>
    </row>
    <row r="35" spans="1:10" x14ac:dyDescent="0.3">
      <c r="A35" s="38" cm="1">
        <f t="array" ref="A35">1+COUNT(_xlfn.UNIQUE(_xlfn._xlws.FILTER($J$4:$J$127, $J$4:$J$127 &gt; J35)))</f>
        <v>1</v>
      </c>
      <c r="B35" s="29" t="s">
        <v>62</v>
      </c>
      <c r="C35" s="32"/>
      <c r="D35" s="35"/>
      <c r="E35" s="32"/>
      <c r="F35" s="32"/>
      <c r="G35" s="33"/>
      <c r="H35" s="33"/>
      <c r="I35" s="33"/>
      <c r="J35" s="37" t="e">
        <f t="shared" ref="J35:J66" si="2">E35/C35</f>
        <v>#DIV/0!</v>
      </c>
    </row>
    <row r="36" spans="1:10" x14ac:dyDescent="0.3">
      <c r="A36" s="38" cm="1">
        <f t="array" ref="A36">1+COUNT(_xlfn.UNIQUE(_xlfn._xlws.FILTER($J$4:$J$127, $J$4:$J$127 &gt; J36)))</f>
        <v>1</v>
      </c>
      <c r="B36" s="29" t="s">
        <v>39</v>
      </c>
      <c r="C36" s="32"/>
      <c r="D36" s="33"/>
      <c r="E36" s="32"/>
      <c r="F36" s="32"/>
      <c r="G36" s="33"/>
      <c r="H36" s="33"/>
      <c r="I36" s="33"/>
      <c r="J36" s="37" t="e">
        <f t="shared" si="2"/>
        <v>#DIV/0!</v>
      </c>
    </row>
    <row r="37" spans="1:10" x14ac:dyDescent="0.3">
      <c r="A37" s="38" cm="1">
        <f t="array" ref="A37">1+COUNT(_xlfn.UNIQUE(_xlfn._xlws.FILTER($J$4:$J$127, $J$4:$J$127 &gt; J37)))</f>
        <v>1</v>
      </c>
      <c r="B37" s="29" t="s">
        <v>8</v>
      </c>
      <c r="C37" s="32"/>
      <c r="D37" s="33"/>
      <c r="E37" s="32"/>
      <c r="F37" s="32"/>
      <c r="G37" s="33"/>
      <c r="H37" s="33"/>
      <c r="I37" s="33"/>
      <c r="J37" s="37" t="e">
        <f t="shared" si="2"/>
        <v>#DIV/0!</v>
      </c>
    </row>
    <row r="38" spans="1:10" x14ac:dyDescent="0.3">
      <c r="A38" s="38" cm="1">
        <f t="array" ref="A38">1+COUNT(_xlfn.UNIQUE(_xlfn._xlws.FILTER($J$4:$J$127, $J$4:$J$127 &gt; J38)))</f>
        <v>1</v>
      </c>
      <c r="B38" s="29" t="s">
        <v>74</v>
      </c>
      <c r="C38" s="32"/>
      <c r="D38" s="33"/>
      <c r="E38" s="32"/>
      <c r="F38" s="32"/>
      <c r="G38" s="33"/>
      <c r="H38" s="33"/>
      <c r="I38" s="33"/>
      <c r="J38" s="37" t="e">
        <f t="shared" si="2"/>
        <v>#DIV/0!</v>
      </c>
    </row>
    <row r="39" spans="1:10" x14ac:dyDescent="0.3">
      <c r="A39" s="38" cm="1">
        <f t="array" ref="A39">1+COUNT(_xlfn.UNIQUE(_xlfn._xlws.FILTER($J$4:$J$127, $J$4:$J$127 &gt; J39)))</f>
        <v>1</v>
      </c>
      <c r="B39" s="29" t="s">
        <v>10</v>
      </c>
      <c r="C39" s="32"/>
      <c r="D39" s="33"/>
      <c r="E39" s="32"/>
      <c r="F39" s="32"/>
      <c r="G39" s="33"/>
      <c r="H39" s="33"/>
      <c r="I39" s="33"/>
      <c r="J39" s="37" t="e">
        <f t="shared" si="2"/>
        <v>#DIV/0!</v>
      </c>
    </row>
    <row r="40" spans="1:10" x14ac:dyDescent="0.3">
      <c r="A40" s="38" cm="1">
        <f t="array" ref="A40">1+COUNT(_xlfn.UNIQUE(_xlfn._xlws.FILTER($J$4:$J$127, $J$4:$J$127 &gt; J40)))</f>
        <v>1</v>
      </c>
      <c r="B40" s="29" t="s">
        <v>97</v>
      </c>
      <c r="C40" s="32"/>
      <c r="D40" s="33"/>
      <c r="E40" s="32"/>
      <c r="F40" s="32"/>
      <c r="G40" s="33"/>
      <c r="H40" s="33"/>
      <c r="I40" s="33"/>
      <c r="J40" s="37" t="e">
        <f t="shared" si="2"/>
        <v>#DIV/0!</v>
      </c>
    </row>
    <row r="41" spans="1:10" x14ac:dyDescent="0.3">
      <c r="A41" s="38" cm="1">
        <f t="array" ref="A41">1+COUNT(_xlfn.UNIQUE(_xlfn._xlws.FILTER($J$4:$J$127, $J$4:$J$127 &gt; J41)))</f>
        <v>1</v>
      </c>
      <c r="B41" s="29" t="s">
        <v>84</v>
      </c>
      <c r="C41" s="32"/>
      <c r="D41" s="33"/>
      <c r="E41" s="32"/>
      <c r="F41" s="32"/>
      <c r="G41" s="33"/>
      <c r="H41" s="33"/>
      <c r="I41" s="33"/>
      <c r="J41" s="37" t="e">
        <f t="shared" si="2"/>
        <v>#DIV/0!</v>
      </c>
    </row>
    <row r="42" spans="1:10" x14ac:dyDescent="0.3">
      <c r="A42" s="38" cm="1">
        <f t="array" ref="A42">1+COUNT(_xlfn.UNIQUE(_xlfn._xlws.FILTER($J$4:$J$127, $J$4:$J$127 &gt; J42)))</f>
        <v>1</v>
      </c>
      <c r="B42" s="29" t="s">
        <v>45</v>
      </c>
      <c r="C42" s="32"/>
      <c r="D42" s="33"/>
      <c r="E42" s="32"/>
      <c r="F42" s="32"/>
      <c r="G42" s="33"/>
      <c r="H42" s="33"/>
      <c r="I42" s="33"/>
      <c r="J42" s="37" t="e">
        <f t="shared" si="2"/>
        <v>#DIV/0!</v>
      </c>
    </row>
    <row r="43" spans="1:10" x14ac:dyDescent="0.3">
      <c r="A43" s="38" cm="1">
        <f t="array" ref="A43">1+COUNT(_xlfn.UNIQUE(_xlfn._xlws.FILTER($J$4:$J$127, $J$4:$J$127 &gt; J43)))</f>
        <v>1</v>
      </c>
      <c r="B43" s="29" t="s">
        <v>94</v>
      </c>
      <c r="C43" s="32"/>
      <c r="D43" s="33"/>
      <c r="E43" s="32"/>
      <c r="F43" s="32"/>
      <c r="G43" s="33"/>
      <c r="H43" s="33"/>
      <c r="I43" s="33"/>
      <c r="J43" s="37" t="e">
        <f t="shared" si="2"/>
        <v>#DIV/0!</v>
      </c>
    </row>
    <row r="44" spans="1:10" x14ac:dyDescent="0.3">
      <c r="A44" s="38" cm="1">
        <f t="array" ref="A44">1+COUNT(_xlfn.UNIQUE(_xlfn._xlws.FILTER($J$4:$J$127, $J$4:$J$127 &gt; J44)))</f>
        <v>1</v>
      </c>
      <c r="B44" s="29" t="s">
        <v>46</v>
      </c>
      <c r="C44" s="32"/>
      <c r="D44" s="33"/>
      <c r="E44" s="32"/>
      <c r="F44" s="32"/>
      <c r="G44" s="33"/>
      <c r="H44" s="33"/>
      <c r="I44" s="33"/>
      <c r="J44" s="37" t="e">
        <f t="shared" si="2"/>
        <v>#DIV/0!</v>
      </c>
    </row>
    <row r="45" spans="1:10" x14ac:dyDescent="0.3">
      <c r="A45" s="38" cm="1">
        <f t="array" ref="A45">1+COUNT(_xlfn.UNIQUE(_xlfn._xlws.FILTER($J$4:$J$127, $J$4:$J$127 &gt; J45)))</f>
        <v>1</v>
      </c>
      <c r="B45" s="29" t="s">
        <v>18</v>
      </c>
      <c r="C45" s="32"/>
      <c r="D45" s="33"/>
      <c r="E45" s="32"/>
      <c r="F45" s="32"/>
      <c r="G45" s="33"/>
      <c r="H45" s="33"/>
      <c r="I45" s="33"/>
      <c r="J45" s="37" t="e">
        <f t="shared" si="2"/>
        <v>#DIV/0!</v>
      </c>
    </row>
    <row r="46" spans="1:10" x14ac:dyDescent="0.3">
      <c r="A46" s="38" cm="1">
        <f t="array" ref="A46">1+COUNT(_xlfn.UNIQUE(_xlfn._xlws.FILTER($J$4:$J$127, $J$4:$J$127 &gt; J46)))</f>
        <v>1</v>
      </c>
      <c r="B46" s="29" t="s">
        <v>60</v>
      </c>
      <c r="C46" s="32"/>
      <c r="D46" s="33"/>
      <c r="E46" s="32"/>
      <c r="F46" s="32"/>
      <c r="G46" s="33"/>
      <c r="H46" s="33"/>
      <c r="I46" s="33"/>
      <c r="J46" s="37" t="e">
        <f t="shared" si="2"/>
        <v>#DIV/0!</v>
      </c>
    </row>
    <row r="47" spans="1:10" x14ac:dyDescent="0.3">
      <c r="A47" s="38" cm="1">
        <f t="array" ref="A47">1+COUNT(_xlfn.UNIQUE(_xlfn._xlws.FILTER($J$4:$J$127, $J$4:$J$127 &gt; J47)))</f>
        <v>1</v>
      </c>
      <c r="B47" s="29" t="s">
        <v>122</v>
      </c>
      <c r="C47" s="32"/>
      <c r="D47" s="33"/>
      <c r="E47" s="32"/>
      <c r="F47" s="32"/>
      <c r="G47" s="33"/>
      <c r="H47" s="33"/>
      <c r="I47" s="33"/>
      <c r="J47" s="37" t="e">
        <f t="shared" si="2"/>
        <v>#DIV/0!</v>
      </c>
    </row>
    <row r="48" spans="1:10" x14ac:dyDescent="0.3">
      <c r="A48" s="38" cm="1">
        <f t="array" ref="A48">1+COUNT(_xlfn.UNIQUE(_xlfn._xlws.FILTER($J$4:$J$127, $J$4:$J$127 &gt; J48)))</f>
        <v>1</v>
      </c>
      <c r="B48" s="29" t="s">
        <v>11</v>
      </c>
      <c r="C48" s="32"/>
      <c r="D48" s="33"/>
      <c r="E48" s="32"/>
      <c r="F48" s="32"/>
      <c r="G48" s="33"/>
      <c r="H48" s="33"/>
      <c r="I48" s="33"/>
      <c r="J48" s="37" t="e">
        <f t="shared" si="2"/>
        <v>#DIV/0!</v>
      </c>
    </row>
    <row r="49" spans="1:10" x14ac:dyDescent="0.3">
      <c r="A49" s="38" cm="1">
        <f t="array" ref="A49">1+COUNT(_xlfn.UNIQUE(_xlfn._xlws.FILTER($J$4:$J$127, $J$4:$J$127 &gt; J49)))</f>
        <v>1</v>
      </c>
      <c r="B49" s="29" t="s">
        <v>87</v>
      </c>
      <c r="C49" s="32"/>
      <c r="D49" s="33"/>
      <c r="E49" s="32"/>
      <c r="F49" s="32"/>
      <c r="G49" s="33"/>
      <c r="H49" s="33"/>
      <c r="I49" s="33"/>
      <c r="J49" s="37" t="e">
        <f t="shared" si="2"/>
        <v>#DIV/0!</v>
      </c>
    </row>
    <row r="50" spans="1:10" x14ac:dyDescent="0.3">
      <c r="A50" s="38" cm="1">
        <f t="array" ref="A50">1+COUNT(_xlfn.UNIQUE(_xlfn._xlws.FILTER($J$4:$J$127, $J$4:$J$127 &gt; J50)))</f>
        <v>1</v>
      </c>
      <c r="B50" s="29" t="s">
        <v>121</v>
      </c>
      <c r="C50" s="32"/>
      <c r="D50" s="33"/>
      <c r="E50" s="32"/>
      <c r="F50" s="32"/>
      <c r="G50" s="33"/>
      <c r="H50" s="33"/>
      <c r="I50" s="33"/>
      <c r="J50" s="37" t="e">
        <f t="shared" si="2"/>
        <v>#DIV/0!</v>
      </c>
    </row>
    <row r="51" spans="1:10" x14ac:dyDescent="0.3">
      <c r="A51" s="38" cm="1">
        <f t="array" ref="A51">1+COUNT(_xlfn.UNIQUE(_xlfn._xlws.FILTER($J$4:$J$127, $J$4:$J$127 &gt; J51)))</f>
        <v>1</v>
      </c>
      <c r="B51" s="29" t="s">
        <v>101</v>
      </c>
      <c r="C51" s="32"/>
      <c r="D51" s="33"/>
      <c r="E51" s="32"/>
      <c r="F51" s="32"/>
      <c r="G51" s="33"/>
      <c r="H51" s="33"/>
      <c r="I51" s="33"/>
      <c r="J51" s="37" t="e">
        <f t="shared" si="2"/>
        <v>#DIV/0!</v>
      </c>
    </row>
    <row r="52" spans="1:10" x14ac:dyDescent="0.3">
      <c r="A52" s="38" cm="1">
        <f t="array" ref="A52">1+COUNT(_xlfn.UNIQUE(_xlfn._xlws.FILTER($J$4:$J$127, $J$4:$J$127 &gt; J52)))</f>
        <v>1</v>
      </c>
      <c r="B52" s="29" t="s">
        <v>31</v>
      </c>
      <c r="C52" s="32"/>
      <c r="D52" s="33"/>
      <c r="E52" s="32"/>
      <c r="F52" s="32"/>
      <c r="G52" s="33"/>
      <c r="H52" s="33"/>
      <c r="I52" s="33"/>
      <c r="J52" s="37" t="e">
        <f t="shared" si="2"/>
        <v>#DIV/0!</v>
      </c>
    </row>
    <row r="53" spans="1:10" x14ac:dyDescent="0.3">
      <c r="A53" s="38" cm="1">
        <f t="array" ref="A53">1+COUNT(_xlfn.UNIQUE(_xlfn._xlws.FILTER($J$4:$J$127, $J$4:$J$127 &gt; J53)))</f>
        <v>1</v>
      </c>
      <c r="B53" s="29" t="s">
        <v>88</v>
      </c>
      <c r="C53" s="32"/>
      <c r="D53" s="33"/>
      <c r="E53" s="32"/>
      <c r="F53" s="32"/>
      <c r="G53" s="33"/>
      <c r="H53" s="33"/>
      <c r="I53" s="33"/>
      <c r="J53" s="37" t="e">
        <f t="shared" si="2"/>
        <v>#DIV/0!</v>
      </c>
    </row>
    <row r="54" spans="1:10" x14ac:dyDescent="0.3">
      <c r="A54" s="38" cm="1">
        <f t="array" ref="A54">1+COUNT(_xlfn.UNIQUE(_xlfn._xlws.FILTER($J$4:$J$127, $J$4:$J$127 &gt; J54)))</f>
        <v>1</v>
      </c>
      <c r="B54" s="29" t="s">
        <v>37</v>
      </c>
      <c r="C54" s="32"/>
      <c r="D54" s="33"/>
      <c r="E54" s="32"/>
      <c r="F54" s="32"/>
      <c r="G54" s="33"/>
      <c r="H54" s="33"/>
      <c r="I54" s="33"/>
      <c r="J54" s="37" t="e">
        <f t="shared" si="2"/>
        <v>#DIV/0!</v>
      </c>
    </row>
    <row r="55" spans="1:10" x14ac:dyDescent="0.3">
      <c r="A55" s="38" cm="1">
        <f t="array" ref="A55">1+COUNT(_xlfn.UNIQUE(_xlfn._xlws.FILTER($J$4:$J$127, $J$4:$J$127 &gt; J55)))</f>
        <v>1</v>
      </c>
      <c r="B55" s="29" t="s">
        <v>6</v>
      </c>
      <c r="C55" s="32"/>
      <c r="D55" s="33"/>
      <c r="E55" s="32"/>
      <c r="F55" s="32"/>
      <c r="G55" s="33"/>
      <c r="H55" s="33"/>
      <c r="I55" s="33"/>
      <c r="J55" s="37" t="e">
        <f t="shared" si="2"/>
        <v>#DIV/0!</v>
      </c>
    </row>
    <row r="56" spans="1:10" x14ac:dyDescent="0.3">
      <c r="A56" s="38" cm="1">
        <f t="array" ref="A56">1+COUNT(_xlfn.UNIQUE(_xlfn._xlws.FILTER($J$4:$J$127, $J$4:$J$127 &gt; J56)))</f>
        <v>1</v>
      </c>
      <c r="B56" s="29" t="s">
        <v>29</v>
      </c>
      <c r="C56" s="32"/>
      <c r="D56" s="33"/>
      <c r="E56" s="32"/>
      <c r="F56" s="32"/>
      <c r="G56" s="33"/>
      <c r="H56" s="33"/>
      <c r="I56" s="33"/>
      <c r="J56" s="37" t="e">
        <f t="shared" si="2"/>
        <v>#DIV/0!</v>
      </c>
    </row>
    <row r="57" spans="1:10" x14ac:dyDescent="0.3">
      <c r="A57" s="38" cm="1">
        <f t="array" ref="A57">1+COUNT(_xlfn.UNIQUE(_xlfn._xlws.FILTER($J$4:$J$127, $J$4:$J$127 &gt; J57)))</f>
        <v>1</v>
      </c>
      <c r="B57" s="29" t="s">
        <v>83</v>
      </c>
      <c r="C57" s="32"/>
      <c r="D57" s="33"/>
      <c r="E57" s="32"/>
      <c r="F57" s="32"/>
      <c r="G57" s="33"/>
      <c r="H57" s="33"/>
      <c r="I57" s="33"/>
      <c r="J57" s="37" t="e">
        <f t="shared" si="2"/>
        <v>#DIV/0!</v>
      </c>
    </row>
    <row r="58" spans="1:10" x14ac:dyDescent="0.3">
      <c r="A58" s="38" cm="1">
        <f t="array" ref="A58">1+COUNT(_xlfn.UNIQUE(_xlfn._xlws.FILTER($J$4:$J$127, $J$4:$J$127 &gt; J58)))</f>
        <v>1</v>
      </c>
      <c r="B58" s="29" t="s">
        <v>28</v>
      </c>
      <c r="C58" s="32"/>
      <c r="D58" s="33"/>
      <c r="E58" s="32"/>
      <c r="F58" s="32"/>
      <c r="G58" s="33"/>
      <c r="H58" s="33"/>
      <c r="I58" s="33"/>
      <c r="J58" s="37" t="e">
        <f t="shared" si="2"/>
        <v>#DIV/0!</v>
      </c>
    </row>
    <row r="59" spans="1:10" x14ac:dyDescent="0.3">
      <c r="A59" s="38" cm="1">
        <f t="array" ref="A59">1+COUNT(_xlfn.UNIQUE(_xlfn._xlws.FILTER($J$4:$J$127, $J$4:$J$127 &gt; J59)))</f>
        <v>1</v>
      </c>
      <c r="B59" s="29" t="s">
        <v>23</v>
      </c>
      <c r="C59" s="32"/>
      <c r="D59" s="33"/>
      <c r="E59" s="32"/>
      <c r="F59" s="33"/>
      <c r="G59" s="33"/>
      <c r="H59" s="33"/>
      <c r="I59" s="33"/>
      <c r="J59" s="37" t="e">
        <f t="shared" si="2"/>
        <v>#DIV/0!</v>
      </c>
    </row>
    <row r="60" spans="1:10" x14ac:dyDescent="0.3">
      <c r="A60" s="38" cm="1">
        <f t="array" ref="A60">1+COUNT(_xlfn.UNIQUE(_xlfn._xlws.FILTER($J$4:$J$127, $J$4:$J$127 &gt; J60)))</f>
        <v>1</v>
      </c>
      <c r="B60" s="29" t="s">
        <v>89</v>
      </c>
      <c r="C60" s="32"/>
      <c r="D60" s="33"/>
      <c r="E60" s="32"/>
      <c r="F60" s="33"/>
      <c r="G60" s="33"/>
      <c r="H60" s="33"/>
      <c r="I60" s="33"/>
      <c r="J60" s="37" t="e">
        <f t="shared" si="2"/>
        <v>#DIV/0!</v>
      </c>
    </row>
    <row r="61" spans="1:10" x14ac:dyDescent="0.3">
      <c r="A61" s="38" cm="1">
        <f t="array" ref="A61">1+COUNT(_xlfn.UNIQUE(_xlfn._xlws.FILTER($J$4:$J$127, $J$4:$J$127 &gt; J61)))</f>
        <v>1</v>
      </c>
      <c r="B61" s="29" t="s">
        <v>35</v>
      </c>
      <c r="C61" s="32"/>
      <c r="D61" s="33"/>
      <c r="E61" s="32"/>
      <c r="F61" s="33"/>
      <c r="G61" s="33"/>
      <c r="H61" s="33"/>
      <c r="I61" s="33"/>
      <c r="J61" s="37" t="e">
        <f t="shared" si="2"/>
        <v>#DIV/0!</v>
      </c>
    </row>
    <row r="62" spans="1:10" x14ac:dyDescent="0.3">
      <c r="A62" s="38" cm="1">
        <f t="array" ref="A62">1+COUNT(_xlfn.UNIQUE(_xlfn._xlws.FILTER($J$4:$J$127, $J$4:$J$127 &gt; J62)))</f>
        <v>1</v>
      </c>
      <c r="B62" s="29" t="s">
        <v>14</v>
      </c>
      <c r="C62" s="32"/>
      <c r="D62" s="33"/>
      <c r="E62" s="32"/>
      <c r="F62" s="33"/>
      <c r="G62" s="33"/>
      <c r="H62" s="33"/>
      <c r="I62" s="33"/>
      <c r="J62" s="37" t="e">
        <f t="shared" si="2"/>
        <v>#DIV/0!</v>
      </c>
    </row>
    <row r="63" spans="1:10" x14ac:dyDescent="0.3">
      <c r="A63" s="38" cm="1">
        <f t="array" ref="A63">1+COUNT(_xlfn.UNIQUE(_xlfn._xlws.FILTER($J$4:$J$127, $J$4:$J$127 &gt; J63)))</f>
        <v>1</v>
      </c>
      <c r="B63" s="29" t="s">
        <v>77</v>
      </c>
      <c r="C63" s="32"/>
      <c r="D63" s="33"/>
      <c r="E63" s="32"/>
      <c r="F63" s="33"/>
      <c r="G63" s="33"/>
      <c r="H63" s="33"/>
      <c r="I63" s="33"/>
      <c r="J63" s="37" t="e">
        <f t="shared" si="2"/>
        <v>#DIV/0!</v>
      </c>
    </row>
    <row r="64" spans="1:10" x14ac:dyDescent="0.3">
      <c r="A64" s="38" cm="1">
        <f t="array" ref="A64">1+COUNT(_xlfn.UNIQUE(_xlfn._xlws.FILTER($J$4:$J$127, $J$4:$J$127 &gt; J64)))</f>
        <v>1</v>
      </c>
      <c r="B64" s="29" t="s">
        <v>42</v>
      </c>
      <c r="C64" s="32"/>
      <c r="D64" s="33"/>
      <c r="E64" s="32"/>
      <c r="F64" s="33"/>
      <c r="G64" s="33"/>
      <c r="H64" s="33"/>
      <c r="I64" s="33"/>
      <c r="J64" s="37" t="e">
        <f t="shared" si="2"/>
        <v>#DIV/0!</v>
      </c>
    </row>
    <row r="65" spans="1:10" x14ac:dyDescent="0.3">
      <c r="A65" s="38" cm="1">
        <f t="array" ref="A65">1+COUNT(_xlfn.UNIQUE(_xlfn._xlws.FILTER($J$4:$J$127, $J$4:$J$127 &gt; J65)))</f>
        <v>1</v>
      </c>
      <c r="B65" s="29" t="s">
        <v>20</v>
      </c>
      <c r="C65" s="32"/>
      <c r="D65" s="33"/>
      <c r="E65" s="32"/>
      <c r="F65" s="33"/>
      <c r="G65" s="33"/>
      <c r="H65" s="33"/>
      <c r="I65" s="33"/>
      <c r="J65" s="37" t="e">
        <f t="shared" si="2"/>
        <v>#DIV/0!</v>
      </c>
    </row>
    <row r="66" spans="1:10" x14ac:dyDescent="0.3">
      <c r="A66" s="38" cm="1">
        <f t="array" ref="A66">1+COUNT(_xlfn.UNIQUE(_xlfn._xlws.FILTER($J$4:$J$127, $J$4:$J$127 &gt; J66)))</f>
        <v>1</v>
      </c>
      <c r="B66" s="29" t="s">
        <v>50</v>
      </c>
      <c r="C66" s="32"/>
      <c r="D66" s="36"/>
      <c r="E66" s="32"/>
      <c r="F66" s="33"/>
      <c r="G66" s="33"/>
      <c r="H66" s="33"/>
      <c r="I66" s="33"/>
      <c r="J66" s="37" t="e">
        <f t="shared" si="2"/>
        <v>#DIV/0!</v>
      </c>
    </row>
    <row r="67" spans="1:10" x14ac:dyDescent="0.3">
      <c r="A67" s="38" cm="1">
        <f t="array" ref="A67">1+COUNT(_xlfn.UNIQUE(_xlfn._xlws.FILTER($J$4:$J$127, $J$4:$J$127 &gt; J67)))</f>
        <v>1</v>
      </c>
      <c r="B67" s="29" t="s">
        <v>82</v>
      </c>
      <c r="C67" s="32"/>
      <c r="D67" s="36"/>
      <c r="E67" s="32"/>
      <c r="F67" s="33"/>
      <c r="G67" s="33"/>
      <c r="H67" s="33"/>
      <c r="I67" s="33"/>
      <c r="J67" s="37" t="e">
        <f t="shared" ref="J67:J98" si="3">E67/C67</f>
        <v>#DIV/0!</v>
      </c>
    </row>
    <row r="68" spans="1:10" x14ac:dyDescent="0.3">
      <c r="A68" s="38" cm="1">
        <f t="array" ref="A68">1+COUNT(_xlfn.UNIQUE(_xlfn._xlws.FILTER($J$4:$J$127, $J$4:$J$127 &gt; J68)))</f>
        <v>1</v>
      </c>
      <c r="B68" s="29" t="s">
        <v>24</v>
      </c>
      <c r="C68" s="32"/>
      <c r="D68" s="33"/>
      <c r="E68" s="32"/>
      <c r="F68" s="33"/>
      <c r="G68" s="33"/>
      <c r="H68" s="33"/>
      <c r="I68" s="33"/>
      <c r="J68" s="37" t="e">
        <f t="shared" si="3"/>
        <v>#DIV/0!</v>
      </c>
    </row>
    <row r="69" spans="1:10" x14ac:dyDescent="0.3">
      <c r="A69" s="38" cm="1">
        <f t="array" ref="A69">1+COUNT(_xlfn.UNIQUE(_xlfn._xlws.FILTER($J$4:$J$127, $J$4:$J$127 &gt; J69)))</f>
        <v>1</v>
      </c>
      <c r="B69" s="29" t="s">
        <v>58</v>
      </c>
      <c r="C69" s="32"/>
      <c r="D69" s="33"/>
      <c r="E69" s="32"/>
      <c r="F69" s="32"/>
      <c r="G69" s="33"/>
      <c r="H69" s="33"/>
      <c r="I69" s="33"/>
      <c r="J69" s="37" t="e">
        <f t="shared" si="3"/>
        <v>#DIV/0!</v>
      </c>
    </row>
    <row r="70" spans="1:10" ht="37.5" x14ac:dyDescent="0.3">
      <c r="A70" s="38" cm="1">
        <f t="array" ref="A70">1+COUNT(_xlfn.UNIQUE(_xlfn._xlws.FILTER($J$4:$J$127, $J$4:$J$127 &gt; J70)))</f>
        <v>1</v>
      </c>
      <c r="B70" s="29" t="s">
        <v>17</v>
      </c>
      <c r="C70" s="32"/>
      <c r="D70" s="33"/>
      <c r="E70" s="32"/>
      <c r="F70" s="32"/>
      <c r="G70" s="33"/>
      <c r="H70" s="33"/>
      <c r="I70" s="33"/>
      <c r="J70" s="37" t="e">
        <f t="shared" si="3"/>
        <v>#DIV/0!</v>
      </c>
    </row>
    <row r="71" spans="1:10" x14ac:dyDescent="0.3">
      <c r="A71" s="38" cm="1">
        <f t="array" ref="A71">1+COUNT(_xlfn.UNIQUE(_xlfn._xlws.FILTER($J$4:$J$127, $J$4:$J$127 &gt; J71)))</f>
        <v>1</v>
      </c>
      <c r="B71" s="29" t="s">
        <v>99</v>
      </c>
      <c r="C71" s="32"/>
      <c r="D71" s="33"/>
      <c r="E71" s="32"/>
      <c r="F71" s="32"/>
      <c r="G71" s="33"/>
      <c r="H71" s="33"/>
      <c r="I71" s="33"/>
      <c r="J71" s="37" t="e">
        <f t="shared" si="3"/>
        <v>#DIV/0!</v>
      </c>
    </row>
    <row r="72" spans="1:10" x14ac:dyDescent="0.3">
      <c r="A72" s="38" cm="1">
        <f t="array" ref="A72">1+COUNT(_xlfn.UNIQUE(_xlfn._xlws.FILTER($J$4:$J$127, $J$4:$J$127 &gt; J72)))</f>
        <v>1</v>
      </c>
      <c r="B72" s="29" t="s">
        <v>108</v>
      </c>
      <c r="C72" s="32"/>
      <c r="D72" s="33"/>
      <c r="E72" s="32"/>
      <c r="F72" s="32"/>
      <c r="G72" s="33"/>
      <c r="H72" s="33"/>
      <c r="I72" s="33"/>
      <c r="J72" s="37" t="e">
        <f t="shared" si="3"/>
        <v>#DIV/0!</v>
      </c>
    </row>
    <row r="73" spans="1:10" ht="37.5" x14ac:dyDescent="0.3">
      <c r="A73" s="38" cm="1">
        <f t="array" ref="A73">1+COUNT(_xlfn.UNIQUE(_xlfn._xlws.FILTER($J$4:$J$127, $J$4:$J$127 &gt; J73)))</f>
        <v>1</v>
      </c>
      <c r="B73" s="29" t="s">
        <v>5</v>
      </c>
      <c r="C73" s="32"/>
      <c r="D73" s="33"/>
      <c r="E73" s="32"/>
      <c r="F73" s="32"/>
      <c r="G73" s="33"/>
      <c r="H73" s="33"/>
      <c r="I73" s="33"/>
      <c r="J73" s="37" t="e">
        <f t="shared" si="3"/>
        <v>#DIV/0!</v>
      </c>
    </row>
    <row r="74" spans="1:10" x14ac:dyDescent="0.3">
      <c r="A74" s="38" cm="1">
        <f t="array" ref="A74">1+COUNT(_xlfn.UNIQUE(_xlfn._xlws.FILTER($J$4:$J$127, $J$4:$J$127 &gt; J74)))</f>
        <v>1</v>
      </c>
      <c r="B74" s="29" t="s">
        <v>79</v>
      </c>
      <c r="C74" s="32"/>
      <c r="D74" s="33"/>
      <c r="E74" s="32"/>
      <c r="F74" s="33"/>
      <c r="G74" s="33"/>
      <c r="H74" s="33"/>
      <c r="I74" s="33"/>
      <c r="J74" s="37" t="e">
        <f t="shared" si="3"/>
        <v>#DIV/0!</v>
      </c>
    </row>
    <row r="75" spans="1:10" x14ac:dyDescent="0.3">
      <c r="A75" s="38" cm="1">
        <f t="array" ref="A75">1+COUNT(_xlfn.UNIQUE(_xlfn._xlws.FILTER($J$4:$J$127, $J$4:$J$127 &gt; J75)))</f>
        <v>1</v>
      </c>
      <c r="B75" s="29" t="s">
        <v>48</v>
      </c>
      <c r="C75" s="32"/>
      <c r="D75" s="33"/>
      <c r="E75" s="32"/>
      <c r="F75" s="33"/>
      <c r="G75" s="33"/>
      <c r="H75" s="33"/>
      <c r="I75" s="33"/>
      <c r="J75" s="37" t="e">
        <f t="shared" si="3"/>
        <v>#DIV/0!</v>
      </c>
    </row>
    <row r="76" spans="1:10" x14ac:dyDescent="0.3">
      <c r="A76" s="38" cm="1">
        <f t="array" ref="A76">1+COUNT(_xlfn.UNIQUE(_xlfn._xlws.FILTER($J$4:$J$127, $J$4:$J$127 &gt; J76)))</f>
        <v>1</v>
      </c>
      <c r="B76" s="29" t="s">
        <v>1</v>
      </c>
      <c r="C76" s="32"/>
      <c r="D76" s="33"/>
      <c r="E76" s="32"/>
      <c r="F76" s="32"/>
      <c r="G76" s="33"/>
      <c r="H76" s="33"/>
      <c r="I76" s="33"/>
      <c r="J76" s="37" t="e">
        <f t="shared" si="3"/>
        <v>#DIV/0!</v>
      </c>
    </row>
    <row r="77" spans="1:10" x14ac:dyDescent="0.3">
      <c r="A77" s="38" cm="1">
        <f t="array" ref="A77">1+COUNT(_xlfn.UNIQUE(_xlfn._xlws.FILTER($J$4:$J$127, $J$4:$J$127 &gt; J77)))</f>
        <v>1</v>
      </c>
      <c r="B77" s="29" t="s">
        <v>27</v>
      </c>
      <c r="C77" s="32"/>
      <c r="D77" s="33"/>
      <c r="E77" s="32"/>
      <c r="F77" s="33"/>
      <c r="G77" s="33"/>
      <c r="H77" s="33"/>
      <c r="I77" s="33"/>
      <c r="J77" s="37" t="e">
        <f t="shared" si="3"/>
        <v>#DIV/0!</v>
      </c>
    </row>
    <row r="78" spans="1:10" x14ac:dyDescent="0.3">
      <c r="A78" s="38" cm="1">
        <f t="array" ref="A78">1+COUNT(_xlfn.UNIQUE(_xlfn._xlws.FILTER($J$4:$J$127, $J$4:$J$127 &gt; J78)))</f>
        <v>1</v>
      </c>
      <c r="B78" s="29" t="s">
        <v>25</v>
      </c>
      <c r="C78" s="32"/>
      <c r="D78" s="33"/>
      <c r="E78" s="32"/>
      <c r="F78" s="32"/>
      <c r="G78" s="33"/>
      <c r="H78" s="33"/>
      <c r="I78" s="33"/>
      <c r="J78" s="37" t="e">
        <f t="shared" si="3"/>
        <v>#DIV/0!</v>
      </c>
    </row>
    <row r="79" spans="1:10" x14ac:dyDescent="0.3">
      <c r="A79" s="38" cm="1">
        <f t="array" ref="A79">1+COUNT(_xlfn.UNIQUE(_xlfn._xlws.FILTER($J$4:$J$127, $J$4:$J$127 &gt; J79)))</f>
        <v>1</v>
      </c>
      <c r="B79" s="29" t="s">
        <v>91</v>
      </c>
      <c r="C79" s="32"/>
      <c r="D79" s="33"/>
      <c r="E79" s="32"/>
      <c r="F79" s="32"/>
      <c r="G79" s="33"/>
      <c r="H79" s="33"/>
      <c r="I79" s="33"/>
      <c r="J79" s="37" t="e">
        <f t="shared" si="3"/>
        <v>#DIV/0!</v>
      </c>
    </row>
    <row r="80" spans="1:10" x14ac:dyDescent="0.3">
      <c r="A80" s="38" cm="1">
        <f t="array" ref="A80">1+COUNT(_xlfn.UNIQUE(_xlfn._xlws.FILTER($J$4:$J$127, $J$4:$J$127 &gt; J80)))</f>
        <v>1</v>
      </c>
      <c r="B80" s="29" t="s">
        <v>67</v>
      </c>
      <c r="C80" s="32"/>
      <c r="D80" s="33"/>
      <c r="E80" s="32"/>
      <c r="F80" s="32"/>
      <c r="G80" s="33"/>
      <c r="H80" s="33"/>
      <c r="I80" s="33"/>
      <c r="J80" s="37" t="e">
        <f t="shared" si="3"/>
        <v>#DIV/0!</v>
      </c>
    </row>
    <row r="81" spans="1:10" x14ac:dyDescent="0.3">
      <c r="A81" s="38" cm="1">
        <f t="array" ref="A81">1+COUNT(_xlfn.UNIQUE(_xlfn._xlws.FILTER($J$4:$J$127, $J$4:$J$127 &gt; J81)))</f>
        <v>1</v>
      </c>
      <c r="B81" s="29" t="s">
        <v>100</v>
      </c>
      <c r="C81" s="32"/>
      <c r="D81" s="33"/>
      <c r="E81" s="32"/>
      <c r="F81" s="33"/>
      <c r="G81" s="33"/>
      <c r="H81" s="33"/>
      <c r="I81" s="33"/>
      <c r="J81" s="37" t="e">
        <f t="shared" si="3"/>
        <v>#DIV/0!</v>
      </c>
    </row>
    <row r="82" spans="1:10" x14ac:dyDescent="0.3">
      <c r="A82" s="38" cm="1">
        <f t="array" ref="A82">1+COUNT(_xlfn.UNIQUE(_xlfn._xlws.FILTER($J$4:$J$127, $J$4:$J$127 &gt; J82)))</f>
        <v>1</v>
      </c>
      <c r="B82" s="29" t="s">
        <v>64</v>
      </c>
      <c r="C82" s="32"/>
      <c r="D82" s="33"/>
      <c r="E82" s="32"/>
      <c r="F82" s="33"/>
      <c r="G82" s="33"/>
      <c r="H82" s="33"/>
      <c r="I82" s="33"/>
      <c r="J82" s="37" t="e">
        <f t="shared" si="3"/>
        <v>#DIV/0!</v>
      </c>
    </row>
    <row r="83" spans="1:10" x14ac:dyDescent="0.3">
      <c r="A83" s="38" cm="1">
        <f t="array" ref="A83">1+COUNT(_xlfn.UNIQUE(_xlfn._xlws.FILTER($J$4:$J$127, $J$4:$J$127 &gt; J83)))</f>
        <v>1</v>
      </c>
      <c r="B83" s="29" t="s">
        <v>116</v>
      </c>
      <c r="C83" s="32"/>
      <c r="D83" s="33"/>
      <c r="E83" s="32"/>
      <c r="F83" s="33"/>
      <c r="G83" s="33"/>
      <c r="H83" s="33"/>
      <c r="I83" s="33"/>
      <c r="J83" s="37" t="e">
        <f t="shared" si="3"/>
        <v>#DIV/0!</v>
      </c>
    </row>
    <row r="84" spans="1:10" x14ac:dyDescent="0.3">
      <c r="A84" s="38" cm="1">
        <f t="array" ref="A84">1+COUNT(_xlfn.UNIQUE(_xlfn._xlws.FILTER($J$4:$J$127, $J$4:$J$127 &gt; J84)))</f>
        <v>1</v>
      </c>
      <c r="B84" s="29" t="s">
        <v>86</v>
      </c>
      <c r="C84" s="32"/>
      <c r="D84" s="33"/>
      <c r="E84" s="32"/>
      <c r="F84" s="32"/>
      <c r="G84" s="33"/>
      <c r="H84" s="33"/>
      <c r="I84" s="33"/>
      <c r="J84" s="37" t="e">
        <f t="shared" si="3"/>
        <v>#DIV/0!</v>
      </c>
    </row>
    <row r="85" spans="1:10" x14ac:dyDescent="0.3">
      <c r="A85" s="38" cm="1">
        <f t="array" ref="A85">1+COUNT(_xlfn.UNIQUE(_xlfn._xlws.FILTER($J$4:$J$127, $J$4:$J$127 &gt; J85)))</f>
        <v>1</v>
      </c>
      <c r="B85" s="29" t="s">
        <v>43</v>
      </c>
      <c r="C85" s="32"/>
      <c r="D85" s="33"/>
      <c r="E85" s="32"/>
      <c r="F85" s="33"/>
      <c r="G85" s="33"/>
      <c r="H85" s="33"/>
      <c r="I85" s="33"/>
      <c r="J85" s="37" t="e">
        <f t="shared" si="3"/>
        <v>#DIV/0!</v>
      </c>
    </row>
    <row r="86" spans="1:10" x14ac:dyDescent="0.3">
      <c r="A86" s="38" cm="1">
        <f t="array" ref="A86">1+COUNT(_xlfn.UNIQUE(_xlfn._xlws.FILTER($J$4:$J$127, $J$4:$J$127 &gt; J86)))</f>
        <v>1</v>
      </c>
      <c r="B86" s="29" t="s">
        <v>32</v>
      </c>
      <c r="C86" s="32"/>
      <c r="D86" s="33"/>
      <c r="E86" s="32"/>
      <c r="F86" s="32"/>
      <c r="G86" s="33"/>
      <c r="H86" s="33"/>
      <c r="I86" s="33"/>
      <c r="J86" s="37" t="e">
        <f t="shared" si="3"/>
        <v>#DIV/0!</v>
      </c>
    </row>
    <row r="87" spans="1:10" x14ac:dyDescent="0.3">
      <c r="A87" s="38" cm="1">
        <f t="array" ref="A87">1+COUNT(_xlfn.UNIQUE(_xlfn._xlws.FILTER($J$4:$J$127, $J$4:$J$127 &gt; J87)))</f>
        <v>1</v>
      </c>
      <c r="B87" s="29" t="s">
        <v>70</v>
      </c>
      <c r="C87" s="32"/>
      <c r="D87" s="33"/>
      <c r="E87" s="32"/>
      <c r="F87" s="32"/>
      <c r="G87" s="33"/>
      <c r="H87" s="33"/>
      <c r="I87" s="33"/>
      <c r="J87" s="37" t="e">
        <f t="shared" si="3"/>
        <v>#DIV/0!</v>
      </c>
    </row>
    <row r="88" spans="1:10" x14ac:dyDescent="0.3">
      <c r="A88" s="38" cm="1">
        <f t="array" ref="A88">1+COUNT(_xlfn.UNIQUE(_xlfn._xlws.FILTER($J$4:$J$127, $J$4:$J$127 &gt; J88)))</f>
        <v>1</v>
      </c>
      <c r="B88" s="29" t="s">
        <v>12</v>
      </c>
      <c r="C88" s="32"/>
      <c r="D88" s="33"/>
      <c r="E88" s="32"/>
      <c r="F88" s="33"/>
      <c r="G88" s="33"/>
      <c r="H88" s="33"/>
      <c r="I88" s="33"/>
      <c r="J88" s="37" t="e">
        <f t="shared" si="3"/>
        <v>#DIV/0!</v>
      </c>
    </row>
    <row r="89" spans="1:10" x14ac:dyDescent="0.3">
      <c r="A89" s="38" cm="1">
        <f t="array" ref="A89">1+COUNT(_xlfn.UNIQUE(_xlfn._xlws.FILTER($J$4:$J$127, $J$4:$J$127 &gt; J89)))</f>
        <v>1</v>
      </c>
      <c r="B89" s="29" t="s">
        <v>69</v>
      </c>
      <c r="C89" s="32"/>
      <c r="D89" s="33"/>
      <c r="E89" s="32"/>
      <c r="F89" s="32"/>
      <c r="G89" s="33"/>
      <c r="H89" s="33"/>
      <c r="I89" s="33"/>
      <c r="J89" s="37" t="e">
        <f t="shared" si="3"/>
        <v>#DIV/0!</v>
      </c>
    </row>
    <row r="90" spans="1:10" x14ac:dyDescent="0.3">
      <c r="A90" s="38" cm="1">
        <f t="array" ref="A90">1+COUNT(_xlfn.UNIQUE(_xlfn._xlws.FILTER($J$4:$J$127, $J$4:$J$127 &gt; J90)))</f>
        <v>1</v>
      </c>
      <c r="B90" s="29" t="s">
        <v>47</v>
      </c>
      <c r="C90" s="32"/>
      <c r="D90" s="33"/>
      <c r="E90" s="32"/>
      <c r="F90" s="33"/>
      <c r="G90" s="33"/>
      <c r="H90" s="33"/>
      <c r="I90" s="33"/>
      <c r="J90" s="37" t="e">
        <f t="shared" si="3"/>
        <v>#DIV/0!</v>
      </c>
    </row>
    <row r="91" spans="1:10" x14ac:dyDescent="0.3">
      <c r="A91" s="38" cm="1">
        <f t="array" ref="A91">1+COUNT(_xlfn.UNIQUE(_xlfn._xlws.FILTER($J$4:$J$127, $J$4:$J$127 &gt; J91)))</f>
        <v>1</v>
      </c>
      <c r="B91" s="29" t="s">
        <v>80</v>
      </c>
      <c r="C91" s="32"/>
      <c r="D91" s="33"/>
      <c r="E91" s="32"/>
      <c r="F91" s="32"/>
      <c r="G91" s="33"/>
      <c r="H91" s="33"/>
      <c r="I91" s="33"/>
      <c r="J91" s="37" t="e">
        <f t="shared" si="3"/>
        <v>#DIV/0!</v>
      </c>
    </row>
    <row r="92" spans="1:10" x14ac:dyDescent="0.3">
      <c r="A92" s="38" cm="1">
        <f t="array" ref="A92">1+COUNT(_xlfn.UNIQUE(_xlfn._xlws.FILTER($J$4:$J$127, $J$4:$J$127 &gt; J92)))</f>
        <v>1</v>
      </c>
      <c r="B92" s="29" t="s">
        <v>96</v>
      </c>
      <c r="C92" s="32"/>
      <c r="D92" s="33"/>
      <c r="E92" s="32"/>
      <c r="F92" s="33"/>
      <c r="G92" s="33"/>
      <c r="H92" s="33"/>
      <c r="I92" s="33"/>
      <c r="J92" s="37" t="e">
        <f t="shared" si="3"/>
        <v>#DIV/0!</v>
      </c>
    </row>
    <row r="93" spans="1:10" x14ac:dyDescent="0.3">
      <c r="A93" s="38" cm="1">
        <f t="array" ref="A93">1+COUNT(_xlfn.UNIQUE(_xlfn._xlws.FILTER($J$4:$J$127, $J$4:$J$127 &gt; J93)))</f>
        <v>1</v>
      </c>
      <c r="B93" s="29" t="s">
        <v>78</v>
      </c>
      <c r="C93" s="32"/>
      <c r="D93" s="33"/>
      <c r="E93" s="32"/>
      <c r="F93" s="32"/>
      <c r="G93" s="33"/>
      <c r="H93" s="33"/>
      <c r="I93" s="33"/>
      <c r="J93" s="37" t="e">
        <f t="shared" si="3"/>
        <v>#DIV/0!</v>
      </c>
    </row>
    <row r="94" spans="1:10" x14ac:dyDescent="0.3">
      <c r="A94" s="38" cm="1">
        <f t="array" ref="A94">1+COUNT(_xlfn.UNIQUE(_xlfn._xlws.FILTER($J$4:$J$127, $J$4:$J$127 &gt; J94)))</f>
        <v>1</v>
      </c>
      <c r="B94" s="29" t="s">
        <v>44</v>
      </c>
      <c r="C94" s="32"/>
      <c r="D94" s="33"/>
      <c r="E94" s="32"/>
      <c r="F94" s="32"/>
      <c r="G94" s="33"/>
      <c r="H94" s="33"/>
      <c r="I94" s="33"/>
      <c r="J94" s="37" t="e">
        <f t="shared" si="3"/>
        <v>#DIV/0!</v>
      </c>
    </row>
    <row r="95" spans="1:10" x14ac:dyDescent="0.3">
      <c r="A95" s="38" cm="1">
        <f t="array" ref="A95">1+COUNT(_xlfn.UNIQUE(_xlfn._xlws.FILTER($J$4:$J$127, $J$4:$J$127 &gt; J95)))</f>
        <v>1</v>
      </c>
      <c r="B95" s="29" t="s">
        <v>30</v>
      </c>
      <c r="C95" s="32"/>
      <c r="D95" s="33"/>
      <c r="E95" s="32"/>
      <c r="F95" s="33"/>
      <c r="G95" s="33"/>
      <c r="H95" s="33"/>
      <c r="I95" s="33"/>
      <c r="J95" s="37" t="e">
        <f t="shared" si="3"/>
        <v>#DIV/0!</v>
      </c>
    </row>
    <row r="96" spans="1:10" x14ac:dyDescent="0.3">
      <c r="A96" s="38" cm="1">
        <f t="array" ref="A96">1+COUNT(_xlfn.UNIQUE(_xlfn._xlws.FILTER($J$4:$J$127, $J$4:$J$127 &gt; J96)))</f>
        <v>1</v>
      </c>
      <c r="B96" s="29" t="s">
        <v>57</v>
      </c>
      <c r="C96" s="32"/>
      <c r="D96" s="33"/>
      <c r="E96" s="32"/>
      <c r="F96" s="32"/>
      <c r="G96" s="33"/>
      <c r="H96" s="33"/>
      <c r="I96" s="33"/>
      <c r="J96" s="37" t="e">
        <f t="shared" si="3"/>
        <v>#DIV/0!</v>
      </c>
    </row>
    <row r="97" spans="1:10" x14ac:dyDescent="0.3">
      <c r="A97" s="38" cm="1">
        <f t="array" ref="A97">1+COUNT(_xlfn.UNIQUE(_xlfn._xlws.FILTER($J$4:$J$127, $J$4:$J$127 &gt; J97)))</f>
        <v>1</v>
      </c>
      <c r="B97" s="29" t="s">
        <v>109</v>
      </c>
      <c r="C97" s="32"/>
      <c r="D97" s="33"/>
      <c r="E97" s="32"/>
      <c r="F97" s="32"/>
      <c r="G97" s="33"/>
      <c r="H97" s="33"/>
      <c r="I97" s="33"/>
      <c r="J97" s="37" t="e">
        <f t="shared" si="3"/>
        <v>#DIV/0!</v>
      </c>
    </row>
    <row r="98" spans="1:10" x14ac:dyDescent="0.3">
      <c r="A98" s="38" cm="1">
        <f t="array" ref="A98">1+COUNT(_xlfn.UNIQUE(_xlfn._xlws.FILTER($J$4:$J$127, $J$4:$J$127 &gt; J98)))</f>
        <v>1</v>
      </c>
      <c r="B98" s="29" t="s">
        <v>68</v>
      </c>
      <c r="C98" s="32"/>
      <c r="D98" s="33"/>
      <c r="E98" s="32"/>
      <c r="F98" s="33"/>
      <c r="G98" s="33"/>
      <c r="H98" s="33"/>
      <c r="I98" s="33"/>
      <c r="J98" s="37" t="e">
        <f t="shared" si="3"/>
        <v>#DIV/0!</v>
      </c>
    </row>
    <row r="99" spans="1:10" x14ac:dyDescent="0.3">
      <c r="A99" s="38" cm="1">
        <f t="array" ref="A99">1+COUNT(_xlfn.UNIQUE(_xlfn._xlws.FILTER($J$4:$J$127, $J$4:$J$127 &gt; J99)))</f>
        <v>1</v>
      </c>
      <c r="B99" s="29" t="s">
        <v>73</v>
      </c>
      <c r="C99" s="32"/>
      <c r="D99" s="33"/>
      <c r="E99" s="32"/>
      <c r="F99" s="32"/>
      <c r="G99" s="33"/>
      <c r="H99" s="33"/>
      <c r="I99" s="33"/>
      <c r="J99" s="37" t="e">
        <f t="shared" ref="J99:J127" si="4">E99/C99</f>
        <v>#DIV/0!</v>
      </c>
    </row>
    <row r="100" spans="1:10" x14ac:dyDescent="0.3">
      <c r="A100" s="38" cm="1">
        <f t="array" ref="A100">1+COUNT(_xlfn.UNIQUE(_xlfn._xlws.FILTER($J$4:$J$127, $J$4:$J$127 &gt; J100)))</f>
        <v>1</v>
      </c>
      <c r="B100" s="29" t="s">
        <v>120</v>
      </c>
      <c r="C100" s="32"/>
      <c r="D100" s="33"/>
      <c r="E100" s="32"/>
      <c r="F100" s="32"/>
      <c r="G100" s="33"/>
      <c r="H100" s="33"/>
      <c r="I100" s="33"/>
      <c r="J100" s="37" t="e">
        <f t="shared" si="4"/>
        <v>#DIV/0!</v>
      </c>
    </row>
    <row r="101" spans="1:10" x14ac:dyDescent="0.3">
      <c r="A101" s="38" cm="1">
        <f t="array" ref="A101">1+COUNT(_xlfn.UNIQUE(_xlfn._xlws.FILTER($J$4:$J$127, $J$4:$J$127 &gt; J101)))</f>
        <v>1</v>
      </c>
      <c r="B101" s="29" t="s">
        <v>9</v>
      </c>
      <c r="C101" s="32"/>
      <c r="D101" s="33"/>
      <c r="E101" s="32"/>
      <c r="F101" s="33"/>
      <c r="G101" s="33"/>
      <c r="H101" s="33"/>
      <c r="I101" s="33"/>
      <c r="J101" s="37" t="e">
        <f t="shared" si="4"/>
        <v>#DIV/0!</v>
      </c>
    </row>
    <row r="102" spans="1:10" x14ac:dyDescent="0.3">
      <c r="A102" s="38" cm="1">
        <f t="array" ref="A102">1+COUNT(_xlfn.UNIQUE(_xlfn._xlws.FILTER($J$4:$J$127, $J$4:$J$127 &gt; J102)))</f>
        <v>1</v>
      </c>
      <c r="B102" s="29" t="s">
        <v>53</v>
      </c>
      <c r="C102" s="32"/>
      <c r="D102" s="33"/>
      <c r="E102" s="32"/>
      <c r="F102" s="32"/>
      <c r="G102" s="33"/>
      <c r="H102" s="33"/>
      <c r="I102" s="33"/>
      <c r="J102" s="37" t="e">
        <f t="shared" si="4"/>
        <v>#DIV/0!</v>
      </c>
    </row>
    <row r="103" spans="1:10" x14ac:dyDescent="0.3">
      <c r="A103" s="38" cm="1">
        <f t="array" ref="A103">1+COUNT(_xlfn.UNIQUE(_xlfn._xlws.FILTER($J$4:$J$127, $J$4:$J$127 &gt; J103)))</f>
        <v>1</v>
      </c>
      <c r="B103" s="29" t="s">
        <v>16</v>
      </c>
      <c r="C103" s="32"/>
      <c r="D103" s="33"/>
      <c r="E103" s="32"/>
      <c r="F103" s="33"/>
      <c r="G103" s="33"/>
      <c r="H103" s="33"/>
      <c r="I103" s="33"/>
      <c r="J103" s="37" t="e">
        <f t="shared" si="4"/>
        <v>#DIV/0!</v>
      </c>
    </row>
    <row r="104" spans="1:10" x14ac:dyDescent="0.3">
      <c r="A104" s="38" cm="1">
        <f t="array" ref="A104">1+COUNT(_xlfn.UNIQUE(_xlfn._xlws.FILTER($J$4:$J$127, $J$4:$J$127 &gt; J104)))</f>
        <v>1</v>
      </c>
      <c r="B104" s="29" t="s">
        <v>56</v>
      </c>
      <c r="C104" s="32"/>
      <c r="D104" s="33"/>
      <c r="E104" s="32"/>
      <c r="F104" s="32"/>
      <c r="G104" s="33"/>
      <c r="H104" s="33"/>
      <c r="I104" s="33"/>
      <c r="J104" s="37" t="e">
        <f t="shared" si="4"/>
        <v>#DIV/0!</v>
      </c>
    </row>
    <row r="105" spans="1:10" x14ac:dyDescent="0.3">
      <c r="A105" s="38" cm="1">
        <f t="array" ref="A105">1+COUNT(_xlfn.UNIQUE(_xlfn._xlws.FILTER($J$4:$J$127, $J$4:$J$127 &gt; J105)))</f>
        <v>1</v>
      </c>
      <c r="B105" s="29" t="s">
        <v>117</v>
      </c>
      <c r="C105" s="32"/>
      <c r="D105" s="33"/>
      <c r="E105" s="32"/>
      <c r="F105" s="32"/>
      <c r="G105" s="33"/>
      <c r="H105" s="33"/>
      <c r="I105" s="33"/>
      <c r="J105" s="37" t="e">
        <f t="shared" si="4"/>
        <v>#DIV/0!</v>
      </c>
    </row>
    <row r="106" spans="1:10" x14ac:dyDescent="0.3">
      <c r="A106" s="38" cm="1">
        <f t="array" ref="A106">1+COUNT(_xlfn.UNIQUE(_xlfn._xlws.FILTER($J$4:$J$127, $J$4:$J$127 &gt; J106)))</f>
        <v>1</v>
      </c>
      <c r="B106" s="29" t="s">
        <v>21</v>
      </c>
      <c r="C106" s="32"/>
      <c r="D106" s="33"/>
      <c r="E106" s="32"/>
      <c r="F106" s="33"/>
      <c r="G106" s="33"/>
      <c r="H106" s="33"/>
      <c r="I106" s="33"/>
      <c r="J106" s="37" t="e">
        <f t="shared" si="4"/>
        <v>#DIV/0!</v>
      </c>
    </row>
    <row r="107" spans="1:10" x14ac:dyDescent="0.3">
      <c r="A107" s="38" cm="1">
        <f t="array" ref="A107">1+COUNT(_xlfn.UNIQUE(_xlfn._xlws.FILTER($J$4:$J$127, $J$4:$J$127 &gt; J107)))</f>
        <v>1</v>
      </c>
      <c r="B107" s="29" t="s">
        <v>49</v>
      </c>
      <c r="C107" s="32"/>
      <c r="D107" s="33"/>
      <c r="E107" s="32"/>
      <c r="F107" s="32"/>
      <c r="G107" s="33"/>
      <c r="H107" s="33"/>
      <c r="I107" s="33"/>
      <c r="J107" s="37" t="e">
        <f t="shared" si="4"/>
        <v>#DIV/0!</v>
      </c>
    </row>
    <row r="108" spans="1:10" x14ac:dyDescent="0.3">
      <c r="A108" s="38" cm="1">
        <f t="array" ref="A108">1+COUNT(_xlfn.UNIQUE(_xlfn._xlws.FILTER($J$4:$J$127, $J$4:$J$127 &gt; J108)))</f>
        <v>1</v>
      </c>
      <c r="B108" s="29" t="s">
        <v>123</v>
      </c>
      <c r="C108" s="32"/>
      <c r="D108" s="33"/>
      <c r="E108" s="32"/>
      <c r="F108" s="32"/>
      <c r="G108" s="33"/>
      <c r="H108" s="33"/>
      <c r="I108" s="33"/>
      <c r="J108" s="37" t="e">
        <f t="shared" si="4"/>
        <v>#DIV/0!</v>
      </c>
    </row>
    <row r="109" spans="1:10" x14ac:dyDescent="0.3">
      <c r="A109" s="38" cm="1">
        <f t="array" ref="A109">1+COUNT(_xlfn.UNIQUE(_xlfn._xlws.FILTER($J$4:$J$127, $J$4:$J$127 &gt; J109)))</f>
        <v>1</v>
      </c>
      <c r="B109" s="29" t="s">
        <v>38</v>
      </c>
      <c r="C109" s="32"/>
      <c r="D109" s="33"/>
      <c r="E109" s="32"/>
      <c r="F109" s="33"/>
      <c r="G109" s="33"/>
      <c r="H109" s="33"/>
      <c r="I109" s="33"/>
      <c r="J109" s="37" t="e">
        <f t="shared" si="4"/>
        <v>#DIV/0!</v>
      </c>
    </row>
    <row r="110" spans="1:10" x14ac:dyDescent="0.3">
      <c r="A110" s="38" cm="1">
        <f t="array" ref="A110">1+COUNT(_xlfn.UNIQUE(_xlfn._xlws.FILTER($J$4:$J$127, $J$4:$J$127 &gt; J110)))</f>
        <v>1</v>
      </c>
      <c r="B110" s="29" t="s">
        <v>75</v>
      </c>
      <c r="C110" s="32"/>
      <c r="D110" s="33"/>
      <c r="E110" s="32"/>
      <c r="F110" s="32"/>
      <c r="G110" s="33"/>
      <c r="H110" s="33"/>
      <c r="I110" s="33"/>
      <c r="J110" s="37" t="e">
        <f t="shared" si="4"/>
        <v>#DIV/0!</v>
      </c>
    </row>
    <row r="111" spans="1:10" x14ac:dyDescent="0.3">
      <c r="A111" s="38" cm="1">
        <f t="array" ref="A111">1+COUNT(_xlfn.UNIQUE(_xlfn._xlws.FILTER($J$4:$J$127, $J$4:$J$127 &gt; J111)))</f>
        <v>1</v>
      </c>
      <c r="B111" s="29" t="s">
        <v>71</v>
      </c>
      <c r="C111" s="32"/>
      <c r="D111" s="33"/>
      <c r="E111" s="32"/>
      <c r="F111" s="33"/>
      <c r="G111" s="33"/>
      <c r="H111" s="33"/>
      <c r="I111" s="33"/>
      <c r="J111" s="37" t="e">
        <f t="shared" si="4"/>
        <v>#DIV/0!</v>
      </c>
    </row>
    <row r="112" spans="1:10" x14ac:dyDescent="0.3">
      <c r="A112" s="38" cm="1">
        <f t="array" ref="A112">1+COUNT(_xlfn.UNIQUE(_xlfn._xlws.FILTER($J$4:$J$127, $J$4:$J$127 &gt; J112)))</f>
        <v>1</v>
      </c>
      <c r="B112" s="29" t="s">
        <v>81</v>
      </c>
      <c r="C112" s="32"/>
      <c r="D112" s="33"/>
      <c r="E112" s="32"/>
      <c r="F112" s="32"/>
      <c r="G112" s="33"/>
      <c r="H112" s="33"/>
      <c r="I112" s="33"/>
      <c r="J112" s="37" t="e">
        <f t="shared" si="4"/>
        <v>#DIV/0!</v>
      </c>
    </row>
    <row r="113" spans="1:10" x14ac:dyDescent="0.3">
      <c r="A113" s="38" cm="1">
        <f t="array" ref="A113">1+COUNT(_xlfn.UNIQUE(_xlfn._xlws.FILTER($J$4:$J$127, $J$4:$J$127 &gt; J113)))</f>
        <v>1</v>
      </c>
      <c r="B113" s="29" t="s">
        <v>106</v>
      </c>
      <c r="C113" s="32"/>
      <c r="D113" s="33"/>
      <c r="E113" s="32"/>
      <c r="F113" s="33"/>
      <c r="G113" s="33"/>
      <c r="H113" s="33"/>
      <c r="I113" s="33"/>
      <c r="J113" s="37" t="e">
        <f t="shared" si="4"/>
        <v>#DIV/0!</v>
      </c>
    </row>
    <row r="114" spans="1:10" x14ac:dyDescent="0.3">
      <c r="A114" s="38" cm="1">
        <f t="array" ref="A114">1+COUNT(_xlfn.UNIQUE(_xlfn._xlws.FILTER($J$4:$J$127, $J$4:$J$127 &gt; J114)))</f>
        <v>1</v>
      </c>
      <c r="B114" s="29" t="s">
        <v>15</v>
      </c>
      <c r="C114" s="32"/>
      <c r="D114" s="33"/>
      <c r="E114" s="32"/>
      <c r="F114" s="33"/>
      <c r="G114" s="33"/>
      <c r="H114" s="33"/>
      <c r="I114" s="33"/>
      <c r="J114" s="37" t="e">
        <f t="shared" si="4"/>
        <v>#DIV/0!</v>
      </c>
    </row>
    <row r="115" spans="1:10" x14ac:dyDescent="0.3">
      <c r="A115" s="38" cm="1">
        <f t="array" ref="A115">1+COUNT(_xlfn.UNIQUE(_xlfn._xlws.FILTER($J$4:$J$127, $J$4:$J$127 &gt; J115)))</f>
        <v>1</v>
      </c>
      <c r="B115" s="29" t="s">
        <v>111</v>
      </c>
      <c r="C115" s="32"/>
      <c r="D115" s="33"/>
      <c r="E115" s="32"/>
      <c r="F115" s="32"/>
      <c r="G115" s="33"/>
      <c r="H115" s="33"/>
      <c r="I115" s="33"/>
      <c r="J115" s="37" t="e">
        <f t="shared" si="4"/>
        <v>#DIV/0!</v>
      </c>
    </row>
    <row r="116" spans="1:10" x14ac:dyDescent="0.3">
      <c r="A116" s="38" cm="1">
        <f t="array" ref="A116">1+COUNT(_xlfn.UNIQUE(_xlfn._xlws.FILTER($J$4:$J$127, $J$4:$J$127 &gt; J116)))</f>
        <v>1</v>
      </c>
      <c r="B116" s="29" t="s">
        <v>34</v>
      </c>
      <c r="C116" s="32"/>
      <c r="D116" s="33"/>
      <c r="E116" s="32"/>
      <c r="F116" s="33"/>
      <c r="G116" s="33"/>
      <c r="H116" s="33"/>
      <c r="I116" s="33"/>
      <c r="J116" s="37" t="e">
        <f t="shared" si="4"/>
        <v>#DIV/0!</v>
      </c>
    </row>
    <row r="117" spans="1:10" x14ac:dyDescent="0.3">
      <c r="A117" s="38" cm="1">
        <f t="array" ref="A117">1+COUNT(_xlfn.UNIQUE(_xlfn._xlws.FILTER($J$4:$J$127, $J$4:$J$127 &gt; J117)))</f>
        <v>1</v>
      </c>
      <c r="B117" s="29" t="s">
        <v>72</v>
      </c>
      <c r="C117" s="32"/>
      <c r="D117" s="33"/>
      <c r="E117" s="32"/>
      <c r="F117" s="33"/>
      <c r="G117" s="33"/>
      <c r="H117" s="33"/>
      <c r="I117" s="33"/>
      <c r="J117" s="37" t="e">
        <f t="shared" si="4"/>
        <v>#DIV/0!</v>
      </c>
    </row>
    <row r="118" spans="1:10" x14ac:dyDescent="0.3">
      <c r="A118" s="38" cm="1">
        <f t="array" ref="A118">1+COUNT(_xlfn.UNIQUE(_xlfn._xlws.FILTER($J$4:$J$127, $J$4:$J$127 &gt; J118)))</f>
        <v>1</v>
      </c>
      <c r="B118" s="29" t="s">
        <v>104</v>
      </c>
      <c r="C118" s="32"/>
      <c r="D118" s="33"/>
      <c r="E118" s="32"/>
      <c r="F118" s="32"/>
      <c r="G118" s="33"/>
      <c r="H118" s="33"/>
      <c r="I118" s="33"/>
      <c r="J118" s="37" t="e">
        <f t="shared" si="4"/>
        <v>#DIV/0!</v>
      </c>
    </row>
    <row r="119" spans="1:10" x14ac:dyDescent="0.3">
      <c r="A119" s="38" cm="1">
        <f t="array" ref="A119">1+COUNT(_xlfn.UNIQUE(_xlfn._xlws.FILTER($J$4:$J$127, $J$4:$J$127 &gt; J119)))</f>
        <v>1</v>
      </c>
      <c r="B119" s="29" t="s">
        <v>98</v>
      </c>
      <c r="C119" s="32"/>
      <c r="D119" s="33"/>
      <c r="E119" s="32"/>
      <c r="F119" s="33"/>
      <c r="G119" s="33"/>
      <c r="H119" s="33"/>
      <c r="I119" s="33"/>
      <c r="J119" s="37" t="e">
        <f t="shared" si="4"/>
        <v>#DIV/0!</v>
      </c>
    </row>
    <row r="120" spans="1:10" x14ac:dyDescent="0.3">
      <c r="A120" s="38" cm="1">
        <f t="array" ref="A120">1+COUNT(_xlfn.UNIQUE(_xlfn._xlws.FILTER($J$4:$J$127, $J$4:$J$127 &gt; J120)))</f>
        <v>1</v>
      </c>
      <c r="B120" s="29" t="s">
        <v>66</v>
      </c>
      <c r="C120" s="32"/>
      <c r="D120" s="33"/>
      <c r="E120" s="32"/>
      <c r="F120" s="32"/>
      <c r="G120" s="33"/>
      <c r="H120" s="33"/>
      <c r="I120" s="33"/>
      <c r="J120" s="37" t="e">
        <f t="shared" si="4"/>
        <v>#DIV/0!</v>
      </c>
    </row>
    <row r="121" spans="1:10" ht="37.5" x14ac:dyDescent="0.3">
      <c r="A121" s="38" cm="1">
        <f t="array" ref="A121">1+COUNT(_xlfn.UNIQUE(_xlfn._xlws.FILTER($J$4:$J$127, $J$4:$J$127 &gt; J121)))</f>
        <v>1</v>
      </c>
      <c r="B121" s="29" t="s">
        <v>2</v>
      </c>
      <c r="C121" s="32"/>
      <c r="D121" s="33"/>
      <c r="E121" s="32"/>
      <c r="F121" s="32"/>
      <c r="G121" s="33"/>
      <c r="H121" s="33"/>
      <c r="I121" s="33"/>
      <c r="J121" s="37" t="e">
        <f t="shared" si="4"/>
        <v>#DIV/0!</v>
      </c>
    </row>
    <row r="122" spans="1:10" x14ac:dyDescent="0.3">
      <c r="A122" s="38" cm="1">
        <f t="array" ref="A122">1+COUNT(_xlfn.UNIQUE(_xlfn._xlws.FILTER($J$4:$J$127, $J$4:$J$127 &gt; J122)))</f>
        <v>1</v>
      </c>
      <c r="B122" s="29" t="s">
        <v>13</v>
      </c>
      <c r="C122" s="32"/>
      <c r="D122" s="33"/>
      <c r="E122" s="32"/>
      <c r="F122" s="33"/>
      <c r="G122" s="33"/>
      <c r="H122" s="33"/>
      <c r="I122" s="33"/>
      <c r="J122" s="37" t="e">
        <f t="shared" si="4"/>
        <v>#DIV/0!</v>
      </c>
    </row>
    <row r="123" spans="1:10" x14ac:dyDescent="0.3">
      <c r="A123" s="38" cm="1">
        <f t="array" ref="A123">1+COUNT(_xlfn.UNIQUE(_xlfn._xlws.FILTER($J$4:$J$127, $J$4:$J$127 &gt; J123)))</f>
        <v>1</v>
      </c>
      <c r="B123" s="29" t="s">
        <v>112</v>
      </c>
      <c r="C123" s="32"/>
      <c r="D123" s="33"/>
      <c r="E123" s="32"/>
      <c r="F123" s="32"/>
      <c r="G123" s="33"/>
      <c r="H123" s="33"/>
      <c r="I123" s="33"/>
      <c r="J123" s="37" t="e">
        <f t="shared" si="4"/>
        <v>#DIV/0!</v>
      </c>
    </row>
    <row r="124" spans="1:10" x14ac:dyDescent="0.3">
      <c r="A124" s="38" cm="1">
        <f t="array" ref="A124">1+COUNT(_xlfn.UNIQUE(_xlfn._xlws.FILTER($J$4:$J$127, $J$4:$J$127 &gt; J124)))</f>
        <v>1</v>
      </c>
      <c r="B124" s="29" t="s">
        <v>7</v>
      </c>
      <c r="C124" s="32"/>
      <c r="D124" s="33"/>
      <c r="E124" s="32"/>
      <c r="F124" s="32"/>
      <c r="G124" s="33"/>
      <c r="H124" s="33"/>
      <c r="I124" s="33"/>
      <c r="J124" s="37" t="e">
        <f t="shared" si="4"/>
        <v>#DIV/0!</v>
      </c>
    </row>
    <row r="125" spans="1:10" x14ac:dyDescent="0.3">
      <c r="A125" s="38" cm="1">
        <f t="array" ref="A125">1+COUNT(_xlfn.UNIQUE(_xlfn._xlws.FILTER($J$4:$J$127, $J$4:$J$127 &gt; J125)))</f>
        <v>1</v>
      </c>
      <c r="B125" s="29" t="s">
        <v>114</v>
      </c>
      <c r="C125" s="32"/>
      <c r="D125" s="33"/>
      <c r="E125" s="32"/>
      <c r="F125" s="32"/>
      <c r="G125" s="33"/>
      <c r="H125" s="33"/>
      <c r="I125" s="33"/>
      <c r="J125" s="37" t="e">
        <f t="shared" si="4"/>
        <v>#DIV/0!</v>
      </c>
    </row>
    <row r="126" spans="1:10" x14ac:dyDescent="0.3">
      <c r="A126" s="38" cm="1">
        <f t="array" ref="A126">1+COUNT(_xlfn.UNIQUE(_xlfn._xlws.FILTER($J$4:$J$127, $J$4:$J$127 &gt; J126)))</f>
        <v>1</v>
      </c>
      <c r="B126" s="29" t="s">
        <v>118</v>
      </c>
      <c r="C126" s="32"/>
      <c r="D126" s="33"/>
      <c r="E126" s="32"/>
      <c r="F126" s="32"/>
      <c r="G126" s="33"/>
      <c r="H126" s="33"/>
      <c r="I126" s="33"/>
      <c r="J126" s="37" t="e">
        <f t="shared" si="4"/>
        <v>#DIV/0!</v>
      </c>
    </row>
    <row r="127" spans="1:10" x14ac:dyDescent="0.3">
      <c r="A127" s="38" cm="1">
        <f t="array" ref="A127">1+COUNT(_xlfn.UNIQUE(_xlfn._xlws.FILTER($J$4:$J$127, $J$4:$J$127 &gt; J127)))</f>
        <v>1</v>
      </c>
      <c r="B127" s="29" t="s">
        <v>61</v>
      </c>
      <c r="C127" s="32"/>
      <c r="D127" s="33"/>
      <c r="E127" s="32"/>
      <c r="F127" s="32"/>
      <c r="G127" s="33"/>
      <c r="H127" s="33"/>
      <c r="I127" s="33"/>
      <c r="J127" s="37" t="e">
        <f t="shared" si="4"/>
        <v>#DIV/0!</v>
      </c>
    </row>
  </sheetData>
  <mergeCells count="2">
    <mergeCell ref="A3:B3"/>
    <mergeCell ref="A1:J1"/>
  </mergeCells>
  <pageMargins left="0.7" right="0.7" top="0.75" bottom="0.75" header="0.3" footer="0.3"/>
  <pageSetup paperSize="9" scale="76" fitToHeight="4" orientation="landscape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43E79-6B7B-F248-8B9F-77786494F320}">
  <dimension ref="A1:Y1001"/>
  <sheetViews>
    <sheetView workbookViewId="0">
      <selection activeCell="G7" sqref="G7"/>
    </sheetView>
  </sheetViews>
  <sheetFormatPr defaultColWidth="12.7109375" defaultRowHeight="18.75" x14ac:dyDescent="0.3"/>
  <cols>
    <col min="1" max="1" width="12" style="50" customWidth="1"/>
    <col min="2" max="2" width="25.140625" style="5" customWidth="1"/>
    <col min="3" max="3" width="20.140625" style="5" customWidth="1"/>
    <col min="4" max="4" width="18.42578125" style="5" customWidth="1"/>
    <col min="5" max="5" width="22.85546875" style="5" customWidth="1"/>
    <col min="6" max="7" width="18.42578125" style="5" customWidth="1"/>
    <col min="8" max="8" width="17.28515625" style="41" customWidth="1"/>
    <col min="9" max="16384" width="12.7109375" style="4"/>
  </cols>
  <sheetData>
    <row r="1" spans="1:25" s="11" customFormat="1" ht="35.1" customHeight="1" x14ac:dyDescent="0.2">
      <c r="A1" s="132" t="s">
        <v>213</v>
      </c>
      <c r="B1" s="132"/>
      <c r="C1" s="132"/>
      <c r="D1" s="132"/>
      <c r="E1" s="132"/>
      <c r="F1" s="132"/>
      <c r="G1" s="132"/>
      <c r="H1" s="8"/>
    </row>
    <row r="2" spans="1:25" s="10" customFormat="1" ht="60" customHeight="1" x14ac:dyDescent="0.2">
      <c r="A2" s="133" t="s">
        <v>129</v>
      </c>
      <c r="B2" s="6" t="s">
        <v>151</v>
      </c>
      <c r="C2" s="1" t="s">
        <v>152</v>
      </c>
      <c r="D2" s="1" t="s">
        <v>212</v>
      </c>
      <c r="E2" s="1" t="s">
        <v>217</v>
      </c>
      <c r="F2" s="12" t="s">
        <v>156</v>
      </c>
      <c r="G2" s="1" t="s">
        <v>205</v>
      </c>
      <c r="H2" s="48" t="s">
        <v>207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ht="27.95" customHeight="1" x14ac:dyDescent="0.3">
      <c r="A3" s="134"/>
      <c r="B3" s="49" t="s">
        <v>127</v>
      </c>
      <c r="C3" s="14"/>
      <c r="D3" s="14"/>
      <c r="E3" s="14"/>
      <c r="F3" s="15" t="e">
        <f t="shared" ref="F3" si="0">E3/D3</f>
        <v>#DIV/0!</v>
      </c>
      <c r="G3" s="16">
        <v>0.5</v>
      </c>
      <c r="H3" s="17" t="e">
        <f t="shared" ref="H3" si="1">F3/G3</f>
        <v>#DIV/0!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21" customHeight="1" x14ac:dyDescent="0.3">
      <c r="A4" s="21" cm="1">
        <f t="array" ref="A4">1+COUNT(_xlfn.UNIQUE(_xlfn._xlws.FILTER($H$4:$H$127, $H$4:$H$127 &gt; H4)))</f>
        <v>1</v>
      </c>
      <c r="B4" s="2" t="s">
        <v>24</v>
      </c>
      <c r="C4" s="2"/>
      <c r="D4" s="2"/>
      <c r="E4" s="2"/>
      <c r="F4" s="15" t="e">
        <f t="shared" ref="F4:F35" si="2">E4/D4</f>
        <v>#DIV/0!</v>
      </c>
      <c r="G4" s="19">
        <v>0.5</v>
      </c>
      <c r="H4" s="17" t="e">
        <f t="shared" ref="H4:H35" si="3">F4/G4</f>
        <v>#DIV/0!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21" customHeight="1" x14ac:dyDescent="0.3">
      <c r="A5" s="21" cm="1">
        <f t="array" ref="A5">1+COUNT(_xlfn.UNIQUE(_xlfn._xlws.FILTER($F$4:$F$127, $F$4:$F$127 &gt; F5)))</f>
        <v>1</v>
      </c>
      <c r="B5" s="2" t="s">
        <v>17</v>
      </c>
      <c r="C5" s="2"/>
      <c r="D5" s="2"/>
      <c r="E5" s="2"/>
      <c r="F5" s="15" t="e">
        <f t="shared" si="2"/>
        <v>#DIV/0!</v>
      </c>
      <c r="G5" s="19">
        <v>0.5</v>
      </c>
      <c r="H5" s="17" t="e">
        <f t="shared" si="3"/>
        <v>#DIV/0!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ht="21" customHeight="1" x14ac:dyDescent="0.3">
      <c r="A6" s="21" cm="1">
        <f t="array" ref="A6">1+COUNT(_xlfn.UNIQUE(_xlfn._xlws.FILTER($F$4:$F$127, $F$4:$F$127 &gt; F6)))</f>
        <v>1</v>
      </c>
      <c r="B6" s="2" t="s">
        <v>5</v>
      </c>
      <c r="C6" s="2"/>
      <c r="D6" s="2"/>
      <c r="E6" s="2"/>
      <c r="F6" s="15" t="e">
        <f t="shared" si="2"/>
        <v>#DIV/0!</v>
      </c>
      <c r="G6" s="19">
        <v>0.5</v>
      </c>
      <c r="H6" s="17" t="e">
        <f t="shared" si="3"/>
        <v>#DIV/0!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ht="21" customHeight="1" x14ac:dyDescent="0.3">
      <c r="A7" s="21" cm="1">
        <f t="array" ref="A7">1+COUNT(_xlfn.UNIQUE(_xlfn._xlws.FILTER($F$4:$F$127, $F$4:$F$127 &gt; F7)))</f>
        <v>1</v>
      </c>
      <c r="B7" s="2" t="s">
        <v>2</v>
      </c>
      <c r="C7" s="2"/>
      <c r="D7" s="2"/>
      <c r="E7" s="2"/>
      <c r="F7" s="15" t="e">
        <f t="shared" si="2"/>
        <v>#DIV/0!</v>
      </c>
      <c r="G7" s="19">
        <v>0.5</v>
      </c>
      <c r="H7" s="17" t="e">
        <f t="shared" si="3"/>
        <v>#DIV/0!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ht="21" customHeight="1" x14ac:dyDescent="0.3">
      <c r="A8" s="21" cm="1">
        <f t="array" ref="A8">1+COUNT(_xlfn.UNIQUE(_xlfn._xlws.FILTER($F$4:$F$127, $F$4:$F$127 &gt; F8)))</f>
        <v>1</v>
      </c>
      <c r="B8" s="2" t="s">
        <v>11</v>
      </c>
      <c r="C8" s="2"/>
      <c r="D8" s="2"/>
      <c r="E8" s="2"/>
      <c r="F8" s="15" t="e">
        <f t="shared" si="2"/>
        <v>#DIV/0!</v>
      </c>
      <c r="G8" s="19">
        <v>0.5</v>
      </c>
      <c r="H8" s="17" t="e">
        <f t="shared" si="3"/>
        <v>#DIV/0!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ht="21" customHeight="1" x14ac:dyDescent="0.3">
      <c r="A9" s="21" cm="1">
        <f t="array" ref="A9">1+COUNT(_xlfn.UNIQUE(_xlfn._xlws.FILTER($F$4:$F$127, $F$4:$F$127 &gt; F9)))</f>
        <v>1</v>
      </c>
      <c r="B9" s="2" t="s">
        <v>59</v>
      </c>
      <c r="C9" s="2"/>
      <c r="D9" s="2"/>
      <c r="E9" s="2"/>
      <c r="F9" s="15" t="e">
        <f t="shared" si="2"/>
        <v>#DIV/0!</v>
      </c>
      <c r="G9" s="19">
        <v>0.5</v>
      </c>
      <c r="H9" s="17" t="e">
        <f t="shared" si="3"/>
        <v>#DIV/0!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ht="21" customHeight="1" x14ac:dyDescent="0.3">
      <c r="A10" s="21" cm="1">
        <f t="array" ref="A10">1+COUNT(_xlfn.UNIQUE(_xlfn._xlws.FILTER($F$4:$F$127, $F$4:$F$127 &gt; F10)))</f>
        <v>1</v>
      </c>
      <c r="B10" s="2" t="s">
        <v>37</v>
      </c>
      <c r="C10" s="2"/>
      <c r="D10" s="2"/>
      <c r="E10" s="2"/>
      <c r="F10" s="15" t="e">
        <f t="shared" si="2"/>
        <v>#DIV/0!</v>
      </c>
      <c r="G10" s="19">
        <v>0.5</v>
      </c>
      <c r="H10" s="17" t="e">
        <f t="shared" si="3"/>
        <v>#DIV/0!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ht="21" customHeight="1" x14ac:dyDescent="0.3">
      <c r="A11" s="21" cm="1">
        <f t="array" ref="A11">1+COUNT(_xlfn.UNIQUE(_xlfn._xlws.FILTER($F$4:$F$127, $F$4:$F$127 &gt; F11)))</f>
        <v>1</v>
      </c>
      <c r="B11" s="2" t="s">
        <v>15</v>
      </c>
      <c r="C11" s="2"/>
      <c r="D11" s="2"/>
      <c r="E11" s="2"/>
      <c r="F11" s="15" t="e">
        <f t="shared" si="2"/>
        <v>#DIV/0!</v>
      </c>
      <c r="G11" s="19">
        <v>0.5</v>
      </c>
      <c r="H11" s="17" t="e">
        <f t="shared" si="3"/>
        <v>#DIV/0!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21" customHeight="1" x14ac:dyDescent="0.3">
      <c r="A12" s="21" cm="1">
        <f t="array" ref="A12">1+COUNT(_xlfn.UNIQUE(_xlfn._xlws.FILTER($F$4:$F$127, $F$4:$F$127 &gt; F12)))</f>
        <v>1</v>
      </c>
      <c r="B12" s="2" t="s">
        <v>50</v>
      </c>
      <c r="C12" s="2"/>
      <c r="D12" s="2"/>
      <c r="E12" s="2"/>
      <c r="F12" s="15" t="e">
        <f t="shared" si="2"/>
        <v>#DIV/0!</v>
      </c>
      <c r="G12" s="19">
        <v>0.5</v>
      </c>
      <c r="H12" s="17" t="e">
        <f t="shared" si="3"/>
        <v>#DIV/0!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21" customHeight="1" x14ac:dyDescent="0.3">
      <c r="A13" s="21" cm="1">
        <f t="array" ref="A13">1+COUNT(_xlfn.UNIQUE(_xlfn._xlws.FILTER($F$4:$F$127, $F$4:$F$127 &gt; F13)))</f>
        <v>1</v>
      </c>
      <c r="B13" s="2" t="s">
        <v>57</v>
      </c>
      <c r="C13" s="2"/>
      <c r="D13" s="2"/>
      <c r="E13" s="2"/>
      <c r="F13" s="15" t="e">
        <f t="shared" si="2"/>
        <v>#DIV/0!</v>
      </c>
      <c r="G13" s="19">
        <v>0.5</v>
      </c>
      <c r="H13" s="17" t="e">
        <f t="shared" si="3"/>
        <v>#DIV/0!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21" customHeight="1" x14ac:dyDescent="0.3">
      <c r="A14" s="21" cm="1">
        <f t="array" ref="A14">1+COUNT(_xlfn.UNIQUE(_xlfn._xlws.FILTER($F$4:$F$127, $F$4:$F$127 &gt; F14)))</f>
        <v>1</v>
      </c>
      <c r="B14" s="2" t="s">
        <v>94</v>
      </c>
      <c r="C14" s="2"/>
      <c r="D14" s="2"/>
      <c r="E14" s="2"/>
      <c r="F14" s="15" t="e">
        <f t="shared" si="2"/>
        <v>#DIV/0!</v>
      </c>
      <c r="G14" s="19">
        <v>0.5</v>
      </c>
      <c r="H14" s="17" t="e">
        <f t="shared" si="3"/>
        <v>#DIV/0!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21" customHeight="1" x14ac:dyDescent="0.3">
      <c r="A15" s="21" cm="1">
        <f t="array" ref="A15">1+COUNT(_xlfn.UNIQUE(_xlfn._xlws.FILTER($F$4:$F$127, $F$4:$F$127 &gt; F15)))</f>
        <v>1</v>
      </c>
      <c r="B15" s="2" t="s">
        <v>40</v>
      </c>
      <c r="C15" s="2"/>
      <c r="D15" s="2"/>
      <c r="E15" s="2"/>
      <c r="F15" s="15" t="e">
        <f t="shared" si="2"/>
        <v>#DIV/0!</v>
      </c>
      <c r="G15" s="19">
        <v>0.5</v>
      </c>
      <c r="H15" s="17" t="e">
        <f t="shared" si="3"/>
        <v>#DIV/0!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21" customHeight="1" x14ac:dyDescent="0.3">
      <c r="A16" s="21" cm="1">
        <f t="array" ref="A16">1+COUNT(_xlfn.UNIQUE(_xlfn._xlws.FILTER($F$4:$F$127, $F$4:$F$127 &gt; F16)))</f>
        <v>1</v>
      </c>
      <c r="B16" s="2" t="s">
        <v>111</v>
      </c>
      <c r="C16" s="2"/>
      <c r="D16" s="2"/>
      <c r="E16" s="2"/>
      <c r="F16" s="15" t="e">
        <f t="shared" si="2"/>
        <v>#DIV/0!</v>
      </c>
      <c r="G16" s="19">
        <v>0.5</v>
      </c>
      <c r="H16" s="17" t="e">
        <f t="shared" si="3"/>
        <v>#DIV/0!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21" customHeight="1" x14ac:dyDescent="0.3">
      <c r="A17" s="21" cm="1">
        <f t="array" ref="A17">1+COUNT(_xlfn.UNIQUE(_xlfn._xlws.FILTER($F$4:$F$127, $F$4:$F$127 &gt; F17)))</f>
        <v>1</v>
      </c>
      <c r="B17" s="2" t="s">
        <v>87</v>
      </c>
      <c r="C17" s="2"/>
      <c r="D17" s="2"/>
      <c r="E17" s="2"/>
      <c r="F17" s="15" t="e">
        <f t="shared" si="2"/>
        <v>#DIV/0!</v>
      </c>
      <c r="G17" s="19">
        <v>0.5</v>
      </c>
      <c r="H17" s="17" t="e">
        <f t="shared" si="3"/>
        <v>#DIV/0!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21" customHeight="1" x14ac:dyDescent="0.3">
      <c r="A18" s="21" cm="1">
        <f t="array" ref="A18">1+COUNT(_xlfn.UNIQUE(_xlfn._xlws.FILTER($F$4:$F$127, $F$4:$F$127 &gt; F18)))</f>
        <v>1</v>
      </c>
      <c r="B18" s="2" t="s">
        <v>77</v>
      </c>
      <c r="C18" s="2"/>
      <c r="D18" s="2"/>
      <c r="E18" s="2"/>
      <c r="F18" s="15" t="e">
        <f t="shared" si="2"/>
        <v>#DIV/0!</v>
      </c>
      <c r="G18" s="19">
        <v>0.5</v>
      </c>
      <c r="H18" s="17" t="e">
        <f t="shared" si="3"/>
        <v>#DIV/0!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21" customHeight="1" x14ac:dyDescent="0.3">
      <c r="A19" s="21" cm="1">
        <f t="array" ref="A19">1+COUNT(_xlfn.UNIQUE(_xlfn._xlws.FILTER($F$4:$F$127, $F$4:$F$127 &gt; F19)))</f>
        <v>1</v>
      </c>
      <c r="B19" s="2" t="s">
        <v>46</v>
      </c>
      <c r="C19" s="2"/>
      <c r="D19" s="2"/>
      <c r="E19" s="2"/>
      <c r="F19" s="15" t="e">
        <f t="shared" si="2"/>
        <v>#DIV/0!</v>
      </c>
      <c r="G19" s="19">
        <v>0.5</v>
      </c>
      <c r="H19" s="17" t="e">
        <f t="shared" si="3"/>
        <v>#DIV/0!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ht="21" customHeight="1" x14ac:dyDescent="0.3">
      <c r="A20" s="21" cm="1">
        <f t="array" ref="A20">1+COUNT(_xlfn.UNIQUE(_xlfn._xlws.FILTER($F$4:$F$127, $F$4:$F$127 &gt; F20)))</f>
        <v>1</v>
      </c>
      <c r="B20" s="2" t="s">
        <v>64</v>
      </c>
      <c r="C20" s="2"/>
      <c r="D20" s="2"/>
      <c r="E20" s="2"/>
      <c r="F20" s="15" t="e">
        <f t="shared" si="2"/>
        <v>#DIV/0!</v>
      </c>
      <c r="G20" s="19">
        <v>0.5</v>
      </c>
      <c r="H20" s="17" t="e">
        <f t="shared" si="3"/>
        <v>#DIV/0!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ht="21" customHeight="1" x14ac:dyDescent="0.3">
      <c r="A21" s="21" cm="1">
        <f t="array" ref="A21">1+COUNT(_xlfn.UNIQUE(_xlfn._xlws.FILTER($F$4:$F$127, $F$4:$F$127 &gt; F21)))</f>
        <v>1</v>
      </c>
      <c r="B21" s="2" t="s">
        <v>27</v>
      </c>
      <c r="C21" s="2"/>
      <c r="D21" s="2"/>
      <c r="E21" s="2"/>
      <c r="F21" s="15" t="e">
        <f t="shared" si="2"/>
        <v>#DIV/0!</v>
      </c>
      <c r="G21" s="19">
        <v>0.5</v>
      </c>
      <c r="H21" s="17" t="e">
        <f t="shared" si="3"/>
        <v>#DIV/0!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ht="21" customHeight="1" x14ac:dyDescent="0.3">
      <c r="A22" s="21" cm="1">
        <f t="array" ref="A22">1+COUNT(_xlfn.UNIQUE(_xlfn._xlws.FILTER($F$4:$F$127, $F$4:$F$127 &gt; F22)))</f>
        <v>1</v>
      </c>
      <c r="B22" s="2" t="s">
        <v>110</v>
      </c>
      <c r="C22" s="2"/>
      <c r="D22" s="2"/>
      <c r="E22" s="2"/>
      <c r="F22" s="15" t="e">
        <f t="shared" si="2"/>
        <v>#DIV/0!</v>
      </c>
      <c r="G22" s="19">
        <v>0.5</v>
      </c>
      <c r="H22" s="17" t="e">
        <f t="shared" si="3"/>
        <v>#DIV/0!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21" customHeight="1" x14ac:dyDescent="0.3">
      <c r="A23" s="21" cm="1">
        <f t="array" ref="A23">1+COUNT(_xlfn.UNIQUE(_xlfn._xlws.FILTER($F$4:$F$127, $F$4:$F$127 &gt; F23)))</f>
        <v>1</v>
      </c>
      <c r="B23" s="2" t="s">
        <v>92</v>
      </c>
      <c r="C23" s="2"/>
      <c r="D23" s="2"/>
      <c r="E23" s="2"/>
      <c r="F23" s="15" t="e">
        <f t="shared" si="2"/>
        <v>#DIV/0!</v>
      </c>
      <c r="G23" s="19">
        <v>0.5</v>
      </c>
      <c r="H23" s="17" t="e">
        <f t="shared" si="3"/>
        <v>#DIV/0!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21" customHeight="1" x14ac:dyDescent="0.3">
      <c r="A24" s="21" cm="1">
        <f t="array" ref="A24">1+COUNT(_xlfn.UNIQUE(_xlfn._xlws.FILTER($F$4:$F$127, $F$4:$F$127 &gt; F24)))</f>
        <v>1</v>
      </c>
      <c r="B24" s="2" t="s">
        <v>22</v>
      </c>
      <c r="C24" s="2"/>
      <c r="D24" s="2"/>
      <c r="E24" s="2"/>
      <c r="F24" s="15" t="e">
        <f t="shared" si="2"/>
        <v>#DIV/0!</v>
      </c>
      <c r="G24" s="19">
        <v>0.5</v>
      </c>
      <c r="H24" s="17" t="e">
        <f t="shared" si="3"/>
        <v>#DIV/0!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21" customHeight="1" x14ac:dyDescent="0.3">
      <c r="A25" s="21" cm="1">
        <f t="array" ref="A25">1+COUNT(_xlfn.UNIQUE(_xlfn._xlws.FILTER($F$4:$F$127, $F$4:$F$127 &gt; F25)))</f>
        <v>1</v>
      </c>
      <c r="B25" s="2" t="s">
        <v>70</v>
      </c>
      <c r="C25" s="2"/>
      <c r="D25" s="2"/>
      <c r="E25" s="2"/>
      <c r="F25" s="15" t="e">
        <f t="shared" si="2"/>
        <v>#DIV/0!</v>
      </c>
      <c r="G25" s="19">
        <v>0.5</v>
      </c>
      <c r="H25" s="17" t="e">
        <f t="shared" si="3"/>
        <v>#DIV/0!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21" customHeight="1" x14ac:dyDescent="0.3">
      <c r="A26" s="21" cm="1">
        <f t="array" ref="A26">1+COUNT(_xlfn.UNIQUE(_xlfn._xlws.FILTER($F$4:$F$127, $F$4:$F$127 &gt; F26)))</f>
        <v>1</v>
      </c>
      <c r="B26" s="2" t="s">
        <v>116</v>
      </c>
      <c r="C26" s="2"/>
      <c r="D26" s="2"/>
      <c r="E26" s="2"/>
      <c r="F26" s="15" t="e">
        <f t="shared" si="2"/>
        <v>#DIV/0!</v>
      </c>
      <c r="G26" s="19">
        <v>0.5</v>
      </c>
      <c r="H26" s="17" t="e">
        <f t="shared" si="3"/>
        <v>#DIV/0!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ht="21" customHeight="1" x14ac:dyDescent="0.3">
      <c r="A27" s="21" cm="1">
        <f t="array" ref="A27">1+COUNT(_xlfn.UNIQUE(_xlfn._xlws.FILTER($F$4:$F$127, $F$4:$F$127 &gt; F27)))</f>
        <v>1</v>
      </c>
      <c r="B27" s="2" t="s">
        <v>4</v>
      </c>
      <c r="C27" s="2"/>
      <c r="D27" s="2"/>
      <c r="E27" s="2"/>
      <c r="F27" s="15" t="e">
        <f t="shared" si="2"/>
        <v>#DIV/0!</v>
      </c>
      <c r="G27" s="19">
        <v>0.5</v>
      </c>
      <c r="H27" s="17" t="e">
        <f t="shared" si="3"/>
        <v>#DIV/0!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ht="21" customHeight="1" x14ac:dyDescent="0.3">
      <c r="A28" s="21" cm="1">
        <f t="array" ref="A28">1+COUNT(_xlfn.UNIQUE(_xlfn._xlws.FILTER($F$4:$F$127, $F$4:$F$127 &gt; F28)))</f>
        <v>1</v>
      </c>
      <c r="B28" s="2" t="s">
        <v>58</v>
      </c>
      <c r="C28" s="2"/>
      <c r="D28" s="2"/>
      <c r="E28" s="2"/>
      <c r="F28" s="15" t="e">
        <f t="shared" si="2"/>
        <v>#DIV/0!</v>
      </c>
      <c r="G28" s="19">
        <v>0.5</v>
      </c>
      <c r="H28" s="17" t="e">
        <f t="shared" si="3"/>
        <v>#DIV/0!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21" customHeight="1" x14ac:dyDescent="0.3">
      <c r="A29" s="21" cm="1">
        <f t="array" ref="A29">1+COUNT(_xlfn.UNIQUE(_xlfn._xlws.FILTER($F$4:$F$127, $F$4:$F$127 &gt; F29)))</f>
        <v>1</v>
      </c>
      <c r="B29" s="2" t="s">
        <v>36</v>
      </c>
      <c r="C29" s="2"/>
      <c r="D29" s="2"/>
      <c r="E29" s="2"/>
      <c r="F29" s="15" t="e">
        <f t="shared" si="2"/>
        <v>#DIV/0!</v>
      </c>
      <c r="G29" s="19">
        <v>0.5</v>
      </c>
      <c r="H29" s="17" t="e">
        <f t="shared" si="3"/>
        <v>#DIV/0!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ht="21" customHeight="1" x14ac:dyDescent="0.3">
      <c r="A30" s="21" cm="1">
        <f t="array" ref="A30">1+COUNT(_xlfn.UNIQUE(_xlfn._xlws.FILTER($F$4:$F$127, $F$4:$F$127 &gt; F30)))</f>
        <v>1</v>
      </c>
      <c r="B30" s="2" t="s">
        <v>78</v>
      </c>
      <c r="C30" s="2"/>
      <c r="D30" s="2"/>
      <c r="E30" s="2"/>
      <c r="F30" s="15" t="e">
        <f t="shared" si="2"/>
        <v>#DIV/0!</v>
      </c>
      <c r="G30" s="19">
        <v>0.5</v>
      </c>
      <c r="H30" s="17" t="e">
        <f t="shared" si="3"/>
        <v>#DIV/0!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ht="21" customHeight="1" x14ac:dyDescent="0.3">
      <c r="A31" s="21" cm="1">
        <f t="array" ref="A31">1+COUNT(_xlfn.UNIQUE(_xlfn._xlws.FILTER($F$4:$F$127, $F$4:$F$127 &gt; F31)))</f>
        <v>1</v>
      </c>
      <c r="B31" s="2" t="s">
        <v>119</v>
      </c>
      <c r="C31" s="2"/>
      <c r="D31" s="2"/>
      <c r="E31" s="2"/>
      <c r="F31" s="15" t="e">
        <f t="shared" si="2"/>
        <v>#DIV/0!</v>
      </c>
      <c r="G31" s="19">
        <v>0.5</v>
      </c>
      <c r="H31" s="17" t="e">
        <f t="shared" si="3"/>
        <v>#DIV/0!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ht="21" customHeight="1" x14ac:dyDescent="0.3">
      <c r="A32" s="21" cm="1">
        <f t="array" ref="A32">1+COUNT(_xlfn.UNIQUE(_xlfn._xlws.FILTER($F$4:$F$127, $F$4:$F$127 &gt; F32)))</f>
        <v>1</v>
      </c>
      <c r="B32" s="2" t="s">
        <v>68</v>
      </c>
      <c r="C32" s="2"/>
      <c r="D32" s="2"/>
      <c r="E32" s="2"/>
      <c r="F32" s="15" t="e">
        <f t="shared" si="2"/>
        <v>#DIV/0!</v>
      </c>
      <c r="G32" s="19">
        <v>0.5</v>
      </c>
      <c r="H32" s="17" t="e">
        <f t="shared" si="3"/>
        <v>#DIV/0!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ht="21" customHeight="1" x14ac:dyDescent="0.3">
      <c r="A33" s="21" cm="1">
        <f t="array" ref="A33">1+COUNT(_xlfn.UNIQUE(_xlfn._xlws.FILTER($F$4:$F$127, $F$4:$F$127 &gt; F33)))</f>
        <v>1</v>
      </c>
      <c r="B33" s="2" t="s">
        <v>0</v>
      </c>
      <c r="C33" s="2"/>
      <c r="D33" s="2"/>
      <c r="E33" s="2"/>
      <c r="F33" s="15" t="e">
        <f t="shared" si="2"/>
        <v>#DIV/0!</v>
      </c>
      <c r="G33" s="19">
        <v>0.5</v>
      </c>
      <c r="H33" s="17" t="e">
        <f t="shared" si="3"/>
        <v>#DIV/0!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21" customHeight="1" x14ac:dyDescent="0.3">
      <c r="A34" s="21" cm="1">
        <f t="array" ref="A34">1+COUNT(_xlfn.UNIQUE(_xlfn._xlws.FILTER($F$4:$F$127, $F$4:$F$127 &gt; F34)))</f>
        <v>1</v>
      </c>
      <c r="B34" s="2" t="s">
        <v>21</v>
      </c>
      <c r="C34" s="2"/>
      <c r="D34" s="2"/>
      <c r="E34" s="2"/>
      <c r="F34" s="15" t="e">
        <f t="shared" si="2"/>
        <v>#DIV/0!</v>
      </c>
      <c r="G34" s="19">
        <v>0.5</v>
      </c>
      <c r="H34" s="17" t="e">
        <f t="shared" si="3"/>
        <v>#DIV/0!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21" customHeight="1" x14ac:dyDescent="0.3">
      <c r="A35" s="21" cm="1">
        <f t="array" ref="A35">1+COUNT(_xlfn.UNIQUE(_xlfn._xlws.FILTER($F$4:$F$127, $F$4:$F$127 &gt; F35)))</f>
        <v>1</v>
      </c>
      <c r="B35" s="2" t="s">
        <v>102</v>
      </c>
      <c r="C35" s="2"/>
      <c r="D35" s="2"/>
      <c r="E35" s="2"/>
      <c r="F35" s="15" t="e">
        <f t="shared" si="2"/>
        <v>#DIV/0!</v>
      </c>
      <c r="G35" s="19">
        <v>0.5</v>
      </c>
      <c r="H35" s="17" t="e">
        <f t="shared" si="3"/>
        <v>#DIV/0!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21" customHeight="1" x14ac:dyDescent="0.3">
      <c r="A36" s="21" cm="1">
        <f t="array" ref="A36">1+COUNT(_xlfn.UNIQUE(_xlfn._xlws.FILTER($F$4:$F$127, $F$4:$F$127 &gt; F36)))</f>
        <v>1</v>
      </c>
      <c r="B36" s="2" t="s">
        <v>29</v>
      </c>
      <c r="C36" s="2"/>
      <c r="D36" s="2"/>
      <c r="E36" s="2"/>
      <c r="F36" s="15" t="e">
        <f t="shared" ref="F36:F67" si="4">E36/D36</f>
        <v>#DIV/0!</v>
      </c>
      <c r="G36" s="19">
        <v>0.5</v>
      </c>
      <c r="H36" s="17" t="e">
        <f t="shared" ref="H36:H67" si="5">F36/G36</f>
        <v>#DIV/0!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ht="21" customHeight="1" x14ac:dyDescent="0.3">
      <c r="A37" s="21" cm="1">
        <f t="array" ref="A37">1+COUNT(_xlfn.UNIQUE(_xlfn._xlws.FILTER($F$4:$F$127, $F$4:$F$127 &gt; F37)))</f>
        <v>1</v>
      </c>
      <c r="B37" s="2" t="s">
        <v>38</v>
      </c>
      <c r="C37" s="2"/>
      <c r="D37" s="2"/>
      <c r="E37" s="2"/>
      <c r="F37" s="15" t="e">
        <f t="shared" si="4"/>
        <v>#DIV/0!</v>
      </c>
      <c r="G37" s="19">
        <v>0.5</v>
      </c>
      <c r="H37" s="17" t="e">
        <f t="shared" si="5"/>
        <v>#DIV/0!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21" customHeight="1" x14ac:dyDescent="0.3">
      <c r="A38" s="21" cm="1">
        <f t="array" ref="A38">1+COUNT(_xlfn.UNIQUE(_xlfn._xlws.FILTER($F$4:$F$127, $F$4:$F$127 &gt; F38)))</f>
        <v>1</v>
      </c>
      <c r="B38" s="2" t="s">
        <v>69</v>
      </c>
      <c r="C38" s="2"/>
      <c r="D38" s="2"/>
      <c r="E38" s="2"/>
      <c r="F38" s="15" t="e">
        <f t="shared" si="4"/>
        <v>#DIV/0!</v>
      </c>
      <c r="G38" s="19">
        <v>0.5</v>
      </c>
      <c r="H38" s="17" t="e">
        <f t="shared" si="5"/>
        <v>#DIV/0!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21" customHeight="1" x14ac:dyDescent="0.3">
      <c r="A39" s="21" cm="1">
        <f t="array" ref="A39">1+COUNT(_xlfn.UNIQUE(_xlfn._xlws.FILTER($F$4:$F$127, $F$4:$F$127 &gt; F39)))</f>
        <v>1</v>
      </c>
      <c r="B39" s="2" t="s">
        <v>93</v>
      </c>
      <c r="C39" s="2"/>
      <c r="D39" s="2"/>
      <c r="E39" s="2"/>
      <c r="F39" s="15" t="e">
        <f t="shared" si="4"/>
        <v>#DIV/0!</v>
      </c>
      <c r="G39" s="19">
        <v>0.5</v>
      </c>
      <c r="H39" s="17" t="e">
        <f t="shared" si="5"/>
        <v>#DIV/0!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21" customHeight="1" x14ac:dyDescent="0.3">
      <c r="A40" s="21" cm="1">
        <f t="array" ref="A40">1+COUNT(_xlfn.UNIQUE(_xlfn._xlws.FILTER($F$4:$F$127, $F$4:$F$127 &gt; F40)))</f>
        <v>1</v>
      </c>
      <c r="B40" s="2" t="s">
        <v>65</v>
      </c>
      <c r="C40" s="2"/>
      <c r="D40" s="2"/>
      <c r="E40" s="2"/>
      <c r="F40" s="15" t="e">
        <f t="shared" si="4"/>
        <v>#DIV/0!</v>
      </c>
      <c r="G40" s="19">
        <v>0.5</v>
      </c>
      <c r="H40" s="17" t="e">
        <f t="shared" si="5"/>
        <v>#DIV/0!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21" customHeight="1" x14ac:dyDescent="0.3">
      <c r="A41" s="21" cm="1">
        <f t="array" ref="A41">1+COUNT(_xlfn.UNIQUE(_xlfn._xlws.FILTER($F$4:$F$127, $F$4:$F$127 &gt; F41)))</f>
        <v>1</v>
      </c>
      <c r="B41" s="2" t="s">
        <v>35</v>
      </c>
      <c r="C41" s="2"/>
      <c r="D41" s="2"/>
      <c r="E41" s="2"/>
      <c r="F41" s="15" t="e">
        <f t="shared" si="4"/>
        <v>#DIV/0!</v>
      </c>
      <c r="G41" s="19">
        <v>0.5</v>
      </c>
      <c r="H41" s="17" t="e">
        <f t="shared" si="5"/>
        <v>#DIV/0!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21" customHeight="1" x14ac:dyDescent="0.3">
      <c r="A42" s="21" cm="1">
        <f t="array" ref="A42">1+COUNT(_xlfn.UNIQUE(_xlfn._xlws.FILTER($F$4:$F$127, $F$4:$F$127 &gt; F42)))</f>
        <v>1</v>
      </c>
      <c r="B42" s="2" t="s">
        <v>39</v>
      </c>
      <c r="C42" s="2"/>
      <c r="D42" s="2"/>
      <c r="E42" s="2"/>
      <c r="F42" s="15" t="e">
        <f t="shared" si="4"/>
        <v>#DIV/0!</v>
      </c>
      <c r="G42" s="19">
        <v>0.5</v>
      </c>
      <c r="H42" s="17" t="e">
        <f t="shared" si="5"/>
        <v>#DIV/0!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21" customHeight="1" x14ac:dyDescent="0.3">
      <c r="A43" s="21" cm="1">
        <f t="array" ref="A43">1+COUNT(_xlfn.UNIQUE(_xlfn._xlws.FILTER($F$4:$F$127, $F$4:$F$127 &gt; F43)))</f>
        <v>1</v>
      </c>
      <c r="B43" s="2" t="s">
        <v>49</v>
      </c>
      <c r="C43" s="2"/>
      <c r="D43" s="2"/>
      <c r="E43" s="2"/>
      <c r="F43" s="15" t="e">
        <f t="shared" si="4"/>
        <v>#DIV/0!</v>
      </c>
      <c r="G43" s="19">
        <v>0.5</v>
      </c>
      <c r="H43" s="17" t="e">
        <f t="shared" si="5"/>
        <v>#DIV/0!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21" customHeight="1" x14ac:dyDescent="0.3">
      <c r="A44" s="21" cm="1">
        <f t="array" ref="A44">1+COUNT(_xlfn.UNIQUE(_xlfn._xlws.FILTER($F$4:$F$127, $F$4:$F$127 &gt; F44)))</f>
        <v>1</v>
      </c>
      <c r="B44" s="2" t="s">
        <v>71</v>
      </c>
      <c r="C44" s="2"/>
      <c r="D44" s="2"/>
      <c r="E44" s="2"/>
      <c r="F44" s="15" t="e">
        <f t="shared" si="4"/>
        <v>#DIV/0!</v>
      </c>
      <c r="G44" s="19">
        <v>0.5</v>
      </c>
      <c r="H44" s="17" t="e">
        <f t="shared" si="5"/>
        <v>#DIV/0!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21" customHeight="1" x14ac:dyDescent="0.3">
      <c r="A45" s="21" cm="1">
        <f t="array" ref="A45">1+COUNT(_xlfn.UNIQUE(_xlfn._xlws.FILTER($F$4:$F$127, $F$4:$F$127 &gt; F45)))</f>
        <v>1</v>
      </c>
      <c r="B45" s="2" t="s">
        <v>3</v>
      </c>
      <c r="C45" s="2"/>
      <c r="D45" s="2"/>
      <c r="E45" s="2"/>
      <c r="F45" s="15" t="e">
        <f t="shared" si="4"/>
        <v>#DIV/0!</v>
      </c>
      <c r="G45" s="19">
        <v>0.5</v>
      </c>
      <c r="H45" s="17" t="e">
        <f t="shared" si="5"/>
        <v>#DIV/0!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21" customHeight="1" x14ac:dyDescent="0.3">
      <c r="A46" s="21" cm="1">
        <f t="array" ref="A46">1+COUNT(_xlfn.UNIQUE(_xlfn._xlws.FILTER($F$4:$F$127, $F$4:$F$127 &gt; F46)))</f>
        <v>1</v>
      </c>
      <c r="B46" s="2" t="s">
        <v>56</v>
      </c>
      <c r="C46" s="2"/>
      <c r="D46" s="2"/>
      <c r="E46" s="2"/>
      <c r="F46" s="15" t="e">
        <f t="shared" si="4"/>
        <v>#DIV/0!</v>
      </c>
      <c r="G46" s="19">
        <v>0.5</v>
      </c>
      <c r="H46" s="17" t="e">
        <f t="shared" si="5"/>
        <v>#DIV/0!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21" customHeight="1" x14ac:dyDescent="0.3">
      <c r="A47" s="21" cm="1">
        <f t="array" ref="A47">1+COUNT(_xlfn.UNIQUE(_xlfn._xlws.FILTER($F$4:$F$127, $F$4:$F$127 &gt; F47)))</f>
        <v>1</v>
      </c>
      <c r="B47" s="2" t="s">
        <v>26</v>
      </c>
      <c r="C47" s="2"/>
      <c r="D47" s="2"/>
      <c r="E47" s="2"/>
      <c r="F47" s="15" t="e">
        <f t="shared" si="4"/>
        <v>#DIV/0!</v>
      </c>
      <c r="G47" s="19">
        <v>0.5</v>
      </c>
      <c r="H47" s="17" t="e">
        <f t="shared" si="5"/>
        <v>#DIV/0!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ht="21" customHeight="1" x14ac:dyDescent="0.3">
      <c r="A48" s="21" cm="1">
        <f t="array" ref="A48">1+COUNT(_xlfn.UNIQUE(_xlfn._xlws.FILTER($F$4:$F$127, $F$4:$F$127 &gt; F48)))</f>
        <v>1</v>
      </c>
      <c r="B48" s="2" t="s">
        <v>33</v>
      </c>
      <c r="C48" s="2"/>
      <c r="D48" s="2"/>
      <c r="E48" s="2"/>
      <c r="F48" s="15" t="e">
        <f t="shared" si="4"/>
        <v>#DIV/0!</v>
      </c>
      <c r="G48" s="19">
        <v>0.5</v>
      </c>
      <c r="H48" s="17" t="e">
        <f t="shared" si="5"/>
        <v>#DIV/0!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21" customHeight="1" x14ac:dyDescent="0.3">
      <c r="A49" s="21" cm="1">
        <f t="array" ref="A49">1+COUNT(_xlfn.UNIQUE(_xlfn._xlws.FILTER($F$4:$F$127, $F$4:$F$127 &gt; F49)))</f>
        <v>1</v>
      </c>
      <c r="B49" s="2" t="s">
        <v>89</v>
      </c>
      <c r="C49" s="2"/>
      <c r="D49" s="2"/>
      <c r="E49" s="2"/>
      <c r="F49" s="15" t="e">
        <f t="shared" si="4"/>
        <v>#DIV/0!</v>
      </c>
      <c r="G49" s="19">
        <v>0.5</v>
      </c>
      <c r="H49" s="17" t="e">
        <f t="shared" si="5"/>
        <v>#DIV/0!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21" customHeight="1" x14ac:dyDescent="0.3">
      <c r="A50" s="21" cm="1">
        <f t="array" ref="A50">1+COUNT(_xlfn.UNIQUE(_xlfn._xlws.FILTER($F$4:$F$127, $F$4:$F$127 &gt; F50)))</f>
        <v>1</v>
      </c>
      <c r="B50" s="2" t="s">
        <v>112</v>
      </c>
      <c r="C50" s="2"/>
      <c r="D50" s="2"/>
      <c r="E50" s="2"/>
      <c r="F50" s="15" t="e">
        <f t="shared" si="4"/>
        <v>#DIV/0!</v>
      </c>
      <c r="G50" s="19">
        <v>0.5</v>
      </c>
      <c r="H50" s="17" t="e">
        <f t="shared" si="5"/>
        <v>#DIV/0!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21" customHeight="1" x14ac:dyDescent="0.3">
      <c r="A51" s="21" cm="1">
        <f t="array" ref="A51">1+COUNT(_xlfn.UNIQUE(_xlfn._xlws.FILTER($F$4:$F$127, $F$4:$F$127 &gt; F51)))</f>
        <v>1</v>
      </c>
      <c r="B51" s="2" t="s">
        <v>123</v>
      </c>
      <c r="C51" s="2"/>
      <c r="D51" s="2"/>
      <c r="E51" s="2"/>
      <c r="F51" s="15" t="e">
        <f t="shared" si="4"/>
        <v>#DIV/0!</v>
      </c>
      <c r="G51" s="19">
        <v>0.5</v>
      </c>
      <c r="H51" s="17" t="e">
        <f t="shared" si="5"/>
        <v>#DIV/0!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21" customHeight="1" x14ac:dyDescent="0.3">
      <c r="A52" s="21" cm="1">
        <f t="array" ref="A52">1+COUNT(_xlfn.UNIQUE(_xlfn._xlws.FILTER($F$4:$F$127, $F$4:$F$127 &gt; F52)))</f>
        <v>1</v>
      </c>
      <c r="B52" s="2" t="s">
        <v>79</v>
      </c>
      <c r="C52" s="2"/>
      <c r="D52" s="2"/>
      <c r="E52" s="2"/>
      <c r="F52" s="15" t="e">
        <f t="shared" si="4"/>
        <v>#DIV/0!</v>
      </c>
      <c r="G52" s="19">
        <v>0.5</v>
      </c>
      <c r="H52" s="17" t="e">
        <f t="shared" si="5"/>
        <v>#DIV/0!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ht="21" customHeight="1" x14ac:dyDescent="0.3">
      <c r="A53" s="21" cm="1">
        <f t="array" ref="A53">1+COUNT(_xlfn.UNIQUE(_xlfn._xlws.FILTER($F$4:$F$127, $F$4:$F$127 &gt; F53)))</f>
        <v>1</v>
      </c>
      <c r="B53" s="2" t="s">
        <v>96</v>
      </c>
      <c r="C53" s="2"/>
      <c r="D53" s="2"/>
      <c r="E53" s="2"/>
      <c r="F53" s="15" t="e">
        <f t="shared" si="4"/>
        <v>#DIV/0!</v>
      </c>
      <c r="G53" s="19">
        <v>0.5</v>
      </c>
      <c r="H53" s="17" t="e">
        <f t="shared" si="5"/>
        <v>#DIV/0!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ht="21" customHeight="1" x14ac:dyDescent="0.3">
      <c r="A54" s="21" cm="1">
        <f t="array" ref="A54">1+COUNT(_xlfn.UNIQUE(_xlfn._xlws.FILTER($F$4:$F$127, $F$4:$F$127 &gt; F54)))</f>
        <v>1</v>
      </c>
      <c r="B54" s="2" t="s">
        <v>148</v>
      </c>
      <c r="C54" s="2"/>
      <c r="D54" s="2"/>
      <c r="E54" s="2"/>
      <c r="F54" s="15" t="e">
        <f t="shared" si="4"/>
        <v>#DIV/0!</v>
      </c>
      <c r="G54" s="19">
        <v>0.5</v>
      </c>
      <c r="H54" s="17" t="e">
        <f t="shared" si="5"/>
        <v>#DIV/0!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ht="21" customHeight="1" x14ac:dyDescent="0.3">
      <c r="A55" s="21" cm="1">
        <f t="array" ref="A55">1+COUNT(_xlfn.UNIQUE(_xlfn._xlws.FILTER($F$4:$F$127, $F$4:$F$127 &gt; F55)))</f>
        <v>1</v>
      </c>
      <c r="B55" s="2" t="s">
        <v>104</v>
      </c>
      <c r="C55" s="2"/>
      <c r="D55" s="2"/>
      <c r="E55" s="2"/>
      <c r="F55" s="15" t="e">
        <f t="shared" si="4"/>
        <v>#DIV/0!</v>
      </c>
      <c r="G55" s="19">
        <v>0.5</v>
      </c>
      <c r="H55" s="17" t="e">
        <f t="shared" si="5"/>
        <v>#DIV/0!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ht="21" customHeight="1" x14ac:dyDescent="0.3">
      <c r="A56" s="21" cm="1">
        <f t="array" ref="A56">1+COUNT(_xlfn.UNIQUE(_xlfn._xlws.FILTER($F$4:$F$127, $F$4:$F$127 &gt; F56)))</f>
        <v>1</v>
      </c>
      <c r="B56" s="2" t="s">
        <v>106</v>
      </c>
      <c r="C56" s="2"/>
      <c r="D56" s="2"/>
      <c r="E56" s="2"/>
      <c r="F56" s="15" t="e">
        <f t="shared" si="4"/>
        <v>#DIV/0!</v>
      </c>
      <c r="G56" s="19">
        <v>0.5</v>
      </c>
      <c r="H56" s="17" t="e">
        <f t="shared" si="5"/>
        <v>#DIV/0!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ht="21" customHeight="1" x14ac:dyDescent="0.3">
      <c r="A57" s="21" cm="1">
        <f t="array" ref="A57">1+COUNT(_xlfn.UNIQUE(_xlfn._xlws.FILTER($F$4:$F$127, $F$4:$F$127 &gt; F57)))</f>
        <v>1</v>
      </c>
      <c r="B57" s="2" t="s">
        <v>7</v>
      </c>
      <c r="C57" s="2"/>
      <c r="D57" s="2"/>
      <c r="E57" s="2"/>
      <c r="F57" s="15" t="e">
        <f t="shared" si="4"/>
        <v>#DIV/0!</v>
      </c>
      <c r="G57" s="19">
        <v>0.5</v>
      </c>
      <c r="H57" s="17" t="e">
        <f t="shared" si="5"/>
        <v>#DIV/0!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 ht="21" customHeight="1" x14ac:dyDescent="0.3">
      <c r="A58" s="21" cm="1">
        <f t="array" ref="A58">1+COUNT(_xlfn.UNIQUE(_xlfn._xlws.FILTER($F$4:$F$127, $F$4:$F$127 &gt; F58)))</f>
        <v>1</v>
      </c>
      <c r="B58" s="2" t="s">
        <v>95</v>
      </c>
      <c r="C58" s="2"/>
      <c r="D58" s="2"/>
      <c r="E58" s="2"/>
      <c r="F58" s="15" t="e">
        <f t="shared" si="4"/>
        <v>#DIV/0!</v>
      </c>
      <c r="G58" s="19">
        <v>0.5</v>
      </c>
      <c r="H58" s="17" t="e">
        <f t="shared" si="5"/>
        <v>#DIV/0!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 ht="21" customHeight="1" x14ac:dyDescent="0.3">
      <c r="A59" s="21" cm="1">
        <f t="array" ref="A59">1+COUNT(_xlfn.UNIQUE(_xlfn._xlws.FILTER($F$4:$F$127, $F$4:$F$127 &gt; F59)))</f>
        <v>1</v>
      </c>
      <c r="B59" s="2" t="s">
        <v>30</v>
      </c>
      <c r="C59" s="2"/>
      <c r="D59" s="2"/>
      <c r="E59" s="2"/>
      <c r="F59" s="15" t="e">
        <f t="shared" si="4"/>
        <v>#DIV/0!</v>
      </c>
      <c r="G59" s="19">
        <v>0.5</v>
      </c>
      <c r="H59" s="17" t="e">
        <f t="shared" si="5"/>
        <v>#DIV/0!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 ht="21" customHeight="1" x14ac:dyDescent="0.3">
      <c r="A60" s="21" cm="1">
        <f t="array" ref="A60">1+COUNT(_xlfn.UNIQUE(_xlfn._xlws.FILTER($F$4:$F$127, $F$4:$F$127 &gt; F60)))</f>
        <v>1</v>
      </c>
      <c r="B60" s="2" t="s">
        <v>80</v>
      </c>
      <c r="C60" s="2"/>
      <c r="D60" s="2"/>
      <c r="E60" s="2"/>
      <c r="F60" s="15" t="e">
        <f t="shared" si="4"/>
        <v>#DIV/0!</v>
      </c>
      <c r="G60" s="19">
        <v>0.5</v>
      </c>
      <c r="H60" s="17" t="e">
        <f t="shared" si="5"/>
        <v>#DIV/0!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 ht="21" customHeight="1" x14ac:dyDescent="0.3">
      <c r="A61" s="21" cm="1">
        <f t="array" ref="A61">1+COUNT(_xlfn.UNIQUE(_xlfn._xlws.FILTER($F$4:$F$127, $F$4:$F$127 &gt; F61)))</f>
        <v>1</v>
      </c>
      <c r="B61" s="2" t="s">
        <v>82</v>
      </c>
      <c r="C61" s="2"/>
      <c r="D61" s="2"/>
      <c r="E61" s="2"/>
      <c r="F61" s="15" t="e">
        <f t="shared" si="4"/>
        <v>#DIV/0!</v>
      </c>
      <c r="G61" s="19">
        <v>0.5</v>
      </c>
      <c r="H61" s="17" t="e">
        <f t="shared" si="5"/>
        <v>#DIV/0!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ht="21" customHeight="1" x14ac:dyDescent="0.3">
      <c r="A62" s="21" cm="1">
        <f t="array" ref="A62">1+COUNT(_xlfn.UNIQUE(_xlfn._xlws.FILTER($F$4:$F$127, $F$4:$F$127 &gt; F62)))</f>
        <v>1</v>
      </c>
      <c r="B62" s="2" t="s">
        <v>47</v>
      </c>
      <c r="C62" s="2"/>
      <c r="D62" s="2"/>
      <c r="E62" s="2"/>
      <c r="F62" s="15" t="e">
        <f t="shared" si="4"/>
        <v>#DIV/0!</v>
      </c>
      <c r="G62" s="19">
        <v>0.5</v>
      </c>
      <c r="H62" s="17" t="e">
        <f t="shared" si="5"/>
        <v>#DIV/0!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 ht="21" customHeight="1" x14ac:dyDescent="0.3">
      <c r="A63" s="21" cm="1">
        <f t="array" ref="A63">1+COUNT(_xlfn.UNIQUE(_xlfn._xlws.FILTER($F$4:$F$127, $F$4:$F$127 &gt; F63)))</f>
        <v>1</v>
      </c>
      <c r="B63" s="2" t="s">
        <v>28</v>
      </c>
      <c r="C63" s="2"/>
      <c r="D63" s="2"/>
      <c r="E63" s="2"/>
      <c r="F63" s="15" t="e">
        <f t="shared" si="4"/>
        <v>#DIV/0!</v>
      </c>
      <c r="G63" s="19">
        <v>0.5</v>
      </c>
      <c r="H63" s="17" t="e">
        <f t="shared" si="5"/>
        <v>#DIV/0!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 ht="21" customHeight="1" x14ac:dyDescent="0.3">
      <c r="A64" s="21" cm="1">
        <f t="array" ref="A64">1+COUNT(_xlfn.UNIQUE(_xlfn._xlws.FILTER($F$4:$F$127, $F$4:$F$127 &gt; F64)))</f>
        <v>1</v>
      </c>
      <c r="B64" s="2" t="s">
        <v>107</v>
      </c>
      <c r="C64" s="2"/>
      <c r="D64" s="2"/>
      <c r="E64" s="2"/>
      <c r="F64" s="15" t="e">
        <f t="shared" si="4"/>
        <v>#DIV/0!</v>
      </c>
      <c r="G64" s="19">
        <v>0.5</v>
      </c>
      <c r="H64" s="17" t="e">
        <f t="shared" si="5"/>
        <v>#DIV/0!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 ht="21" customHeight="1" x14ac:dyDescent="0.3">
      <c r="A65" s="21" cm="1">
        <f t="array" ref="A65">1+COUNT(_xlfn.UNIQUE(_xlfn._xlws.FILTER($F$4:$F$127, $F$4:$F$127 &gt; F65)))</f>
        <v>1</v>
      </c>
      <c r="B65" s="2" t="s">
        <v>105</v>
      </c>
      <c r="C65" s="2"/>
      <c r="D65" s="2"/>
      <c r="E65" s="2"/>
      <c r="F65" s="15" t="e">
        <f t="shared" si="4"/>
        <v>#DIV/0!</v>
      </c>
      <c r="G65" s="19">
        <v>0.5</v>
      </c>
      <c r="H65" s="17" t="e">
        <f t="shared" si="5"/>
        <v>#DIV/0!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ht="21" customHeight="1" x14ac:dyDescent="0.3">
      <c r="A66" s="21" cm="1">
        <f t="array" ref="A66">1+COUNT(_xlfn.UNIQUE(_xlfn._xlws.FILTER($F$4:$F$127, $F$4:$F$127 &gt; F66)))</f>
        <v>1</v>
      </c>
      <c r="B66" s="2" t="s">
        <v>97</v>
      </c>
      <c r="C66" s="2"/>
      <c r="D66" s="2"/>
      <c r="E66" s="2"/>
      <c r="F66" s="15" t="e">
        <f t="shared" si="4"/>
        <v>#DIV/0!</v>
      </c>
      <c r="G66" s="19">
        <v>0.5</v>
      </c>
      <c r="H66" s="17" t="e">
        <f t="shared" si="5"/>
        <v>#DIV/0!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 ht="21" customHeight="1" x14ac:dyDescent="0.3">
      <c r="A67" s="21" cm="1">
        <f t="array" ref="A67">1+COUNT(_xlfn.UNIQUE(_xlfn._xlws.FILTER($F$4:$F$127, $F$4:$F$127 &gt; F67)))</f>
        <v>1</v>
      </c>
      <c r="B67" s="2" t="s">
        <v>76</v>
      </c>
      <c r="C67" s="2"/>
      <c r="D67" s="2"/>
      <c r="E67" s="2"/>
      <c r="F67" s="15" t="e">
        <f t="shared" si="4"/>
        <v>#DIV/0!</v>
      </c>
      <c r="G67" s="19">
        <v>0.5</v>
      </c>
      <c r="H67" s="17" t="e">
        <f t="shared" si="5"/>
        <v>#DIV/0!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ht="21" customHeight="1" x14ac:dyDescent="0.3">
      <c r="A68" s="21" cm="1">
        <f t="array" ref="A68">1+COUNT(_xlfn.UNIQUE(_xlfn._xlws.FILTER($F$4:$F$127, $F$4:$F$127 &gt; F68)))</f>
        <v>1</v>
      </c>
      <c r="B68" s="2" t="s">
        <v>118</v>
      </c>
      <c r="C68" s="2"/>
      <c r="D68" s="2"/>
      <c r="E68" s="2"/>
      <c r="F68" s="15" t="e">
        <f t="shared" ref="F68:F99" si="6">E68/D68</f>
        <v>#DIV/0!</v>
      </c>
      <c r="G68" s="19">
        <v>0.5</v>
      </c>
      <c r="H68" s="17" t="e">
        <f t="shared" ref="H68:H99" si="7">F68/G68</f>
        <v>#DIV/0!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 ht="21" customHeight="1" x14ac:dyDescent="0.3">
      <c r="A69" s="21" cm="1">
        <f t="array" ref="A69">1+COUNT(_xlfn.UNIQUE(_xlfn._xlws.FILTER($F$4:$F$127, $F$4:$F$127 &gt; F69)))</f>
        <v>1</v>
      </c>
      <c r="B69" s="2" t="s">
        <v>43</v>
      </c>
      <c r="C69" s="2"/>
      <c r="D69" s="2"/>
      <c r="E69" s="2"/>
      <c r="F69" s="15" t="e">
        <f t="shared" si="6"/>
        <v>#DIV/0!</v>
      </c>
      <c r="G69" s="19">
        <v>0.5</v>
      </c>
      <c r="H69" s="17" t="e">
        <f t="shared" si="7"/>
        <v>#DIV/0!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 ht="21" customHeight="1" x14ac:dyDescent="0.3">
      <c r="A70" s="21" cm="1">
        <f t="array" ref="A70">1+COUNT(_xlfn.UNIQUE(_xlfn._xlws.FILTER($F$4:$F$127, $F$4:$F$127 &gt; F70)))</f>
        <v>1</v>
      </c>
      <c r="B70" s="2" t="s">
        <v>73</v>
      </c>
      <c r="C70" s="2"/>
      <c r="D70" s="2"/>
      <c r="E70" s="2"/>
      <c r="F70" s="15" t="e">
        <f t="shared" si="6"/>
        <v>#DIV/0!</v>
      </c>
      <c r="G70" s="19">
        <v>0.5</v>
      </c>
      <c r="H70" s="17" t="e">
        <f t="shared" si="7"/>
        <v>#DIV/0!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 ht="21" customHeight="1" x14ac:dyDescent="0.3">
      <c r="A71" s="21" cm="1">
        <f t="array" ref="A71">1+COUNT(_xlfn.UNIQUE(_xlfn._xlws.FILTER($F$4:$F$127, $F$4:$F$127 &gt; F71)))</f>
        <v>1</v>
      </c>
      <c r="B71" s="2" t="s">
        <v>23</v>
      </c>
      <c r="C71" s="2"/>
      <c r="D71" s="2"/>
      <c r="E71" s="2"/>
      <c r="F71" s="15" t="e">
        <f t="shared" si="6"/>
        <v>#DIV/0!</v>
      </c>
      <c r="G71" s="19">
        <v>0.5</v>
      </c>
      <c r="H71" s="17" t="e">
        <f t="shared" si="7"/>
        <v>#DIV/0!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 ht="21" customHeight="1" x14ac:dyDescent="0.3">
      <c r="A72" s="21" cm="1">
        <f t="array" ref="A72">1+COUNT(_xlfn.UNIQUE(_xlfn._xlws.FILTER($F$4:$F$127, $F$4:$F$127 &gt; F72)))</f>
        <v>1</v>
      </c>
      <c r="B72" s="2" t="s">
        <v>149</v>
      </c>
      <c r="C72" s="2"/>
      <c r="D72" s="2"/>
      <c r="E72" s="2"/>
      <c r="F72" s="15" t="e">
        <f t="shared" si="6"/>
        <v>#DIV/0!</v>
      </c>
      <c r="G72" s="19">
        <v>0.5</v>
      </c>
      <c r="H72" s="17" t="e">
        <f t="shared" si="7"/>
        <v>#DIV/0!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 ht="21" customHeight="1" x14ac:dyDescent="0.3">
      <c r="A73" s="21" cm="1">
        <f t="array" ref="A73">1+COUNT(_xlfn.UNIQUE(_xlfn._xlws.FILTER($F$4:$F$127, $F$4:$F$127 &gt; F73)))</f>
        <v>1</v>
      </c>
      <c r="B73" s="2" t="s">
        <v>85</v>
      </c>
      <c r="C73" s="2"/>
      <c r="D73" s="2"/>
      <c r="E73" s="2"/>
      <c r="F73" s="15" t="e">
        <f t="shared" si="6"/>
        <v>#DIV/0!</v>
      </c>
      <c r="G73" s="19">
        <v>0.5</v>
      </c>
      <c r="H73" s="17" t="e">
        <f t="shared" si="7"/>
        <v>#DIV/0!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 ht="21" customHeight="1" x14ac:dyDescent="0.3">
      <c r="A74" s="21" cm="1">
        <f t="array" ref="A74">1+COUNT(_xlfn.UNIQUE(_xlfn._xlws.FILTER($F$4:$F$127, $F$4:$F$127 &gt; F74)))</f>
        <v>1</v>
      </c>
      <c r="B74" s="2" t="s">
        <v>60</v>
      </c>
      <c r="C74" s="2"/>
      <c r="D74" s="2"/>
      <c r="E74" s="2"/>
      <c r="F74" s="15" t="e">
        <f t="shared" si="6"/>
        <v>#DIV/0!</v>
      </c>
      <c r="G74" s="19">
        <v>0.5</v>
      </c>
      <c r="H74" s="17" t="e">
        <f t="shared" si="7"/>
        <v>#DIV/0!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 ht="21" customHeight="1" x14ac:dyDescent="0.3">
      <c r="A75" s="21" cm="1">
        <f t="array" ref="A75">1+COUNT(_xlfn.UNIQUE(_xlfn._xlws.FILTER($F$4:$F$127, $F$4:$F$127 &gt; F75)))</f>
        <v>1</v>
      </c>
      <c r="B75" s="2" t="s">
        <v>44</v>
      </c>
      <c r="C75" s="2"/>
      <c r="D75" s="2"/>
      <c r="E75" s="2"/>
      <c r="F75" s="15" t="e">
        <f t="shared" si="6"/>
        <v>#DIV/0!</v>
      </c>
      <c r="G75" s="19">
        <v>0.5</v>
      </c>
      <c r="H75" s="17" t="e">
        <f t="shared" si="7"/>
        <v>#DIV/0!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 ht="21" customHeight="1" x14ac:dyDescent="0.3">
      <c r="A76" s="21" cm="1">
        <f t="array" ref="A76">1+COUNT(_xlfn.UNIQUE(_xlfn._xlws.FILTER($F$4:$F$127, $F$4:$F$127 &gt; F76)))</f>
        <v>1</v>
      </c>
      <c r="B76" s="2" t="s">
        <v>91</v>
      </c>
      <c r="C76" s="2"/>
      <c r="D76" s="2"/>
      <c r="E76" s="2"/>
      <c r="F76" s="15" t="e">
        <f t="shared" si="6"/>
        <v>#DIV/0!</v>
      </c>
      <c r="G76" s="19">
        <v>0.5</v>
      </c>
      <c r="H76" s="17" t="e">
        <f t="shared" si="7"/>
        <v>#DIV/0!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 ht="21" customHeight="1" x14ac:dyDescent="0.3">
      <c r="A77" s="21" cm="1">
        <f t="array" ref="A77">1+COUNT(_xlfn.UNIQUE(_xlfn._xlws.FILTER($F$4:$F$127, $F$4:$F$127 &gt; F77)))</f>
        <v>1</v>
      </c>
      <c r="B77" s="2" t="s">
        <v>10</v>
      </c>
      <c r="C77" s="2"/>
      <c r="D77" s="2"/>
      <c r="E77" s="2"/>
      <c r="F77" s="15" t="e">
        <f t="shared" si="6"/>
        <v>#DIV/0!</v>
      </c>
      <c r="G77" s="19">
        <v>0.5</v>
      </c>
      <c r="H77" s="17" t="e">
        <f t="shared" si="7"/>
        <v>#DIV/0!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 ht="21" customHeight="1" x14ac:dyDescent="0.3">
      <c r="A78" s="21" cm="1">
        <f t="array" ref="A78">1+COUNT(_xlfn.UNIQUE(_xlfn._xlws.FILTER($F$4:$F$127, $F$4:$F$127 &gt; F78)))</f>
        <v>1</v>
      </c>
      <c r="B78" s="2" t="s">
        <v>6</v>
      </c>
      <c r="C78" s="2"/>
      <c r="D78" s="2"/>
      <c r="E78" s="2"/>
      <c r="F78" s="15" t="e">
        <f t="shared" si="6"/>
        <v>#DIV/0!</v>
      </c>
      <c r="G78" s="19">
        <v>0.5</v>
      </c>
      <c r="H78" s="17" t="e">
        <f t="shared" si="7"/>
        <v>#DIV/0!</v>
      </c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 ht="21" customHeight="1" x14ac:dyDescent="0.3">
      <c r="A79" s="21" cm="1">
        <f t="array" ref="A79">1+COUNT(_xlfn.UNIQUE(_xlfn._xlws.FILTER($F$4:$F$127, $F$4:$F$127 &gt; F79)))</f>
        <v>1</v>
      </c>
      <c r="B79" s="2" t="s">
        <v>67</v>
      </c>
      <c r="C79" s="2"/>
      <c r="D79" s="2"/>
      <c r="E79" s="2"/>
      <c r="F79" s="15" t="e">
        <f t="shared" si="6"/>
        <v>#DIV/0!</v>
      </c>
      <c r="G79" s="19">
        <v>0.5</v>
      </c>
      <c r="H79" s="17" t="e">
        <f t="shared" si="7"/>
        <v>#DIV/0!</v>
      </c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ht="21" customHeight="1" x14ac:dyDescent="0.3">
      <c r="A80" s="21" cm="1">
        <f t="array" ref="A80">1+COUNT(_xlfn.UNIQUE(_xlfn._xlws.FILTER($F$4:$F$127, $F$4:$F$127 &gt; F80)))</f>
        <v>1</v>
      </c>
      <c r="B80" s="2" t="s">
        <v>150</v>
      </c>
      <c r="C80" s="2"/>
      <c r="D80" s="2"/>
      <c r="E80" s="2"/>
      <c r="F80" s="15" t="e">
        <f t="shared" si="6"/>
        <v>#DIV/0!</v>
      </c>
      <c r="G80" s="19">
        <v>0.5</v>
      </c>
      <c r="H80" s="17" t="e">
        <f t="shared" si="7"/>
        <v>#DIV/0!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 ht="21" customHeight="1" x14ac:dyDescent="0.3">
      <c r="A81" s="21" cm="1">
        <f t="array" ref="A81">1+COUNT(_xlfn.UNIQUE(_xlfn._xlws.FILTER($F$4:$F$127, $F$4:$F$127 &gt; F81)))</f>
        <v>1</v>
      </c>
      <c r="B81" s="2" t="s">
        <v>32</v>
      </c>
      <c r="C81" s="2"/>
      <c r="D81" s="2"/>
      <c r="E81" s="2"/>
      <c r="F81" s="15" t="e">
        <f t="shared" si="6"/>
        <v>#DIV/0!</v>
      </c>
      <c r="G81" s="19">
        <v>0.5</v>
      </c>
      <c r="H81" s="17" t="e">
        <f t="shared" si="7"/>
        <v>#DIV/0!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 ht="21" customHeight="1" x14ac:dyDescent="0.3">
      <c r="A82" s="21" cm="1">
        <f t="array" ref="A82">1+COUNT(_xlfn.UNIQUE(_xlfn._xlws.FILTER($F$4:$F$127, $F$4:$F$127 &gt; F82)))</f>
        <v>1</v>
      </c>
      <c r="B82" s="2" t="s">
        <v>54</v>
      </c>
      <c r="C82" s="2"/>
      <c r="D82" s="2"/>
      <c r="E82" s="2"/>
      <c r="F82" s="15" t="e">
        <f t="shared" si="6"/>
        <v>#DIV/0!</v>
      </c>
      <c r="G82" s="19">
        <v>0.5</v>
      </c>
      <c r="H82" s="17" t="e">
        <f t="shared" si="7"/>
        <v>#DIV/0!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 ht="21" customHeight="1" x14ac:dyDescent="0.3">
      <c r="A83" s="21" cm="1">
        <f t="array" ref="A83">1+COUNT(_xlfn.UNIQUE(_xlfn._xlws.FILTER($F$4:$F$127, $F$4:$F$127 &gt; F83)))</f>
        <v>1</v>
      </c>
      <c r="B83" s="2" t="s">
        <v>62</v>
      </c>
      <c r="C83" s="2"/>
      <c r="D83" s="2"/>
      <c r="E83" s="2"/>
      <c r="F83" s="15" t="e">
        <f t="shared" si="6"/>
        <v>#DIV/0!</v>
      </c>
      <c r="G83" s="19">
        <v>0.5</v>
      </c>
      <c r="H83" s="17" t="e">
        <f t="shared" si="7"/>
        <v>#DIV/0!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 ht="21" customHeight="1" x14ac:dyDescent="0.3">
      <c r="A84" s="21" cm="1">
        <f t="array" ref="A84">1+COUNT(_xlfn.UNIQUE(_xlfn._xlws.FILTER($F$4:$F$127, $F$4:$F$127 &gt; F84)))</f>
        <v>1</v>
      </c>
      <c r="B84" s="2" t="s">
        <v>74</v>
      </c>
      <c r="C84" s="2"/>
      <c r="D84" s="2"/>
      <c r="E84" s="2"/>
      <c r="F84" s="15" t="e">
        <f t="shared" si="6"/>
        <v>#DIV/0!</v>
      </c>
      <c r="G84" s="19">
        <v>0.5</v>
      </c>
      <c r="H84" s="17" t="e">
        <f t="shared" si="7"/>
        <v>#DIV/0!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1:25" ht="21" customHeight="1" x14ac:dyDescent="0.3">
      <c r="A85" s="21" cm="1">
        <f t="array" ref="A85">1+COUNT(_xlfn.UNIQUE(_xlfn._xlws.FILTER($F$4:$F$127, $F$4:$F$127 &gt; F85)))</f>
        <v>1</v>
      </c>
      <c r="B85" s="2" t="s">
        <v>42</v>
      </c>
      <c r="C85" s="2"/>
      <c r="D85" s="2"/>
      <c r="E85" s="2"/>
      <c r="F85" s="15" t="e">
        <f t="shared" si="6"/>
        <v>#DIV/0!</v>
      </c>
      <c r="G85" s="19">
        <v>0.5</v>
      </c>
      <c r="H85" s="17" t="e">
        <f t="shared" si="7"/>
        <v>#DIV/0!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 ht="21" customHeight="1" x14ac:dyDescent="0.3">
      <c r="A86" s="21" cm="1">
        <f t="array" ref="A86">1+COUNT(_xlfn.UNIQUE(_xlfn._xlws.FILTER($F$4:$F$127, $F$4:$F$127 &gt; F86)))</f>
        <v>1</v>
      </c>
      <c r="B86" s="2" t="s">
        <v>31</v>
      </c>
      <c r="C86" s="2"/>
      <c r="D86" s="2"/>
      <c r="E86" s="2"/>
      <c r="F86" s="15" t="e">
        <f t="shared" si="6"/>
        <v>#DIV/0!</v>
      </c>
      <c r="G86" s="19">
        <v>0.5</v>
      </c>
      <c r="H86" s="17" t="e">
        <f t="shared" si="7"/>
        <v>#DIV/0!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 ht="21" customHeight="1" x14ac:dyDescent="0.3">
      <c r="A87" s="21" cm="1">
        <f t="array" ref="A87">1+COUNT(_xlfn.UNIQUE(_xlfn._xlws.FILTER($F$4:$F$127, $F$4:$F$127 &gt; F87)))</f>
        <v>1</v>
      </c>
      <c r="B87" s="2" t="s">
        <v>16</v>
      </c>
      <c r="C87" s="2"/>
      <c r="D87" s="2"/>
      <c r="E87" s="2"/>
      <c r="F87" s="15" t="e">
        <f t="shared" si="6"/>
        <v>#DIV/0!</v>
      </c>
      <c r="G87" s="19">
        <v>0.5</v>
      </c>
      <c r="H87" s="17" t="e">
        <f t="shared" si="7"/>
        <v>#DIV/0!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 ht="21" customHeight="1" x14ac:dyDescent="0.3">
      <c r="A88" s="21" cm="1">
        <f t="array" ref="A88">1+COUNT(_xlfn.UNIQUE(_xlfn._xlws.FILTER($F$4:$F$127, $F$4:$F$127 &gt; F88)))</f>
        <v>1</v>
      </c>
      <c r="B88" s="2" t="s">
        <v>72</v>
      </c>
      <c r="C88" s="2"/>
      <c r="D88" s="2"/>
      <c r="E88" s="2"/>
      <c r="F88" s="15" t="e">
        <f t="shared" si="6"/>
        <v>#DIV/0!</v>
      </c>
      <c r="G88" s="19">
        <v>0.5</v>
      </c>
      <c r="H88" s="17" t="e">
        <f t="shared" si="7"/>
        <v>#DIV/0!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ht="21" customHeight="1" x14ac:dyDescent="0.3">
      <c r="A89" s="21" cm="1">
        <f t="array" ref="A89">1+COUNT(_xlfn.UNIQUE(_xlfn._xlws.FILTER($F$4:$F$127, $F$4:$F$127 &gt; F89)))</f>
        <v>1</v>
      </c>
      <c r="B89" s="2" t="s">
        <v>63</v>
      </c>
      <c r="C89" s="2"/>
      <c r="D89" s="2"/>
      <c r="E89" s="2"/>
      <c r="F89" s="15" t="e">
        <f t="shared" si="6"/>
        <v>#DIV/0!</v>
      </c>
      <c r="G89" s="19">
        <v>0.5</v>
      </c>
      <c r="H89" s="17" t="e">
        <f t="shared" si="7"/>
        <v>#DIV/0!</v>
      </c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ht="21" customHeight="1" x14ac:dyDescent="0.3">
      <c r="A90" s="21" cm="1">
        <f t="array" ref="A90">1+COUNT(_xlfn.UNIQUE(_xlfn._xlws.FILTER($F$4:$F$127, $F$4:$F$127 &gt; F90)))</f>
        <v>1</v>
      </c>
      <c r="B90" s="2" t="s">
        <v>52</v>
      </c>
      <c r="C90" s="2"/>
      <c r="D90" s="2"/>
      <c r="E90" s="2"/>
      <c r="F90" s="15" t="e">
        <f t="shared" si="6"/>
        <v>#DIV/0!</v>
      </c>
      <c r="G90" s="19">
        <v>0.5</v>
      </c>
      <c r="H90" s="17" t="e">
        <f t="shared" si="7"/>
        <v>#DIV/0!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5" ht="21" customHeight="1" x14ac:dyDescent="0.3">
      <c r="A91" s="21" cm="1">
        <f t="array" ref="A91">1+COUNT(_xlfn.UNIQUE(_xlfn._xlws.FILTER($F$4:$F$127, $F$4:$F$127 &gt; F91)))</f>
        <v>1</v>
      </c>
      <c r="B91" s="2" t="s">
        <v>9</v>
      </c>
      <c r="C91" s="2"/>
      <c r="D91" s="2"/>
      <c r="E91" s="2"/>
      <c r="F91" s="15" t="e">
        <f t="shared" si="6"/>
        <v>#DIV/0!</v>
      </c>
      <c r="G91" s="19">
        <v>0.5</v>
      </c>
      <c r="H91" s="17" t="e">
        <f t="shared" si="7"/>
        <v>#DIV/0!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spans="1:25" ht="21" customHeight="1" x14ac:dyDescent="0.3">
      <c r="A92" s="21" cm="1">
        <f t="array" ref="A92">1+COUNT(_xlfn.UNIQUE(_xlfn._xlws.FILTER($F$4:$F$127, $F$4:$F$127 &gt; F92)))</f>
        <v>1</v>
      </c>
      <c r="B92" s="2" t="s">
        <v>83</v>
      </c>
      <c r="C92" s="2"/>
      <c r="D92" s="2"/>
      <c r="E92" s="2"/>
      <c r="F92" s="15" t="e">
        <f t="shared" si="6"/>
        <v>#DIV/0!</v>
      </c>
      <c r="G92" s="19">
        <v>0.5</v>
      </c>
      <c r="H92" s="17" t="e">
        <f t="shared" si="7"/>
        <v>#DIV/0!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 ht="21" customHeight="1" x14ac:dyDescent="0.3">
      <c r="A93" s="21" cm="1">
        <f t="array" ref="A93">1+COUNT(_xlfn.UNIQUE(_xlfn._xlws.FILTER($F$4:$F$127, $F$4:$F$127 &gt; F93)))</f>
        <v>1</v>
      </c>
      <c r="B93" s="2" t="s">
        <v>117</v>
      </c>
      <c r="C93" s="2"/>
      <c r="D93" s="2"/>
      <c r="E93" s="2"/>
      <c r="F93" s="15" t="e">
        <f t="shared" si="6"/>
        <v>#DIV/0!</v>
      </c>
      <c r="G93" s="19">
        <v>0.5</v>
      </c>
      <c r="H93" s="17" t="e">
        <f t="shared" si="7"/>
        <v>#DIV/0!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 ht="21" customHeight="1" x14ac:dyDescent="0.3">
      <c r="A94" s="21" cm="1">
        <f t="array" ref="A94">1+COUNT(_xlfn.UNIQUE(_xlfn._xlws.FILTER($F$4:$F$127, $F$4:$F$127 &gt; F94)))</f>
        <v>1</v>
      </c>
      <c r="B94" s="2" t="s">
        <v>45</v>
      </c>
      <c r="C94" s="2"/>
      <c r="D94" s="2"/>
      <c r="E94" s="2"/>
      <c r="F94" s="15" t="e">
        <f t="shared" si="6"/>
        <v>#DIV/0!</v>
      </c>
      <c r="G94" s="19">
        <v>0.5</v>
      </c>
      <c r="H94" s="17" t="e">
        <f t="shared" si="7"/>
        <v>#DIV/0!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1:25" ht="21" customHeight="1" x14ac:dyDescent="0.3">
      <c r="A95" s="21" cm="1">
        <f t="array" ref="A95">1+COUNT(_xlfn.UNIQUE(_xlfn._xlws.FILTER($F$4:$F$127, $F$4:$F$127 &gt; F95)))</f>
        <v>1</v>
      </c>
      <c r="B95" s="2" t="s">
        <v>51</v>
      </c>
      <c r="C95" s="2"/>
      <c r="D95" s="2"/>
      <c r="E95" s="2"/>
      <c r="F95" s="15" t="e">
        <f t="shared" si="6"/>
        <v>#DIV/0!</v>
      </c>
      <c r="G95" s="19">
        <v>0.5</v>
      </c>
      <c r="H95" s="17" t="e">
        <f t="shared" si="7"/>
        <v>#DIV/0!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 ht="21" customHeight="1" x14ac:dyDescent="0.3">
      <c r="A96" s="21" cm="1">
        <f t="array" ref="A96">1+COUNT(_xlfn.UNIQUE(_xlfn._xlws.FILTER($F$4:$F$127, $F$4:$F$127 &gt; F96)))</f>
        <v>1</v>
      </c>
      <c r="B96" s="2" t="s">
        <v>8</v>
      </c>
      <c r="C96" s="2"/>
      <c r="D96" s="2"/>
      <c r="E96" s="2"/>
      <c r="F96" s="15" t="e">
        <f t="shared" si="6"/>
        <v>#DIV/0!</v>
      </c>
      <c r="G96" s="19">
        <v>0.5</v>
      </c>
      <c r="H96" s="17" t="e">
        <f t="shared" si="7"/>
        <v>#DIV/0!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spans="1:25" ht="21" customHeight="1" x14ac:dyDescent="0.3">
      <c r="A97" s="21" cm="1">
        <f t="array" ref="A97">1+COUNT(_xlfn.UNIQUE(_xlfn._xlws.FILTER($F$4:$F$127, $F$4:$F$127 &gt; F97)))</f>
        <v>1</v>
      </c>
      <c r="B97" s="2" t="s">
        <v>86</v>
      </c>
      <c r="C97" s="2"/>
      <c r="D97" s="2"/>
      <c r="E97" s="2"/>
      <c r="F97" s="15" t="e">
        <f t="shared" si="6"/>
        <v>#DIV/0!</v>
      </c>
      <c r="G97" s="19">
        <v>0.5</v>
      </c>
      <c r="H97" s="17" t="e">
        <f t="shared" si="7"/>
        <v>#DIV/0!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1:25" ht="21" customHeight="1" x14ac:dyDescent="0.3">
      <c r="A98" s="21" cm="1">
        <f t="array" ref="A98">1+COUNT(_xlfn.UNIQUE(_xlfn._xlws.FILTER($F$4:$F$127, $F$4:$F$127 &gt; F98)))</f>
        <v>1</v>
      </c>
      <c r="B98" s="2" t="s">
        <v>100</v>
      </c>
      <c r="C98" s="2"/>
      <c r="D98" s="2"/>
      <c r="E98" s="2"/>
      <c r="F98" s="15" t="e">
        <f t="shared" si="6"/>
        <v>#DIV/0!</v>
      </c>
      <c r="G98" s="19">
        <v>0.5</v>
      </c>
      <c r="H98" s="17" t="e">
        <f t="shared" si="7"/>
        <v>#DIV/0!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 ht="21" customHeight="1" x14ac:dyDescent="0.3">
      <c r="A99" s="21" cm="1">
        <f t="array" ref="A99">1+COUNT(_xlfn.UNIQUE(_xlfn._xlws.FILTER($F$4:$F$127, $F$4:$F$127 &gt; F99)))</f>
        <v>1</v>
      </c>
      <c r="B99" s="2" t="s">
        <v>122</v>
      </c>
      <c r="C99" s="2"/>
      <c r="D99" s="2"/>
      <c r="E99" s="2"/>
      <c r="F99" s="15" t="e">
        <f t="shared" si="6"/>
        <v>#DIV/0!</v>
      </c>
      <c r="G99" s="19">
        <v>0.5</v>
      </c>
      <c r="H99" s="17" t="e">
        <f t="shared" si="7"/>
        <v>#DIV/0!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 ht="21" customHeight="1" x14ac:dyDescent="0.3">
      <c r="A100" s="21" cm="1">
        <f t="array" ref="A100">1+COUNT(_xlfn.UNIQUE(_xlfn._xlws.FILTER($F$4:$F$127, $F$4:$F$127 &gt; F100)))</f>
        <v>1</v>
      </c>
      <c r="B100" s="2" t="s">
        <v>103</v>
      </c>
      <c r="C100" s="2"/>
      <c r="D100" s="2"/>
      <c r="E100" s="2"/>
      <c r="F100" s="15" t="e">
        <f t="shared" ref="F100:F131" si="8">E100/D100</f>
        <v>#DIV/0!</v>
      </c>
      <c r="G100" s="19">
        <v>0.5</v>
      </c>
      <c r="H100" s="17" t="e">
        <f t="shared" ref="H100:H131" si="9">F100/G100</f>
        <v>#DIV/0!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 ht="21" customHeight="1" x14ac:dyDescent="0.3">
      <c r="A101" s="21" cm="1">
        <f t="array" ref="A101">1+COUNT(_xlfn.UNIQUE(_xlfn._xlws.FILTER($F$4:$F$127, $F$4:$F$127 &gt; F101)))</f>
        <v>1</v>
      </c>
      <c r="B101" s="2" t="s">
        <v>115</v>
      </c>
      <c r="C101" s="2"/>
      <c r="D101" s="2"/>
      <c r="E101" s="2"/>
      <c r="F101" s="15" t="e">
        <f t="shared" si="8"/>
        <v>#DIV/0!</v>
      </c>
      <c r="G101" s="19">
        <v>0.5</v>
      </c>
      <c r="H101" s="17" t="e">
        <f t="shared" si="9"/>
        <v>#DIV/0!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 ht="21" customHeight="1" x14ac:dyDescent="0.3">
      <c r="A102" s="21" cm="1">
        <f t="array" ref="A102">1+COUNT(_xlfn.UNIQUE(_xlfn._xlws.FILTER($F$4:$F$127, $F$4:$F$127 &gt; F102)))</f>
        <v>1</v>
      </c>
      <c r="B102" s="2" t="s">
        <v>14</v>
      </c>
      <c r="C102" s="2"/>
      <c r="D102" s="2"/>
      <c r="E102" s="2"/>
      <c r="F102" s="15" t="e">
        <f t="shared" si="8"/>
        <v>#DIV/0!</v>
      </c>
      <c r="G102" s="19">
        <v>0.5</v>
      </c>
      <c r="H102" s="17" t="e">
        <f t="shared" si="9"/>
        <v>#DIV/0!</v>
      </c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ht="21" customHeight="1" x14ac:dyDescent="0.3">
      <c r="A103" s="21" cm="1">
        <f t="array" ref="A103">1+COUNT(_xlfn.UNIQUE(_xlfn._xlws.FILTER($F$4:$F$127, $F$4:$F$127 &gt; F103)))</f>
        <v>1</v>
      </c>
      <c r="B103" s="2" t="s">
        <v>90</v>
      </c>
      <c r="C103" s="2"/>
      <c r="D103" s="2"/>
      <c r="E103" s="2"/>
      <c r="F103" s="15" t="e">
        <f t="shared" si="8"/>
        <v>#DIV/0!</v>
      </c>
      <c r="G103" s="19">
        <v>0.5</v>
      </c>
      <c r="H103" s="17" t="e">
        <f t="shared" si="9"/>
        <v>#DIV/0!</v>
      </c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 ht="21" customHeight="1" x14ac:dyDescent="0.3">
      <c r="A104" s="21" cm="1">
        <f t="array" ref="A104">1+COUNT(_xlfn.UNIQUE(_xlfn._xlws.FILTER($F$4:$F$127, $F$4:$F$127 &gt; F104)))</f>
        <v>1</v>
      </c>
      <c r="B104" s="2" t="s">
        <v>84</v>
      </c>
      <c r="C104" s="2"/>
      <c r="D104" s="2"/>
      <c r="E104" s="2"/>
      <c r="F104" s="15" t="e">
        <f t="shared" si="8"/>
        <v>#DIV/0!</v>
      </c>
      <c r="G104" s="19">
        <v>0.5</v>
      </c>
      <c r="H104" s="17" t="e">
        <f t="shared" si="9"/>
        <v>#DIV/0!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ht="21" customHeight="1" x14ac:dyDescent="0.3">
      <c r="A105" s="21" cm="1">
        <f t="array" ref="A105">1+COUNT(_xlfn.UNIQUE(_xlfn._xlws.FILTER($F$4:$F$127, $F$4:$F$127 &gt; F105)))</f>
        <v>1</v>
      </c>
      <c r="B105" s="2" t="s">
        <v>101</v>
      </c>
      <c r="C105" s="2"/>
      <c r="D105" s="2"/>
      <c r="E105" s="2"/>
      <c r="F105" s="15" t="e">
        <f t="shared" si="8"/>
        <v>#DIV/0!</v>
      </c>
      <c r="G105" s="19">
        <v>0.5</v>
      </c>
      <c r="H105" s="17" t="e">
        <f t="shared" si="9"/>
        <v>#DIV/0!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 ht="21" customHeight="1" x14ac:dyDescent="0.3">
      <c r="A106" s="21" cm="1">
        <f t="array" ref="A106">1+COUNT(_xlfn.UNIQUE(_xlfn._xlws.FILTER($F$4:$F$127, $F$4:$F$127 &gt; F106)))</f>
        <v>1</v>
      </c>
      <c r="B106" s="2" t="s">
        <v>55</v>
      </c>
      <c r="C106" s="2"/>
      <c r="D106" s="2"/>
      <c r="E106" s="2"/>
      <c r="F106" s="15" t="e">
        <f t="shared" si="8"/>
        <v>#DIV/0!</v>
      </c>
      <c r="G106" s="19">
        <v>0.5</v>
      </c>
      <c r="H106" s="17" t="e">
        <f t="shared" si="9"/>
        <v>#DIV/0!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 ht="21" customHeight="1" x14ac:dyDescent="0.3">
      <c r="A107" s="21" cm="1">
        <f t="array" ref="A107">1+COUNT(_xlfn.UNIQUE(_xlfn._xlws.FILTER($F$4:$F$127, $F$4:$F$127 &gt; F107)))</f>
        <v>1</v>
      </c>
      <c r="B107" s="2" t="s">
        <v>48</v>
      </c>
      <c r="C107" s="2"/>
      <c r="D107" s="2"/>
      <c r="E107" s="2"/>
      <c r="F107" s="15" t="e">
        <f t="shared" si="8"/>
        <v>#DIV/0!</v>
      </c>
      <c r="G107" s="19">
        <v>0.5</v>
      </c>
      <c r="H107" s="17" t="e">
        <f t="shared" si="9"/>
        <v>#DIV/0!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 ht="21" customHeight="1" x14ac:dyDescent="0.3">
      <c r="A108" s="21" cm="1">
        <f t="array" ref="A108">1+COUNT(_xlfn.UNIQUE(_xlfn._xlws.FILTER($F$4:$F$127, $F$4:$F$127 &gt; F108)))</f>
        <v>1</v>
      </c>
      <c r="B108" s="2" t="s">
        <v>12</v>
      </c>
      <c r="C108" s="2"/>
      <c r="D108" s="2"/>
      <c r="E108" s="2"/>
      <c r="F108" s="15" t="e">
        <f t="shared" si="8"/>
        <v>#DIV/0!</v>
      </c>
      <c r="G108" s="19">
        <v>0.5</v>
      </c>
      <c r="H108" s="17" t="e">
        <f t="shared" si="9"/>
        <v>#DIV/0!</v>
      </c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ht="21" customHeight="1" x14ac:dyDescent="0.3">
      <c r="A109" s="21" cm="1">
        <f t="array" ref="A109">1+COUNT(_xlfn.UNIQUE(_xlfn._xlws.FILTER($F$4:$F$127, $F$4:$F$127 &gt; F109)))</f>
        <v>1</v>
      </c>
      <c r="B109" s="2" t="s">
        <v>34</v>
      </c>
      <c r="C109" s="2"/>
      <c r="D109" s="2"/>
      <c r="E109" s="2"/>
      <c r="F109" s="15" t="e">
        <f t="shared" si="8"/>
        <v>#DIV/0!</v>
      </c>
      <c r="G109" s="19">
        <v>0.5</v>
      </c>
      <c r="H109" s="17" t="e">
        <f t="shared" si="9"/>
        <v>#DIV/0!</v>
      </c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ht="21" customHeight="1" x14ac:dyDescent="0.3">
      <c r="A110" s="21" cm="1">
        <f t="array" ref="A110">1+COUNT(_xlfn.UNIQUE(_xlfn._xlws.FILTER($F$4:$F$127, $F$4:$F$127 &gt; F110)))</f>
        <v>1</v>
      </c>
      <c r="B110" s="2" t="s">
        <v>120</v>
      </c>
      <c r="C110" s="2"/>
      <c r="D110" s="2"/>
      <c r="E110" s="2"/>
      <c r="F110" s="15" t="e">
        <f t="shared" si="8"/>
        <v>#DIV/0!</v>
      </c>
      <c r="G110" s="19">
        <v>0.5</v>
      </c>
      <c r="H110" s="17" t="e">
        <f t="shared" si="9"/>
        <v>#DIV/0!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 ht="21" customHeight="1" x14ac:dyDescent="0.3">
      <c r="A111" s="21" cm="1">
        <f t="array" ref="A111">1+COUNT(_xlfn.UNIQUE(_xlfn._xlws.FILTER($F$4:$F$127, $F$4:$F$127 &gt; F111)))</f>
        <v>1</v>
      </c>
      <c r="B111" s="2" t="s">
        <v>61</v>
      </c>
      <c r="C111" s="2"/>
      <c r="D111" s="2"/>
      <c r="E111" s="2"/>
      <c r="F111" s="15" t="e">
        <f t="shared" si="8"/>
        <v>#DIV/0!</v>
      </c>
      <c r="G111" s="19">
        <v>0.5</v>
      </c>
      <c r="H111" s="17" t="e">
        <f t="shared" si="9"/>
        <v>#DIV/0!</v>
      </c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ht="21" customHeight="1" x14ac:dyDescent="0.3">
      <c r="A112" s="21" cm="1">
        <f t="array" ref="A112">1+COUNT(_xlfn.UNIQUE(_xlfn._xlws.FILTER($F$4:$F$127, $F$4:$F$127 &gt; F112)))</f>
        <v>1</v>
      </c>
      <c r="B112" s="2" t="s">
        <v>20</v>
      </c>
      <c r="C112" s="2"/>
      <c r="D112" s="2"/>
      <c r="E112" s="2"/>
      <c r="F112" s="15" t="e">
        <f t="shared" si="8"/>
        <v>#DIV/0!</v>
      </c>
      <c r="G112" s="19">
        <v>0.5</v>
      </c>
      <c r="H112" s="17" t="e">
        <f t="shared" si="9"/>
        <v>#DIV/0!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 ht="21" customHeight="1" x14ac:dyDescent="0.3">
      <c r="A113" s="21" cm="1">
        <f t="array" ref="A113">1+COUNT(_xlfn.UNIQUE(_xlfn._xlws.FILTER($F$4:$F$127, $F$4:$F$127 &gt; F113)))</f>
        <v>1</v>
      </c>
      <c r="B113" s="2" t="s">
        <v>113</v>
      </c>
      <c r="C113" s="2"/>
      <c r="D113" s="2"/>
      <c r="E113" s="2"/>
      <c r="F113" s="15" t="e">
        <f t="shared" si="8"/>
        <v>#DIV/0!</v>
      </c>
      <c r="G113" s="19">
        <v>0.5</v>
      </c>
      <c r="H113" s="17" t="e">
        <f t="shared" si="9"/>
        <v>#DIV/0!</v>
      </c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ht="21" customHeight="1" x14ac:dyDescent="0.3">
      <c r="A114" s="21" cm="1">
        <f t="array" ref="A114">1+COUNT(_xlfn.UNIQUE(_xlfn._xlws.FILTER($F$4:$F$127, $F$4:$F$127 &gt; F114)))</f>
        <v>1</v>
      </c>
      <c r="B114" s="2" t="s">
        <v>13</v>
      </c>
      <c r="C114" s="2"/>
      <c r="D114" s="2"/>
      <c r="E114" s="2"/>
      <c r="F114" s="15" t="e">
        <f t="shared" si="8"/>
        <v>#DIV/0!</v>
      </c>
      <c r="G114" s="19">
        <v>0.5</v>
      </c>
      <c r="H114" s="17" t="e">
        <f t="shared" si="9"/>
        <v>#DIV/0!</v>
      </c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 ht="21" customHeight="1" x14ac:dyDescent="0.3">
      <c r="A115" s="21" cm="1">
        <f t="array" ref="A115">1+COUNT(_xlfn.UNIQUE(_xlfn._xlws.FILTER($F$4:$F$127, $F$4:$F$127 &gt; F115)))</f>
        <v>1</v>
      </c>
      <c r="B115" s="2" t="s">
        <v>18</v>
      </c>
      <c r="C115" s="2"/>
      <c r="D115" s="2"/>
      <c r="E115" s="2"/>
      <c r="F115" s="15" t="e">
        <f t="shared" si="8"/>
        <v>#DIV/0!</v>
      </c>
      <c r="G115" s="19">
        <v>0.5</v>
      </c>
      <c r="H115" s="17" t="e">
        <f t="shared" si="9"/>
        <v>#DIV/0!</v>
      </c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 ht="21" customHeight="1" x14ac:dyDescent="0.3">
      <c r="A116" s="21" cm="1">
        <f t="array" ref="A116">1+COUNT(_xlfn.UNIQUE(_xlfn._xlws.FILTER($F$4:$F$127, $F$4:$F$127 &gt; F116)))</f>
        <v>1</v>
      </c>
      <c r="B116" s="2" t="s">
        <v>66</v>
      </c>
      <c r="C116" s="2"/>
      <c r="D116" s="2"/>
      <c r="E116" s="2"/>
      <c r="F116" s="15" t="e">
        <f t="shared" si="8"/>
        <v>#DIV/0!</v>
      </c>
      <c r="G116" s="19">
        <v>0.5</v>
      </c>
      <c r="H116" s="17" t="e">
        <f t="shared" si="9"/>
        <v>#DIV/0!</v>
      </c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 ht="21" customHeight="1" x14ac:dyDescent="0.3">
      <c r="A117" s="21" cm="1">
        <f t="array" ref="A117">1+COUNT(_xlfn.UNIQUE(_xlfn._xlws.FILTER($F$4:$F$127, $F$4:$F$127 &gt; F117)))</f>
        <v>1</v>
      </c>
      <c r="B117" s="2" t="s">
        <v>98</v>
      </c>
      <c r="C117" s="2"/>
      <c r="D117" s="2"/>
      <c r="E117" s="2"/>
      <c r="F117" s="15" t="e">
        <f t="shared" si="8"/>
        <v>#DIV/0!</v>
      </c>
      <c r="G117" s="19">
        <v>0.5</v>
      </c>
      <c r="H117" s="17" t="e">
        <f t="shared" si="9"/>
        <v>#DIV/0!</v>
      </c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ht="21" customHeight="1" x14ac:dyDescent="0.3">
      <c r="A118" s="21" cm="1">
        <f t="array" ref="A118">1+COUNT(_xlfn.UNIQUE(_xlfn._xlws.FILTER($F$4:$F$127, $F$4:$F$127 &gt; F118)))</f>
        <v>1</v>
      </c>
      <c r="B118" s="2" t="s">
        <v>75</v>
      </c>
      <c r="C118" s="2"/>
      <c r="D118" s="2"/>
      <c r="E118" s="2"/>
      <c r="F118" s="15" t="e">
        <f t="shared" si="8"/>
        <v>#DIV/0!</v>
      </c>
      <c r="G118" s="19">
        <v>0.5</v>
      </c>
      <c r="H118" s="17" t="e">
        <f t="shared" si="9"/>
        <v>#DIV/0!</v>
      </c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ht="21" customHeight="1" x14ac:dyDescent="0.3">
      <c r="A119" s="21" cm="1">
        <f t="array" ref="A119">1+COUNT(_xlfn.UNIQUE(_xlfn._xlws.FILTER($F$4:$F$127, $F$4:$F$127 &gt; F119)))</f>
        <v>1</v>
      </c>
      <c r="B119" s="2" t="s">
        <v>19</v>
      </c>
      <c r="C119" s="2"/>
      <c r="D119" s="2"/>
      <c r="E119" s="2"/>
      <c r="F119" s="15" t="e">
        <f t="shared" si="8"/>
        <v>#DIV/0!</v>
      </c>
      <c r="G119" s="19">
        <v>0.5</v>
      </c>
      <c r="H119" s="17" t="e">
        <f t="shared" si="9"/>
        <v>#DIV/0!</v>
      </c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ht="21" customHeight="1" x14ac:dyDescent="0.3">
      <c r="A120" s="21" cm="1">
        <f t="array" ref="A120">1+COUNT(_xlfn.UNIQUE(_xlfn._xlws.FILTER($F$4:$F$127, $F$4:$F$127 &gt; F120)))</f>
        <v>1</v>
      </c>
      <c r="B120" s="2" t="s">
        <v>81</v>
      </c>
      <c r="C120" s="2"/>
      <c r="D120" s="2"/>
      <c r="E120" s="2"/>
      <c r="F120" s="15" t="e">
        <f t="shared" si="8"/>
        <v>#DIV/0!</v>
      </c>
      <c r="G120" s="19">
        <v>0.5</v>
      </c>
      <c r="H120" s="17" t="e">
        <f t="shared" si="9"/>
        <v>#DIV/0!</v>
      </c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 ht="21" customHeight="1" x14ac:dyDescent="0.3">
      <c r="A121" s="21" cm="1">
        <f t="array" ref="A121">1+COUNT(_xlfn.UNIQUE(_xlfn._xlws.FILTER($F$4:$F$127, $F$4:$F$127 &gt; F121)))</f>
        <v>1</v>
      </c>
      <c r="B121" s="2" t="s">
        <v>88</v>
      </c>
      <c r="C121" s="2"/>
      <c r="D121" s="2"/>
      <c r="E121" s="2"/>
      <c r="F121" s="15" t="e">
        <f t="shared" si="8"/>
        <v>#DIV/0!</v>
      </c>
      <c r="G121" s="19">
        <v>0.5</v>
      </c>
      <c r="H121" s="17" t="e">
        <f t="shared" si="9"/>
        <v>#DIV/0!</v>
      </c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 ht="21" customHeight="1" x14ac:dyDescent="0.3">
      <c r="A122" s="21" cm="1">
        <f t="array" ref="A122">1+COUNT(_xlfn.UNIQUE(_xlfn._xlws.FILTER($F$4:$F$127, $F$4:$F$127 &gt; F122)))</f>
        <v>1</v>
      </c>
      <c r="B122" s="2" t="s">
        <v>41</v>
      </c>
      <c r="C122" s="2"/>
      <c r="D122" s="2"/>
      <c r="E122" s="2"/>
      <c r="F122" s="15" t="e">
        <f t="shared" si="8"/>
        <v>#DIV/0!</v>
      </c>
      <c r="G122" s="19">
        <v>0.5</v>
      </c>
      <c r="H122" s="17" t="e">
        <f t="shared" si="9"/>
        <v>#DIV/0!</v>
      </c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 ht="21" customHeight="1" x14ac:dyDescent="0.3">
      <c r="A123" s="21" cm="1">
        <f t="array" ref="A123">1+COUNT(_xlfn.UNIQUE(_xlfn._xlws.FILTER($F$4:$F$127, $F$4:$F$127 &gt; F123)))</f>
        <v>1</v>
      </c>
      <c r="B123" s="2" t="s">
        <v>53</v>
      </c>
      <c r="C123" s="2"/>
      <c r="D123" s="2"/>
      <c r="E123" s="2"/>
      <c r="F123" s="15" t="e">
        <f t="shared" si="8"/>
        <v>#DIV/0!</v>
      </c>
      <c r="G123" s="19">
        <v>0.5</v>
      </c>
      <c r="H123" s="17" t="e">
        <f t="shared" si="9"/>
        <v>#DIV/0!</v>
      </c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ht="21" customHeight="1" x14ac:dyDescent="0.3">
      <c r="A124" s="21" cm="1">
        <f t="array" ref="A124">1+COUNT(_xlfn.UNIQUE(_xlfn._xlws.FILTER($F$4:$F$127, $F$4:$F$127 &gt; F124)))</f>
        <v>1</v>
      </c>
      <c r="B124" s="2" t="s">
        <v>1</v>
      </c>
      <c r="C124" s="2"/>
      <c r="D124" s="2"/>
      <c r="E124" s="2"/>
      <c r="F124" s="15" t="e">
        <f t="shared" si="8"/>
        <v>#DIV/0!</v>
      </c>
      <c r="G124" s="19">
        <v>0.5</v>
      </c>
      <c r="H124" s="17" t="e">
        <f t="shared" si="9"/>
        <v>#DIV/0!</v>
      </c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 ht="21" customHeight="1" x14ac:dyDescent="0.3">
      <c r="A125" s="21" cm="1">
        <f t="array" ref="A125">1+COUNT(_xlfn.UNIQUE(_xlfn._xlws.FILTER($F$4:$F$127, $F$4:$F$127 &gt; F125)))</f>
        <v>1</v>
      </c>
      <c r="B125" s="2" t="s">
        <v>99</v>
      </c>
      <c r="C125" s="2"/>
      <c r="D125" s="2"/>
      <c r="E125" s="2"/>
      <c r="F125" s="15" t="e">
        <f t="shared" si="8"/>
        <v>#DIV/0!</v>
      </c>
      <c r="G125" s="19">
        <v>0.5</v>
      </c>
      <c r="H125" s="17" t="e">
        <f t="shared" si="9"/>
        <v>#DIV/0!</v>
      </c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 ht="21" customHeight="1" x14ac:dyDescent="0.3">
      <c r="A126" s="21" cm="1">
        <f t="array" ref="A126">1+COUNT(_xlfn.UNIQUE(_xlfn._xlws.FILTER($F$4:$F$127, $F$4:$F$127 &gt; F126)))</f>
        <v>1</v>
      </c>
      <c r="B126" s="2" t="s">
        <v>25</v>
      </c>
      <c r="C126" s="2"/>
      <c r="D126" s="2"/>
      <c r="E126" s="2"/>
      <c r="F126" s="15" t="e">
        <f t="shared" si="8"/>
        <v>#DIV/0!</v>
      </c>
      <c r="G126" s="19">
        <v>0.5</v>
      </c>
      <c r="H126" s="17" t="e">
        <f t="shared" si="9"/>
        <v>#DIV/0!</v>
      </c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 ht="21" customHeight="1" x14ac:dyDescent="0.3">
      <c r="A127" s="21" cm="1">
        <f t="array" ref="A127">1+COUNT(_xlfn.UNIQUE(_xlfn._xlws.FILTER($F$4:$F$127, $F$4:$F$127 &gt; F127)))</f>
        <v>1</v>
      </c>
      <c r="B127" s="2" t="s">
        <v>121</v>
      </c>
      <c r="C127" s="2"/>
      <c r="D127" s="2"/>
      <c r="E127" s="2"/>
      <c r="F127" s="15" t="e">
        <f t="shared" si="8"/>
        <v>#DIV/0!</v>
      </c>
      <c r="G127" s="19">
        <v>0.5</v>
      </c>
      <c r="H127" s="17" t="e">
        <f t="shared" si="9"/>
        <v>#DIV/0!</v>
      </c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ht="21" customHeight="1" x14ac:dyDescent="0.3">
      <c r="A128" s="22"/>
      <c r="B128" s="18"/>
      <c r="C128" s="18"/>
      <c r="D128" s="18"/>
      <c r="E128" s="18"/>
      <c r="F128" s="18"/>
      <c r="G128" s="18"/>
      <c r="H128" s="20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ht="21" customHeight="1" x14ac:dyDescent="0.3">
      <c r="A129" s="22"/>
      <c r="B129" s="18"/>
      <c r="C129" s="18"/>
      <c r="D129" s="18"/>
      <c r="E129" s="18"/>
      <c r="F129" s="18"/>
      <c r="G129" s="18"/>
      <c r="H129" s="20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ht="21" customHeight="1" x14ac:dyDescent="0.3">
      <c r="A130" s="22"/>
      <c r="B130" s="18"/>
      <c r="C130" s="18"/>
      <c r="D130" s="18"/>
      <c r="E130" s="18"/>
      <c r="F130" s="18"/>
      <c r="G130" s="18"/>
      <c r="H130" s="20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ht="21" customHeight="1" x14ac:dyDescent="0.3">
      <c r="A131" s="22"/>
      <c r="B131" s="18"/>
      <c r="C131" s="18"/>
      <c r="D131" s="18"/>
      <c r="E131" s="18"/>
      <c r="F131" s="18"/>
      <c r="G131" s="18"/>
      <c r="H131" s="20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 ht="21" customHeight="1" x14ac:dyDescent="0.3">
      <c r="A132" s="22"/>
      <c r="B132" s="18"/>
      <c r="C132" s="18"/>
      <c r="D132" s="18"/>
      <c r="E132" s="18"/>
      <c r="F132" s="18"/>
      <c r="G132" s="18"/>
      <c r="H132" s="20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ht="21" customHeight="1" x14ac:dyDescent="0.3">
      <c r="A133" s="22"/>
      <c r="B133" s="18"/>
      <c r="C133" s="18"/>
      <c r="D133" s="18"/>
      <c r="E133" s="18"/>
      <c r="F133" s="18"/>
      <c r="G133" s="18"/>
      <c r="H133" s="20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 ht="21" customHeight="1" x14ac:dyDescent="0.3">
      <c r="A134" s="22"/>
      <c r="B134" s="18"/>
      <c r="C134" s="18"/>
      <c r="D134" s="18"/>
      <c r="E134" s="18"/>
      <c r="F134" s="18"/>
      <c r="G134" s="18"/>
      <c r="H134" s="20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 ht="21" customHeight="1" x14ac:dyDescent="0.3">
      <c r="A135" s="22"/>
      <c r="B135" s="18"/>
      <c r="C135" s="18"/>
      <c r="D135" s="18"/>
      <c r="E135" s="18"/>
      <c r="F135" s="18"/>
      <c r="G135" s="18"/>
      <c r="H135" s="20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 ht="21" customHeight="1" x14ac:dyDescent="0.3">
      <c r="A136" s="22"/>
      <c r="B136" s="18"/>
      <c r="C136" s="18"/>
      <c r="D136" s="18"/>
      <c r="E136" s="18"/>
      <c r="F136" s="18"/>
      <c r="G136" s="18"/>
      <c r="H136" s="20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 ht="21" customHeight="1" x14ac:dyDescent="0.3">
      <c r="A137" s="22"/>
      <c r="B137" s="18"/>
      <c r="C137" s="18"/>
      <c r="D137" s="18"/>
      <c r="E137" s="18"/>
      <c r="F137" s="18"/>
      <c r="G137" s="18"/>
      <c r="H137" s="20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ht="21" customHeight="1" x14ac:dyDescent="0.3">
      <c r="A138" s="22"/>
      <c r="B138" s="18"/>
      <c r="C138" s="18"/>
      <c r="D138" s="18"/>
      <c r="E138" s="18"/>
      <c r="F138" s="18"/>
      <c r="G138" s="18"/>
      <c r="H138" s="20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 ht="21" customHeight="1" x14ac:dyDescent="0.3">
      <c r="A139" s="22"/>
      <c r="B139" s="18"/>
      <c r="C139" s="18"/>
      <c r="D139" s="18"/>
      <c r="E139" s="18"/>
      <c r="F139" s="18"/>
      <c r="G139" s="18"/>
      <c r="H139" s="20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 ht="21" customHeight="1" x14ac:dyDescent="0.3">
      <c r="A140" s="22"/>
      <c r="B140" s="18"/>
      <c r="C140" s="18"/>
      <c r="D140" s="18"/>
      <c r="E140" s="18"/>
      <c r="F140" s="18"/>
      <c r="G140" s="18"/>
      <c r="H140" s="20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21" customHeight="1" x14ac:dyDescent="0.3">
      <c r="A141" s="22"/>
      <c r="B141" s="18"/>
      <c r="C141" s="18"/>
      <c r="D141" s="18"/>
      <c r="E141" s="18"/>
      <c r="F141" s="18"/>
      <c r="G141" s="18"/>
      <c r="H141" s="20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 ht="21" customHeight="1" x14ac:dyDescent="0.3">
      <c r="A142" s="22"/>
      <c r="B142" s="18"/>
      <c r="C142" s="18"/>
      <c r="D142" s="18"/>
      <c r="E142" s="18"/>
      <c r="F142" s="18"/>
      <c r="G142" s="18"/>
      <c r="H142" s="20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ht="21" customHeight="1" x14ac:dyDescent="0.3">
      <c r="A143" s="22"/>
      <c r="B143" s="18"/>
      <c r="C143" s="18"/>
      <c r="D143" s="18"/>
      <c r="E143" s="18"/>
      <c r="F143" s="18"/>
      <c r="G143" s="18"/>
      <c r="H143" s="20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 ht="21" customHeight="1" x14ac:dyDescent="0.3">
      <c r="A144" s="22"/>
      <c r="B144" s="18"/>
      <c r="C144" s="18"/>
      <c r="D144" s="18"/>
      <c r="E144" s="18"/>
      <c r="F144" s="18"/>
      <c r="G144" s="18"/>
      <c r="H144" s="20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ht="21" customHeight="1" x14ac:dyDescent="0.3">
      <c r="A145" s="22"/>
      <c r="B145" s="18"/>
      <c r="C145" s="18"/>
      <c r="D145" s="18"/>
      <c r="E145" s="18"/>
      <c r="F145" s="18"/>
      <c r="G145" s="18"/>
      <c r="H145" s="20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 ht="21" customHeight="1" x14ac:dyDescent="0.3">
      <c r="A146" s="22"/>
      <c r="B146" s="18"/>
      <c r="C146" s="18"/>
      <c r="D146" s="18"/>
      <c r="E146" s="18"/>
      <c r="F146" s="18"/>
      <c r="G146" s="18"/>
      <c r="H146" s="20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 ht="21" customHeight="1" x14ac:dyDescent="0.3">
      <c r="A147" s="22"/>
      <c r="B147" s="18"/>
      <c r="C147" s="18"/>
      <c r="D147" s="18"/>
      <c r="E147" s="18"/>
      <c r="F147" s="18"/>
      <c r="G147" s="18"/>
      <c r="H147" s="20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ht="21" customHeight="1" x14ac:dyDescent="0.3">
      <c r="A148" s="22"/>
      <c r="B148" s="18"/>
      <c r="C148" s="18"/>
      <c r="D148" s="18"/>
      <c r="E148" s="18"/>
      <c r="F148" s="18"/>
      <c r="G148" s="18"/>
      <c r="H148" s="20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ht="21" customHeight="1" x14ac:dyDescent="0.3">
      <c r="A149" s="22"/>
      <c r="B149" s="18"/>
      <c r="C149" s="18"/>
      <c r="D149" s="18"/>
      <c r="E149" s="18"/>
      <c r="F149" s="18"/>
      <c r="G149" s="18"/>
      <c r="H149" s="20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 ht="21" customHeight="1" x14ac:dyDescent="0.3">
      <c r="A150" s="22"/>
      <c r="B150" s="18"/>
      <c r="C150" s="18"/>
      <c r="D150" s="18"/>
      <c r="E150" s="18"/>
      <c r="F150" s="18"/>
      <c r="G150" s="18"/>
      <c r="H150" s="20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ht="21" customHeight="1" x14ac:dyDescent="0.3">
      <c r="A151" s="22"/>
      <c r="B151" s="18"/>
      <c r="C151" s="18"/>
      <c r="D151" s="18"/>
      <c r="E151" s="18"/>
      <c r="F151" s="18"/>
      <c r="G151" s="18"/>
      <c r="H151" s="20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 ht="21" customHeight="1" x14ac:dyDescent="0.3">
      <c r="A152" s="22"/>
      <c r="B152" s="18"/>
      <c r="C152" s="18"/>
      <c r="D152" s="18"/>
      <c r="E152" s="18"/>
      <c r="F152" s="18"/>
      <c r="G152" s="18"/>
      <c r="H152" s="20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 ht="21" customHeight="1" x14ac:dyDescent="0.3">
      <c r="A153" s="22"/>
      <c r="B153" s="18"/>
      <c r="C153" s="18"/>
      <c r="D153" s="18"/>
      <c r="E153" s="18"/>
      <c r="F153" s="18"/>
      <c r="G153" s="18"/>
      <c r="H153" s="20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 ht="21" customHeight="1" x14ac:dyDescent="0.3">
      <c r="A154" s="22"/>
      <c r="B154" s="18"/>
      <c r="C154" s="18"/>
      <c r="D154" s="18"/>
      <c r="E154" s="18"/>
      <c r="F154" s="18"/>
      <c r="G154" s="18"/>
      <c r="H154" s="20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 ht="21" customHeight="1" x14ac:dyDescent="0.3">
      <c r="A155" s="22"/>
      <c r="B155" s="18"/>
      <c r="C155" s="18"/>
      <c r="D155" s="18"/>
      <c r="E155" s="18"/>
      <c r="F155" s="18"/>
      <c r="G155" s="18"/>
      <c r="H155" s="20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 ht="21" customHeight="1" x14ac:dyDescent="0.3">
      <c r="A156" s="22"/>
      <c r="B156" s="18"/>
      <c r="C156" s="18"/>
      <c r="D156" s="18"/>
      <c r="E156" s="18"/>
      <c r="F156" s="18"/>
      <c r="G156" s="18"/>
      <c r="H156" s="20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 ht="21" customHeight="1" x14ac:dyDescent="0.3">
      <c r="A157" s="22"/>
      <c r="B157" s="18"/>
      <c r="C157" s="18"/>
      <c r="D157" s="18"/>
      <c r="E157" s="18"/>
      <c r="F157" s="18"/>
      <c r="G157" s="18"/>
      <c r="H157" s="20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 ht="21" customHeight="1" x14ac:dyDescent="0.3">
      <c r="A158" s="22"/>
      <c r="B158" s="18"/>
      <c r="C158" s="18"/>
      <c r="D158" s="18"/>
      <c r="E158" s="18"/>
      <c r="F158" s="18"/>
      <c r="G158" s="18"/>
      <c r="H158" s="20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 ht="21" customHeight="1" x14ac:dyDescent="0.3">
      <c r="A159" s="22"/>
      <c r="B159" s="18"/>
      <c r="C159" s="18"/>
      <c r="D159" s="18"/>
      <c r="E159" s="18"/>
      <c r="F159" s="18"/>
      <c r="G159" s="18"/>
      <c r="H159" s="20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ht="21" customHeight="1" x14ac:dyDescent="0.3">
      <c r="A160" s="22"/>
      <c r="B160" s="18"/>
      <c r="C160" s="18"/>
      <c r="D160" s="18"/>
      <c r="E160" s="18"/>
      <c r="F160" s="18"/>
      <c r="G160" s="18"/>
      <c r="H160" s="20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 ht="21" customHeight="1" x14ac:dyDescent="0.3">
      <c r="A161" s="22"/>
      <c r="B161" s="18"/>
      <c r="C161" s="18"/>
      <c r="D161" s="18"/>
      <c r="E161" s="18"/>
      <c r="F161" s="18"/>
      <c r="G161" s="18"/>
      <c r="H161" s="20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 ht="21" customHeight="1" x14ac:dyDescent="0.3">
      <c r="A162" s="22"/>
      <c r="B162" s="18"/>
      <c r="C162" s="18"/>
      <c r="D162" s="18"/>
      <c r="E162" s="18"/>
      <c r="F162" s="18"/>
      <c r="G162" s="18"/>
      <c r="H162" s="20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 ht="21" customHeight="1" x14ac:dyDescent="0.3">
      <c r="A163" s="22"/>
      <c r="B163" s="18"/>
      <c r="C163" s="18"/>
      <c r="D163" s="18"/>
      <c r="E163" s="18"/>
      <c r="F163" s="18"/>
      <c r="G163" s="18"/>
      <c r="H163" s="20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ht="21" customHeight="1" x14ac:dyDescent="0.3">
      <c r="A164" s="22"/>
      <c r="B164" s="18"/>
      <c r="C164" s="18"/>
      <c r="D164" s="18"/>
      <c r="E164" s="18"/>
      <c r="F164" s="18"/>
      <c r="G164" s="18"/>
      <c r="H164" s="20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21" customHeight="1" x14ac:dyDescent="0.3">
      <c r="A165" s="22"/>
      <c r="B165" s="18"/>
      <c r="C165" s="18"/>
      <c r="D165" s="18"/>
      <c r="E165" s="18"/>
      <c r="F165" s="18"/>
      <c r="G165" s="18"/>
      <c r="H165" s="20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 ht="21" customHeight="1" x14ac:dyDescent="0.3">
      <c r="A166" s="22"/>
      <c r="B166" s="18"/>
      <c r="C166" s="18"/>
      <c r="D166" s="18"/>
      <c r="E166" s="18"/>
      <c r="F166" s="18"/>
      <c r="G166" s="18"/>
      <c r="H166" s="20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 x14ac:dyDescent="0.3">
      <c r="A167" s="22"/>
      <c r="B167" s="18"/>
      <c r="C167" s="18"/>
      <c r="D167" s="18"/>
      <c r="E167" s="18"/>
      <c r="F167" s="18"/>
      <c r="G167" s="18"/>
      <c r="H167" s="20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 x14ac:dyDescent="0.3">
      <c r="A168" s="22"/>
      <c r="B168" s="18"/>
      <c r="C168" s="18"/>
      <c r="D168" s="18"/>
      <c r="E168" s="18"/>
      <c r="F168" s="18"/>
      <c r="G168" s="18"/>
      <c r="H168" s="20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 x14ac:dyDescent="0.3">
      <c r="A169" s="22"/>
      <c r="B169" s="18"/>
      <c r="C169" s="18"/>
      <c r="D169" s="18"/>
      <c r="E169" s="18"/>
      <c r="F169" s="18"/>
      <c r="G169" s="18"/>
      <c r="H169" s="20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x14ac:dyDescent="0.3">
      <c r="A170" s="22"/>
      <c r="B170" s="18"/>
      <c r="C170" s="18"/>
      <c r="D170" s="18"/>
      <c r="E170" s="18"/>
      <c r="F170" s="18"/>
      <c r="G170" s="18"/>
      <c r="H170" s="20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x14ac:dyDescent="0.3">
      <c r="A171" s="22"/>
      <c r="B171" s="18"/>
      <c r="C171" s="18"/>
      <c r="D171" s="18"/>
      <c r="E171" s="18"/>
      <c r="F171" s="18"/>
      <c r="G171" s="18"/>
      <c r="H171" s="20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x14ac:dyDescent="0.3">
      <c r="A172" s="22"/>
      <c r="B172" s="18"/>
      <c r="C172" s="18"/>
      <c r="D172" s="18"/>
      <c r="E172" s="18"/>
      <c r="F172" s="18"/>
      <c r="G172" s="18"/>
      <c r="H172" s="20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 x14ac:dyDescent="0.3">
      <c r="A173" s="22"/>
      <c r="B173" s="18"/>
      <c r="C173" s="18"/>
      <c r="D173" s="18"/>
      <c r="E173" s="18"/>
      <c r="F173" s="18"/>
      <c r="G173" s="18"/>
      <c r="H173" s="20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x14ac:dyDescent="0.3">
      <c r="A174" s="22"/>
      <c r="B174" s="18"/>
      <c r="C174" s="18"/>
      <c r="D174" s="18"/>
      <c r="E174" s="18"/>
      <c r="F174" s="18"/>
      <c r="G174" s="18"/>
      <c r="H174" s="20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x14ac:dyDescent="0.3">
      <c r="A175" s="22"/>
      <c r="B175" s="18"/>
      <c r="C175" s="18"/>
      <c r="D175" s="18"/>
      <c r="E175" s="18"/>
      <c r="F175" s="18"/>
      <c r="G175" s="18"/>
      <c r="H175" s="20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x14ac:dyDescent="0.3">
      <c r="A176" s="22"/>
      <c r="B176" s="18"/>
      <c r="C176" s="18"/>
      <c r="D176" s="18"/>
      <c r="E176" s="18"/>
      <c r="F176" s="18"/>
      <c r="G176" s="18"/>
      <c r="H176" s="20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x14ac:dyDescent="0.3">
      <c r="A177" s="22"/>
      <c r="B177" s="18"/>
      <c r="C177" s="18"/>
      <c r="D177" s="18"/>
      <c r="E177" s="18"/>
      <c r="F177" s="18"/>
      <c r="G177" s="18"/>
      <c r="H177" s="20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 x14ac:dyDescent="0.3">
      <c r="A178" s="22"/>
      <c r="B178" s="18"/>
      <c r="C178" s="18"/>
      <c r="D178" s="18"/>
      <c r="E178" s="18"/>
      <c r="F178" s="18"/>
      <c r="G178" s="18"/>
      <c r="H178" s="20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 x14ac:dyDescent="0.3">
      <c r="A179" s="22"/>
      <c r="B179" s="18"/>
      <c r="C179" s="18"/>
      <c r="D179" s="18"/>
      <c r="E179" s="18"/>
      <c r="F179" s="18"/>
      <c r="G179" s="18"/>
      <c r="H179" s="20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 x14ac:dyDescent="0.3">
      <c r="A180" s="22"/>
      <c r="B180" s="18"/>
      <c r="C180" s="18"/>
      <c r="D180" s="18"/>
      <c r="E180" s="18"/>
      <c r="F180" s="18"/>
      <c r="G180" s="18"/>
      <c r="H180" s="20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x14ac:dyDescent="0.3">
      <c r="A181" s="22"/>
      <c r="B181" s="18"/>
      <c r="C181" s="18"/>
      <c r="D181" s="18"/>
      <c r="E181" s="18"/>
      <c r="F181" s="18"/>
      <c r="G181" s="18"/>
      <c r="H181" s="20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 x14ac:dyDescent="0.3">
      <c r="A182" s="22"/>
      <c r="B182" s="18"/>
      <c r="C182" s="18"/>
      <c r="D182" s="18"/>
      <c r="E182" s="18"/>
      <c r="F182" s="18"/>
      <c r="G182" s="18"/>
      <c r="H182" s="20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 x14ac:dyDescent="0.3">
      <c r="A183" s="22"/>
      <c r="B183" s="18"/>
      <c r="C183" s="18"/>
      <c r="D183" s="18"/>
      <c r="E183" s="18"/>
      <c r="F183" s="18"/>
      <c r="G183" s="18"/>
      <c r="H183" s="20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 x14ac:dyDescent="0.3">
      <c r="A184" s="22"/>
      <c r="B184" s="18"/>
      <c r="C184" s="18"/>
      <c r="D184" s="18"/>
      <c r="E184" s="18"/>
      <c r="F184" s="18"/>
      <c r="G184" s="18"/>
      <c r="H184" s="20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 x14ac:dyDescent="0.3">
      <c r="A185" s="22"/>
      <c r="B185" s="18"/>
      <c r="C185" s="18"/>
      <c r="D185" s="18"/>
      <c r="E185" s="18"/>
      <c r="F185" s="18"/>
      <c r="G185" s="18"/>
      <c r="H185" s="20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 x14ac:dyDescent="0.3">
      <c r="A186" s="22"/>
      <c r="B186" s="18"/>
      <c r="C186" s="18"/>
      <c r="D186" s="18"/>
      <c r="E186" s="18"/>
      <c r="F186" s="18"/>
      <c r="G186" s="18"/>
      <c r="H186" s="20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 x14ac:dyDescent="0.3">
      <c r="A187" s="22"/>
      <c r="B187" s="18"/>
      <c r="C187" s="18"/>
      <c r="D187" s="18"/>
      <c r="E187" s="18"/>
      <c r="F187" s="18"/>
      <c r="G187" s="18"/>
      <c r="H187" s="20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1:25" x14ac:dyDescent="0.3">
      <c r="A188" s="22"/>
      <c r="B188" s="18"/>
      <c r="C188" s="18"/>
      <c r="D188" s="18"/>
      <c r="E188" s="18"/>
      <c r="F188" s="18"/>
      <c r="G188" s="18"/>
      <c r="H188" s="20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1:25" x14ac:dyDescent="0.3">
      <c r="A189" s="22"/>
      <c r="B189" s="18"/>
      <c r="C189" s="18"/>
      <c r="D189" s="18"/>
      <c r="E189" s="18"/>
      <c r="F189" s="18"/>
      <c r="G189" s="18"/>
      <c r="H189" s="20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1:25" x14ac:dyDescent="0.3">
      <c r="A190" s="22"/>
      <c r="B190" s="18"/>
      <c r="C190" s="18"/>
      <c r="D190" s="18"/>
      <c r="E190" s="18"/>
      <c r="F190" s="18"/>
      <c r="G190" s="18"/>
      <c r="H190" s="20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spans="1:25" x14ac:dyDescent="0.3">
      <c r="A191" s="22"/>
      <c r="B191" s="18"/>
      <c r="C191" s="18"/>
      <c r="D191" s="18"/>
      <c r="E191" s="18"/>
      <c r="F191" s="18"/>
      <c r="G191" s="18"/>
      <c r="H191" s="20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25" x14ac:dyDescent="0.3">
      <c r="A192" s="22"/>
      <c r="B192" s="18"/>
      <c r="C192" s="18"/>
      <c r="D192" s="18"/>
      <c r="E192" s="18"/>
      <c r="F192" s="18"/>
      <c r="G192" s="18"/>
      <c r="H192" s="20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 x14ac:dyDescent="0.3">
      <c r="A193" s="22"/>
      <c r="B193" s="18"/>
      <c r="C193" s="18"/>
      <c r="D193" s="18"/>
      <c r="E193" s="18"/>
      <c r="F193" s="18"/>
      <c r="G193" s="18"/>
      <c r="H193" s="20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 x14ac:dyDescent="0.3">
      <c r="A194" s="22"/>
      <c r="B194" s="18"/>
      <c r="C194" s="18"/>
      <c r="D194" s="18"/>
      <c r="E194" s="18"/>
      <c r="F194" s="18"/>
      <c r="G194" s="18"/>
      <c r="H194" s="20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 x14ac:dyDescent="0.3">
      <c r="A195" s="22"/>
      <c r="B195" s="18"/>
      <c r="C195" s="18"/>
      <c r="D195" s="18"/>
      <c r="E195" s="18"/>
      <c r="F195" s="18"/>
      <c r="G195" s="18"/>
      <c r="H195" s="20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 x14ac:dyDescent="0.3">
      <c r="A196" s="22"/>
      <c r="B196" s="18"/>
      <c r="C196" s="18"/>
      <c r="D196" s="18"/>
      <c r="E196" s="18"/>
      <c r="F196" s="18"/>
      <c r="G196" s="18"/>
      <c r="H196" s="20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 x14ac:dyDescent="0.3">
      <c r="A197" s="22"/>
      <c r="B197" s="18"/>
      <c r="C197" s="18"/>
      <c r="D197" s="18"/>
      <c r="E197" s="18"/>
      <c r="F197" s="18"/>
      <c r="G197" s="18"/>
      <c r="H197" s="20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 x14ac:dyDescent="0.3">
      <c r="A198" s="22"/>
      <c r="B198" s="18"/>
      <c r="C198" s="18"/>
      <c r="D198" s="18"/>
      <c r="E198" s="18"/>
      <c r="F198" s="18"/>
      <c r="G198" s="18"/>
      <c r="H198" s="20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 x14ac:dyDescent="0.3">
      <c r="A199" s="22"/>
      <c r="B199" s="18"/>
      <c r="C199" s="18"/>
      <c r="D199" s="18"/>
      <c r="E199" s="18"/>
      <c r="F199" s="18"/>
      <c r="G199" s="18"/>
      <c r="H199" s="20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 x14ac:dyDescent="0.3">
      <c r="A200" s="22"/>
      <c r="B200" s="18"/>
      <c r="C200" s="18"/>
      <c r="D200" s="18"/>
      <c r="E200" s="18"/>
      <c r="F200" s="18"/>
      <c r="G200" s="18"/>
      <c r="H200" s="20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x14ac:dyDescent="0.3">
      <c r="A201" s="22"/>
      <c r="B201" s="18"/>
      <c r="C201" s="18"/>
      <c r="D201" s="18"/>
      <c r="E201" s="18"/>
      <c r="F201" s="18"/>
      <c r="G201" s="18"/>
      <c r="H201" s="20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 x14ac:dyDescent="0.3">
      <c r="A202" s="22"/>
      <c r="B202" s="18"/>
      <c r="C202" s="18"/>
      <c r="D202" s="18"/>
      <c r="E202" s="18"/>
      <c r="F202" s="18"/>
      <c r="G202" s="18"/>
      <c r="H202" s="20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x14ac:dyDescent="0.3">
      <c r="A203" s="22"/>
      <c r="B203" s="18"/>
      <c r="C203" s="18"/>
      <c r="D203" s="18"/>
      <c r="E203" s="18"/>
      <c r="F203" s="18"/>
      <c r="G203" s="18"/>
      <c r="H203" s="20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 x14ac:dyDescent="0.3">
      <c r="A204" s="22"/>
      <c r="B204" s="18"/>
      <c r="C204" s="18"/>
      <c r="D204" s="18"/>
      <c r="E204" s="18"/>
      <c r="F204" s="18"/>
      <c r="G204" s="18"/>
      <c r="H204" s="20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 x14ac:dyDescent="0.3">
      <c r="A205" s="22"/>
      <c r="B205" s="18"/>
      <c r="C205" s="18"/>
      <c r="D205" s="18"/>
      <c r="E205" s="18"/>
      <c r="F205" s="18"/>
      <c r="G205" s="18"/>
      <c r="H205" s="20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 x14ac:dyDescent="0.3">
      <c r="A206" s="22"/>
      <c r="B206" s="18"/>
      <c r="C206" s="18"/>
      <c r="D206" s="18"/>
      <c r="E206" s="18"/>
      <c r="F206" s="18"/>
      <c r="G206" s="18"/>
      <c r="H206" s="20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 x14ac:dyDescent="0.3">
      <c r="A207" s="22"/>
      <c r="B207" s="18"/>
      <c r="C207" s="18"/>
      <c r="D207" s="18"/>
      <c r="E207" s="18"/>
      <c r="F207" s="18"/>
      <c r="G207" s="18"/>
      <c r="H207" s="20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 x14ac:dyDescent="0.3">
      <c r="A208" s="22"/>
      <c r="B208" s="18"/>
      <c r="C208" s="18"/>
      <c r="D208" s="18"/>
      <c r="E208" s="18"/>
      <c r="F208" s="18"/>
      <c r="G208" s="18"/>
      <c r="H208" s="20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 x14ac:dyDescent="0.3">
      <c r="A209" s="22"/>
      <c r="B209" s="18"/>
      <c r="C209" s="18"/>
      <c r="D209" s="18"/>
      <c r="E209" s="18"/>
      <c r="F209" s="18"/>
      <c r="G209" s="18"/>
      <c r="H209" s="20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 x14ac:dyDescent="0.3">
      <c r="A210" s="22"/>
      <c r="B210" s="18"/>
      <c r="C210" s="18"/>
      <c r="D210" s="18"/>
      <c r="E210" s="18"/>
      <c r="F210" s="18"/>
      <c r="G210" s="18"/>
      <c r="H210" s="20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 x14ac:dyDescent="0.3">
      <c r="A211" s="22"/>
      <c r="B211" s="18"/>
      <c r="C211" s="18"/>
      <c r="D211" s="18"/>
      <c r="E211" s="18"/>
      <c r="F211" s="18"/>
      <c r="G211" s="18"/>
      <c r="H211" s="20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 x14ac:dyDescent="0.3">
      <c r="A212" s="22"/>
      <c r="B212" s="18"/>
      <c r="C212" s="18"/>
      <c r="D212" s="18"/>
      <c r="E212" s="18"/>
      <c r="F212" s="18"/>
      <c r="G212" s="18"/>
      <c r="H212" s="20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x14ac:dyDescent="0.3">
      <c r="A213" s="22"/>
      <c r="B213" s="18"/>
      <c r="C213" s="18"/>
      <c r="D213" s="18"/>
      <c r="E213" s="18"/>
      <c r="F213" s="18"/>
      <c r="G213" s="18"/>
      <c r="H213" s="20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 x14ac:dyDescent="0.3">
      <c r="A214" s="22"/>
      <c r="B214" s="18"/>
      <c r="C214" s="18"/>
      <c r="D214" s="18"/>
      <c r="E214" s="18"/>
      <c r="F214" s="18"/>
      <c r="G214" s="18"/>
      <c r="H214" s="20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 x14ac:dyDescent="0.3">
      <c r="A215" s="22"/>
      <c r="B215" s="18"/>
      <c r="C215" s="18"/>
      <c r="D215" s="18"/>
      <c r="E215" s="18"/>
      <c r="F215" s="18"/>
      <c r="G215" s="18"/>
      <c r="H215" s="20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 x14ac:dyDescent="0.3">
      <c r="A216" s="22"/>
      <c r="B216" s="18"/>
      <c r="C216" s="18"/>
      <c r="D216" s="18"/>
      <c r="E216" s="18"/>
      <c r="F216" s="18"/>
      <c r="G216" s="18"/>
      <c r="H216" s="20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 x14ac:dyDescent="0.3">
      <c r="A217" s="22"/>
      <c r="B217" s="18"/>
      <c r="C217" s="18"/>
      <c r="D217" s="18"/>
      <c r="E217" s="18"/>
      <c r="F217" s="18"/>
      <c r="G217" s="18"/>
      <c r="H217" s="20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 x14ac:dyDescent="0.3">
      <c r="A218" s="22"/>
      <c r="B218" s="18"/>
      <c r="C218" s="18"/>
      <c r="D218" s="18"/>
      <c r="E218" s="18"/>
      <c r="F218" s="18"/>
      <c r="G218" s="18"/>
      <c r="H218" s="20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x14ac:dyDescent="0.3">
      <c r="A219" s="22"/>
      <c r="B219" s="18"/>
      <c r="C219" s="18"/>
      <c r="D219" s="18"/>
      <c r="E219" s="18"/>
      <c r="F219" s="18"/>
      <c r="G219" s="18"/>
      <c r="H219" s="20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 x14ac:dyDescent="0.3">
      <c r="A220" s="22"/>
      <c r="B220" s="18"/>
      <c r="C220" s="18"/>
      <c r="D220" s="18"/>
      <c r="E220" s="18"/>
      <c r="F220" s="18"/>
      <c r="G220" s="18"/>
      <c r="H220" s="20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 x14ac:dyDescent="0.3">
      <c r="A221" s="22"/>
      <c r="B221" s="18"/>
      <c r="C221" s="18"/>
      <c r="D221" s="18"/>
      <c r="E221" s="18"/>
      <c r="F221" s="18"/>
      <c r="G221" s="18"/>
      <c r="H221" s="20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x14ac:dyDescent="0.3">
      <c r="A222" s="22"/>
      <c r="B222" s="18"/>
      <c r="C222" s="18"/>
      <c r="D222" s="18"/>
      <c r="E222" s="18"/>
      <c r="F222" s="18"/>
      <c r="G222" s="18"/>
      <c r="H222" s="20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x14ac:dyDescent="0.3">
      <c r="A223" s="22"/>
      <c r="B223" s="18"/>
      <c r="C223" s="18"/>
      <c r="D223" s="18"/>
      <c r="E223" s="18"/>
      <c r="F223" s="18"/>
      <c r="G223" s="18"/>
      <c r="H223" s="20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x14ac:dyDescent="0.3">
      <c r="A224" s="22"/>
      <c r="B224" s="18"/>
      <c r="C224" s="18"/>
      <c r="D224" s="18"/>
      <c r="E224" s="18"/>
      <c r="F224" s="18"/>
      <c r="G224" s="18"/>
      <c r="H224" s="20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x14ac:dyDescent="0.3">
      <c r="A225" s="22"/>
      <c r="B225" s="18"/>
      <c r="C225" s="18"/>
      <c r="D225" s="18"/>
      <c r="E225" s="18"/>
      <c r="F225" s="18"/>
      <c r="G225" s="18"/>
      <c r="H225" s="20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x14ac:dyDescent="0.3">
      <c r="A226" s="22"/>
      <c r="B226" s="18"/>
      <c r="C226" s="18"/>
      <c r="D226" s="18"/>
      <c r="E226" s="18"/>
      <c r="F226" s="18"/>
      <c r="G226" s="18"/>
      <c r="H226" s="20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x14ac:dyDescent="0.3">
      <c r="A227" s="22"/>
      <c r="B227" s="18"/>
      <c r="C227" s="18"/>
      <c r="D227" s="18"/>
      <c r="E227" s="18"/>
      <c r="F227" s="18"/>
      <c r="G227" s="18"/>
      <c r="H227" s="20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x14ac:dyDescent="0.3">
      <c r="A228" s="22"/>
      <c r="B228" s="18"/>
      <c r="C228" s="18"/>
      <c r="D228" s="18"/>
      <c r="E228" s="18"/>
      <c r="F228" s="18"/>
      <c r="G228" s="18"/>
      <c r="H228" s="20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x14ac:dyDescent="0.3">
      <c r="A229" s="22"/>
      <c r="B229" s="18"/>
      <c r="C229" s="18"/>
      <c r="D229" s="18"/>
      <c r="E229" s="18"/>
      <c r="F229" s="18"/>
      <c r="G229" s="18"/>
      <c r="H229" s="20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x14ac:dyDescent="0.3">
      <c r="A230" s="22"/>
      <c r="B230" s="18"/>
      <c r="C230" s="18"/>
      <c r="D230" s="18"/>
      <c r="E230" s="18"/>
      <c r="F230" s="18"/>
      <c r="G230" s="18"/>
      <c r="H230" s="20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x14ac:dyDescent="0.3">
      <c r="A231" s="22"/>
      <c r="B231" s="18"/>
      <c r="C231" s="18"/>
      <c r="D231" s="18"/>
      <c r="E231" s="18"/>
      <c r="F231" s="18"/>
      <c r="G231" s="18"/>
      <c r="H231" s="20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x14ac:dyDescent="0.3">
      <c r="A232" s="22"/>
      <c r="B232" s="18"/>
      <c r="C232" s="18"/>
      <c r="D232" s="18"/>
      <c r="E232" s="18"/>
      <c r="F232" s="18"/>
      <c r="G232" s="18"/>
      <c r="H232" s="20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x14ac:dyDescent="0.3">
      <c r="A233" s="22"/>
      <c r="B233" s="18"/>
      <c r="C233" s="18"/>
      <c r="D233" s="18"/>
      <c r="E233" s="18"/>
      <c r="F233" s="18"/>
      <c r="G233" s="18"/>
      <c r="H233" s="20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x14ac:dyDescent="0.3">
      <c r="A234" s="22"/>
      <c r="B234" s="18"/>
      <c r="C234" s="18"/>
      <c r="D234" s="18"/>
      <c r="E234" s="18"/>
      <c r="F234" s="18"/>
      <c r="G234" s="18"/>
      <c r="H234" s="20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 x14ac:dyDescent="0.3">
      <c r="A235" s="22"/>
      <c r="B235" s="18"/>
      <c r="C235" s="18"/>
      <c r="D235" s="18"/>
      <c r="E235" s="18"/>
      <c r="F235" s="18"/>
      <c r="G235" s="18"/>
      <c r="H235" s="20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x14ac:dyDescent="0.3">
      <c r="A236" s="22"/>
      <c r="B236" s="18"/>
      <c r="C236" s="18"/>
      <c r="D236" s="18"/>
      <c r="E236" s="18"/>
      <c r="F236" s="18"/>
      <c r="G236" s="18"/>
      <c r="H236" s="20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x14ac:dyDescent="0.3">
      <c r="A237" s="22"/>
      <c r="B237" s="18"/>
      <c r="C237" s="18"/>
      <c r="D237" s="18"/>
      <c r="E237" s="18"/>
      <c r="F237" s="18"/>
      <c r="G237" s="18"/>
      <c r="H237" s="20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x14ac:dyDescent="0.3">
      <c r="A238" s="22"/>
      <c r="B238" s="18"/>
      <c r="C238" s="18"/>
      <c r="D238" s="18"/>
      <c r="E238" s="18"/>
      <c r="F238" s="18"/>
      <c r="G238" s="18"/>
      <c r="H238" s="20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x14ac:dyDescent="0.3">
      <c r="A239" s="22"/>
      <c r="B239" s="18"/>
      <c r="C239" s="18"/>
      <c r="D239" s="18"/>
      <c r="E239" s="18"/>
      <c r="F239" s="18"/>
      <c r="G239" s="18"/>
      <c r="H239" s="20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x14ac:dyDescent="0.3">
      <c r="A240" s="22"/>
      <c r="B240" s="18"/>
      <c r="C240" s="18"/>
      <c r="D240" s="18"/>
      <c r="E240" s="18"/>
      <c r="F240" s="18"/>
      <c r="G240" s="18"/>
      <c r="H240" s="20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x14ac:dyDescent="0.3">
      <c r="A241" s="22"/>
      <c r="B241" s="18"/>
      <c r="C241" s="18"/>
      <c r="D241" s="18"/>
      <c r="E241" s="18"/>
      <c r="F241" s="18"/>
      <c r="G241" s="18"/>
      <c r="H241" s="20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x14ac:dyDescent="0.3">
      <c r="A242" s="22"/>
      <c r="B242" s="18"/>
      <c r="C242" s="18"/>
      <c r="D242" s="18"/>
      <c r="E242" s="18"/>
      <c r="F242" s="18"/>
      <c r="G242" s="18"/>
      <c r="H242" s="20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x14ac:dyDescent="0.3">
      <c r="A243" s="22"/>
      <c r="B243" s="18"/>
      <c r="C243" s="18"/>
      <c r="D243" s="18"/>
      <c r="E243" s="18"/>
      <c r="F243" s="18"/>
      <c r="G243" s="18"/>
      <c r="H243" s="20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x14ac:dyDescent="0.3">
      <c r="A244" s="22"/>
      <c r="B244" s="18"/>
      <c r="C244" s="18"/>
      <c r="D244" s="18"/>
      <c r="E244" s="18"/>
      <c r="F244" s="18"/>
      <c r="G244" s="18"/>
      <c r="H244" s="20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x14ac:dyDescent="0.3">
      <c r="A245" s="22"/>
      <c r="B245" s="18"/>
      <c r="C245" s="18"/>
      <c r="D245" s="18"/>
      <c r="E245" s="18"/>
      <c r="F245" s="18"/>
      <c r="G245" s="18"/>
      <c r="H245" s="20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x14ac:dyDescent="0.3">
      <c r="A246" s="22"/>
      <c r="B246" s="18"/>
      <c r="C246" s="18"/>
      <c r="D246" s="18"/>
      <c r="E246" s="18"/>
      <c r="F246" s="18"/>
      <c r="G246" s="18"/>
      <c r="H246" s="20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x14ac:dyDescent="0.3">
      <c r="A247" s="22"/>
      <c r="B247" s="18"/>
      <c r="C247" s="18"/>
      <c r="D247" s="18"/>
      <c r="E247" s="18"/>
      <c r="F247" s="18"/>
      <c r="G247" s="18"/>
      <c r="H247" s="20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x14ac:dyDescent="0.3">
      <c r="A248" s="22"/>
      <c r="B248" s="18"/>
      <c r="C248" s="18"/>
      <c r="D248" s="18"/>
      <c r="E248" s="18"/>
      <c r="F248" s="18"/>
      <c r="G248" s="18"/>
      <c r="H248" s="20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x14ac:dyDescent="0.3">
      <c r="A249" s="22"/>
      <c r="B249" s="18"/>
      <c r="C249" s="18"/>
      <c r="D249" s="18"/>
      <c r="E249" s="18"/>
      <c r="F249" s="18"/>
      <c r="G249" s="18"/>
      <c r="H249" s="20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x14ac:dyDescent="0.3">
      <c r="A250" s="22"/>
      <c r="B250" s="18"/>
      <c r="C250" s="18"/>
      <c r="D250" s="18"/>
      <c r="E250" s="18"/>
      <c r="F250" s="18"/>
      <c r="G250" s="18"/>
      <c r="H250" s="20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x14ac:dyDescent="0.3">
      <c r="A251" s="22"/>
      <c r="B251" s="18"/>
      <c r="C251" s="18"/>
      <c r="D251" s="18"/>
      <c r="E251" s="18"/>
      <c r="F251" s="18"/>
      <c r="G251" s="18"/>
      <c r="H251" s="20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x14ac:dyDescent="0.3">
      <c r="A252" s="22"/>
      <c r="B252" s="18"/>
      <c r="C252" s="18"/>
      <c r="D252" s="18"/>
      <c r="E252" s="18"/>
      <c r="F252" s="18"/>
      <c r="G252" s="18"/>
      <c r="H252" s="20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x14ac:dyDescent="0.3">
      <c r="A253" s="22"/>
      <c r="B253" s="18"/>
      <c r="C253" s="18"/>
      <c r="D253" s="18"/>
      <c r="E253" s="18"/>
      <c r="F253" s="18"/>
      <c r="G253" s="18"/>
      <c r="H253" s="20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x14ac:dyDescent="0.3">
      <c r="A254" s="22"/>
      <c r="B254" s="18"/>
      <c r="C254" s="18"/>
      <c r="D254" s="18"/>
      <c r="E254" s="18"/>
      <c r="F254" s="18"/>
      <c r="G254" s="18"/>
      <c r="H254" s="20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x14ac:dyDescent="0.3">
      <c r="A255" s="22"/>
      <c r="B255" s="18"/>
      <c r="C255" s="18"/>
      <c r="D255" s="18"/>
      <c r="E255" s="18"/>
      <c r="F255" s="18"/>
      <c r="G255" s="18"/>
      <c r="H255" s="20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x14ac:dyDescent="0.3">
      <c r="A256" s="22"/>
      <c r="B256" s="18"/>
      <c r="C256" s="18"/>
      <c r="D256" s="18"/>
      <c r="E256" s="18"/>
      <c r="F256" s="18"/>
      <c r="G256" s="18"/>
      <c r="H256" s="20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x14ac:dyDescent="0.3">
      <c r="A257" s="22"/>
      <c r="B257" s="18"/>
      <c r="C257" s="18"/>
      <c r="D257" s="18"/>
      <c r="E257" s="18"/>
      <c r="F257" s="18"/>
      <c r="G257" s="18"/>
      <c r="H257" s="20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x14ac:dyDescent="0.3">
      <c r="A258" s="22"/>
      <c r="B258" s="18"/>
      <c r="C258" s="18"/>
      <c r="D258" s="18"/>
      <c r="E258" s="18"/>
      <c r="F258" s="18"/>
      <c r="G258" s="18"/>
      <c r="H258" s="20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x14ac:dyDescent="0.3">
      <c r="A259" s="22"/>
      <c r="B259" s="18"/>
      <c r="C259" s="18"/>
      <c r="D259" s="18"/>
      <c r="E259" s="18"/>
      <c r="F259" s="18"/>
      <c r="G259" s="18"/>
      <c r="H259" s="20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x14ac:dyDescent="0.3">
      <c r="A260" s="22"/>
      <c r="B260" s="18"/>
      <c r="C260" s="18"/>
      <c r="D260" s="18"/>
      <c r="E260" s="18"/>
      <c r="F260" s="18"/>
      <c r="G260" s="18"/>
      <c r="H260" s="20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x14ac:dyDescent="0.3">
      <c r="A261" s="22"/>
      <c r="B261" s="18"/>
      <c r="C261" s="18"/>
      <c r="D261" s="18"/>
      <c r="E261" s="18"/>
      <c r="F261" s="18"/>
      <c r="G261" s="18"/>
      <c r="H261" s="20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x14ac:dyDescent="0.3">
      <c r="A262" s="22"/>
      <c r="B262" s="18"/>
      <c r="C262" s="18"/>
      <c r="D262" s="18"/>
      <c r="E262" s="18"/>
      <c r="F262" s="18"/>
      <c r="G262" s="18"/>
      <c r="H262" s="20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x14ac:dyDescent="0.3">
      <c r="A263" s="22"/>
      <c r="B263" s="18"/>
      <c r="C263" s="18"/>
      <c r="D263" s="18"/>
      <c r="E263" s="18"/>
      <c r="F263" s="18"/>
      <c r="G263" s="18"/>
      <c r="H263" s="20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x14ac:dyDescent="0.3">
      <c r="A264" s="22"/>
      <c r="B264" s="18"/>
      <c r="C264" s="18"/>
      <c r="D264" s="18"/>
      <c r="E264" s="18"/>
      <c r="F264" s="18"/>
      <c r="G264" s="18"/>
      <c r="H264" s="20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x14ac:dyDescent="0.3">
      <c r="A265" s="22"/>
      <c r="B265" s="18"/>
      <c r="C265" s="18"/>
      <c r="D265" s="18"/>
      <c r="E265" s="18"/>
      <c r="F265" s="18"/>
      <c r="G265" s="18"/>
      <c r="H265" s="20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x14ac:dyDescent="0.3">
      <c r="A266" s="22"/>
      <c r="B266" s="18"/>
      <c r="C266" s="18"/>
      <c r="D266" s="18"/>
      <c r="E266" s="18"/>
      <c r="F266" s="18"/>
      <c r="G266" s="18"/>
      <c r="H266" s="20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x14ac:dyDescent="0.3">
      <c r="A267" s="22"/>
      <c r="B267" s="18"/>
      <c r="C267" s="18"/>
      <c r="D267" s="18"/>
      <c r="E267" s="18"/>
      <c r="F267" s="18"/>
      <c r="G267" s="18"/>
      <c r="H267" s="20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x14ac:dyDescent="0.3">
      <c r="A268" s="22"/>
      <c r="B268" s="18"/>
      <c r="C268" s="18"/>
      <c r="D268" s="18"/>
      <c r="E268" s="18"/>
      <c r="F268" s="18"/>
      <c r="G268" s="18"/>
      <c r="H268" s="20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x14ac:dyDescent="0.3">
      <c r="A269" s="22"/>
      <c r="B269" s="18"/>
      <c r="C269" s="18"/>
      <c r="D269" s="18"/>
      <c r="E269" s="18"/>
      <c r="F269" s="18"/>
      <c r="G269" s="18"/>
      <c r="H269" s="20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x14ac:dyDescent="0.3">
      <c r="A270" s="22"/>
      <c r="B270" s="18"/>
      <c r="C270" s="18"/>
      <c r="D270" s="18"/>
      <c r="E270" s="18"/>
      <c r="F270" s="18"/>
      <c r="G270" s="18"/>
      <c r="H270" s="20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x14ac:dyDescent="0.3">
      <c r="A271" s="22"/>
      <c r="B271" s="18"/>
      <c r="C271" s="18"/>
      <c r="D271" s="18"/>
      <c r="E271" s="18"/>
      <c r="F271" s="18"/>
      <c r="G271" s="18"/>
      <c r="H271" s="20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x14ac:dyDescent="0.3">
      <c r="A272" s="22"/>
      <c r="B272" s="18"/>
      <c r="C272" s="18"/>
      <c r="D272" s="18"/>
      <c r="E272" s="18"/>
      <c r="F272" s="18"/>
      <c r="G272" s="18"/>
      <c r="H272" s="20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x14ac:dyDescent="0.3">
      <c r="A273" s="22"/>
      <c r="B273" s="18"/>
      <c r="C273" s="18"/>
      <c r="D273" s="18"/>
      <c r="E273" s="18"/>
      <c r="F273" s="18"/>
      <c r="G273" s="18"/>
      <c r="H273" s="20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x14ac:dyDescent="0.3">
      <c r="A274" s="22"/>
      <c r="B274" s="18"/>
      <c r="C274" s="18"/>
      <c r="D274" s="18"/>
      <c r="E274" s="18"/>
      <c r="F274" s="18"/>
      <c r="G274" s="18"/>
      <c r="H274" s="20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x14ac:dyDescent="0.3">
      <c r="A275" s="22"/>
      <c r="B275" s="18"/>
      <c r="C275" s="18"/>
      <c r="D275" s="18"/>
      <c r="E275" s="18"/>
      <c r="F275" s="18"/>
      <c r="G275" s="18"/>
      <c r="H275" s="20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x14ac:dyDescent="0.3">
      <c r="A276" s="22"/>
      <c r="B276" s="18"/>
      <c r="C276" s="18"/>
      <c r="D276" s="18"/>
      <c r="E276" s="18"/>
      <c r="F276" s="18"/>
      <c r="G276" s="18"/>
      <c r="H276" s="20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x14ac:dyDescent="0.3">
      <c r="A277" s="22"/>
      <c r="B277" s="18"/>
      <c r="C277" s="18"/>
      <c r="D277" s="18"/>
      <c r="E277" s="18"/>
      <c r="F277" s="18"/>
      <c r="G277" s="18"/>
      <c r="H277" s="20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x14ac:dyDescent="0.3">
      <c r="A278" s="22"/>
      <c r="B278" s="18"/>
      <c r="C278" s="18"/>
      <c r="D278" s="18"/>
      <c r="E278" s="18"/>
      <c r="F278" s="18"/>
      <c r="G278" s="18"/>
      <c r="H278" s="20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x14ac:dyDescent="0.3">
      <c r="A279" s="22"/>
      <c r="B279" s="18"/>
      <c r="C279" s="18"/>
      <c r="D279" s="18"/>
      <c r="E279" s="18"/>
      <c r="F279" s="18"/>
      <c r="G279" s="18"/>
      <c r="H279" s="20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x14ac:dyDescent="0.3">
      <c r="A280" s="22"/>
      <c r="B280" s="18"/>
      <c r="C280" s="18"/>
      <c r="D280" s="18"/>
      <c r="E280" s="18"/>
      <c r="F280" s="18"/>
      <c r="G280" s="18"/>
      <c r="H280" s="20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x14ac:dyDescent="0.3">
      <c r="A281" s="22"/>
      <c r="B281" s="18"/>
      <c r="C281" s="18"/>
      <c r="D281" s="18"/>
      <c r="E281" s="18"/>
      <c r="F281" s="18"/>
      <c r="G281" s="18"/>
      <c r="H281" s="20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x14ac:dyDescent="0.3">
      <c r="A282" s="22"/>
      <c r="B282" s="18"/>
      <c r="C282" s="18"/>
      <c r="D282" s="18"/>
      <c r="E282" s="18"/>
      <c r="F282" s="18"/>
      <c r="G282" s="18"/>
      <c r="H282" s="20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x14ac:dyDescent="0.3">
      <c r="A283" s="22"/>
      <c r="B283" s="18"/>
      <c r="C283" s="18"/>
      <c r="D283" s="18"/>
      <c r="E283" s="18"/>
      <c r="F283" s="18"/>
      <c r="G283" s="18"/>
      <c r="H283" s="20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x14ac:dyDescent="0.3">
      <c r="A284" s="22"/>
      <c r="B284" s="18"/>
      <c r="C284" s="18"/>
      <c r="D284" s="18"/>
      <c r="E284" s="18"/>
      <c r="F284" s="18"/>
      <c r="G284" s="18"/>
      <c r="H284" s="20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x14ac:dyDescent="0.3">
      <c r="A285" s="22"/>
      <c r="B285" s="18"/>
      <c r="C285" s="18"/>
      <c r="D285" s="18"/>
      <c r="E285" s="18"/>
      <c r="F285" s="18"/>
      <c r="G285" s="18"/>
      <c r="H285" s="20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x14ac:dyDescent="0.3">
      <c r="A286" s="22"/>
      <c r="B286" s="18"/>
      <c r="C286" s="18"/>
      <c r="D286" s="18"/>
      <c r="E286" s="18"/>
      <c r="F286" s="18"/>
      <c r="G286" s="18"/>
      <c r="H286" s="20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x14ac:dyDescent="0.3">
      <c r="A287" s="22"/>
      <c r="B287" s="18"/>
      <c r="C287" s="18"/>
      <c r="D287" s="18"/>
      <c r="E287" s="18"/>
      <c r="F287" s="18"/>
      <c r="G287" s="18"/>
      <c r="H287" s="20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x14ac:dyDescent="0.3">
      <c r="A288" s="22"/>
      <c r="B288" s="18"/>
      <c r="C288" s="18"/>
      <c r="D288" s="18"/>
      <c r="E288" s="18"/>
      <c r="F288" s="18"/>
      <c r="G288" s="18"/>
      <c r="H288" s="20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x14ac:dyDescent="0.3">
      <c r="A289" s="22"/>
      <c r="B289" s="18"/>
      <c r="C289" s="18"/>
      <c r="D289" s="18"/>
      <c r="E289" s="18"/>
      <c r="F289" s="18"/>
      <c r="G289" s="18"/>
      <c r="H289" s="20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x14ac:dyDescent="0.3">
      <c r="A290" s="22"/>
      <c r="B290" s="18"/>
      <c r="C290" s="18"/>
      <c r="D290" s="18"/>
      <c r="E290" s="18"/>
      <c r="F290" s="18"/>
      <c r="G290" s="18"/>
      <c r="H290" s="20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x14ac:dyDescent="0.3">
      <c r="A291" s="22"/>
      <c r="B291" s="18"/>
      <c r="C291" s="18"/>
      <c r="D291" s="18"/>
      <c r="E291" s="18"/>
      <c r="F291" s="18"/>
      <c r="G291" s="18"/>
      <c r="H291" s="20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x14ac:dyDescent="0.3">
      <c r="A292" s="22"/>
      <c r="B292" s="18"/>
      <c r="C292" s="18"/>
      <c r="D292" s="18"/>
      <c r="E292" s="18"/>
      <c r="F292" s="18"/>
      <c r="G292" s="18"/>
      <c r="H292" s="20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x14ac:dyDescent="0.3">
      <c r="A293" s="22"/>
      <c r="B293" s="18"/>
      <c r="C293" s="18"/>
      <c r="D293" s="18"/>
      <c r="E293" s="18"/>
      <c r="F293" s="18"/>
      <c r="G293" s="18"/>
      <c r="H293" s="20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x14ac:dyDescent="0.3">
      <c r="A294" s="22"/>
      <c r="B294" s="18"/>
      <c r="C294" s="18"/>
      <c r="D294" s="18"/>
      <c r="E294" s="18"/>
      <c r="F294" s="18"/>
      <c r="G294" s="18"/>
      <c r="H294" s="20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x14ac:dyDescent="0.3">
      <c r="A295" s="22"/>
      <c r="B295" s="18"/>
      <c r="C295" s="18"/>
      <c r="D295" s="18"/>
      <c r="E295" s="18"/>
      <c r="F295" s="18"/>
      <c r="G295" s="18"/>
      <c r="H295" s="20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x14ac:dyDescent="0.3">
      <c r="A296" s="22"/>
      <c r="B296" s="18"/>
      <c r="C296" s="18"/>
      <c r="D296" s="18"/>
      <c r="E296" s="18"/>
      <c r="F296" s="18"/>
      <c r="G296" s="18"/>
      <c r="H296" s="20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x14ac:dyDescent="0.3">
      <c r="A297" s="22"/>
      <c r="B297" s="18"/>
      <c r="C297" s="18"/>
      <c r="D297" s="18"/>
      <c r="E297" s="18"/>
      <c r="F297" s="18"/>
      <c r="G297" s="18"/>
      <c r="H297" s="20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x14ac:dyDescent="0.3">
      <c r="A298" s="22"/>
      <c r="B298" s="18"/>
      <c r="C298" s="18"/>
      <c r="D298" s="18"/>
      <c r="E298" s="18"/>
      <c r="F298" s="18"/>
      <c r="G298" s="18"/>
      <c r="H298" s="20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x14ac:dyDescent="0.3">
      <c r="A299" s="22"/>
      <c r="B299" s="18"/>
      <c r="C299" s="18"/>
      <c r="D299" s="18"/>
      <c r="E299" s="18"/>
      <c r="F299" s="18"/>
      <c r="G299" s="18"/>
      <c r="H299" s="20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x14ac:dyDescent="0.3">
      <c r="A300" s="22"/>
      <c r="B300" s="18"/>
      <c r="C300" s="18"/>
      <c r="D300" s="18"/>
      <c r="E300" s="18"/>
      <c r="F300" s="18"/>
      <c r="G300" s="18"/>
      <c r="H300" s="20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x14ac:dyDescent="0.3">
      <c r="A301" s="22"/>
      <c r="B301" s="18"/>
      <c r="C301" s="18"/>
      <c r="D301" s="18"/>
      <c r="E301" s="18"/>
      <c r="F301" s="18"/>
      <c r="G301" s="18"/>
      <c r="H301" s="20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x14ac:dyDescent="0.3">
      <c r="A302" s="22"/>
      <c r="B302" s="18"/>
      <c r="C302" s="18"/>
      <c r="D302" s="18"/>
      <c r="E302" s="18"/>
      <c r="F302" s="18"/>
      <c r="G302" s="18"/>
      <c r="H302" s="20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x14ac:dyDescent="0.3">
      <c r="A303" s="22"/>
      <c r="B303" s="18"/>
      <c r="C303" s="18"/>
      <c r="D303" s="18"/>
      <c r="E303" s="18"/>
      <c r="F303" s="18"/>
      <c r="G303" s="18"/>
      <c r="H303" s="20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x14ac:dyDescent="0.3">
      <c r="A304" s="22"/>
      <c r="B304" s="18"/>
      <c r="C304" s="18"/>
      <c r="D304" s="18"/>
      <c r="E304" s="18"/>
      <c r="F304" s="18"/>
      <c r="G304" s="18"/>
      <c r="H304" s="20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x14ac:dyDescent="0.3">
      <c r="A305" s="22"/>
      <c r="B305" s="18"/>
      <c r="C305" s="18"/>
      <c r="D305" s="18"/>
      <c r="E305" s="18"/>
      <c r="F305" s="18"/>
      <c r="G305" s="18"/>
      <c r="H305" s="20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x14ac:dyDescent="0.3">
      <c r="A306" s="22"/>
      <c r="B306" s="18"/>
      <c r="C306" s="18"/>
      <c r="D306" s="18"/>
      <c r="E306" s="18"/>
      <c r="F306" s="18"/>
      <c r="G306" s="18"/>
      <c r="H306" s="20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x14ac:dyDescent="0.3">
      <c r="A307" s="22"/>
      <c r="B307" s="18"/>
      <c r="C307" s="18"/>
      <c r="D307" s="18"/>
      <c r="E307" s="18"/>
      <c r="F307" s="18"/>
      <c r="G307" s="18"/>
      <c r="H307" s="20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x14ac:dyDescent="0.3">
      <c r="A308" s="22"/>
      <c r="B308" s="18"/>
      <c r="C308" s="18"/>
      <c r="D308" s="18"/>
      <c r="E308" s="18"/>
      <c r="F308" s="18"/>
      <c r="G308" s="18"/>
      <c r="H308" s="20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x14ac:dyDescent="0.3">
      <c r="A309" s="22"/>
      <c r="B309" s="18"/>
      <c r="C309" s="18"/>
      <c r="D309" s="18"/>
      <c r="E309" s="18"/>
      <c r="F309" s="18"/>
      <c r="G309" s="18"/>
      <c r="H309" s="20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x14ac:dyDescent="0.3">
      <c r="A310" s="22"/>
      <c r="B310" s="18"/>
      <c r="C310" s="18"/>
      <c r="D310" s="18"/>
      <c r="E310" s="18"/>
      <c r="F310" s="18"/>
      <c r="G310" s="18"/>
      <c r="H310" s="20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x14ac:dyDescent="0.3">
      <c r="A311" s="22"/>
      <c r="B311" s="18"/>
      <c r="C311" s="18"/>
      <c r="D311" s="18"/>
      <c r="E311" s="18"/>
      <c r="F311" s="18"/>
      <c r="G311" s="18"/>
      <c r="H311" s="20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x14ac:dyDescent="0.3">
      <c r="A312" s="22"/>
      <c r="B312" s="18"/>
      <c r="C312" s="18"/>
      <c r="D312" s="18"/>
      <c r="E312" s="18"/>
      <c r="F312" s="18"/>
      <c r="G312" s="18"/>
      <c r="H312" s="20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x14ac:dyDescent="0.3">
      <c r="A313" s="22"/>
      <c r="B313" s="18"/>
      <c r="C313" s="18"/>
      <c r="D313" s="18"/>
      <c r="E313" s="18"/>
      <c r="F313" s="18"/>
      <c r="G313" s="18"/>
      <c r="H313" s="20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x14ac:dyDescent="0.3">
      <c r="A314" s="22"/>
      <c r="B314" s="18"/>
      <c r="C314" s="18"/>
      <c r="D314" s="18"/>
      <c r="E314" s="18"/>
      <c r="F314" s="18"/>
      <c r="G314" s="18"/>
      <c r="H314" s="20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x14ac:dyDescent="0.3">
      <c r="A315" s="22"/>
      <c r="B315" s="18"/>
      <c r="C315" s="18"/>
      <c r="D315" s="18"/>
      <c r="E315" s="18"/>
      <c r="F315" s="18"/>
      <c r="G315" s="18"/>
      <c r="H315" s="20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x14ac:dyDescent="0.3">
      <c r="A316" s="22"/>
      <c r="B316" s="18"/>
      <c r="C316" s="18"/>
      <c r="D316" s="18"/>
      <c r="E316" s="18"/>
      <c r="F316" s="18"/>
      <c r="G316" s="18"/>
      <c r="H316" s="20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x14ac:dyDescent="0.3">
      <c r="A317" s="22"/>
      <c r="B317" s="18"/>
      <c r="C317" s="18"/>
      <c r="D317" s="18"/>
      <c r="E317" s="18"/>
      <c r="F317" s="18"/>
      <c r="G317" s="18"/>
      <c r="H317" s="20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x14ac:dyDescent="0.3">
      <c r="A318" s="22"/>
      <c r="B318" s="18"/>
      <c r="C318" s="18"/>
      <c r="D318" s="18"/>
      <c r="E318" s="18"/>
      <c r="F318" s="18"/>
      <c r="G318" s="18"/>
      <c r="H318" s="20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x14ac:dyDescent="0.3">
      <c r="A319" s="22"/>
      <c r="B319" s="18"/>
      <c r="C319" s="18"/>
      <c r="D319" s="18"/>
      <c r="E319" s="18"/>
      <c r="F319" s="18"/>
      <c r="G319" s="18"/>
      <c r="H319" s="20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x14ac:dyDescent="0.3">
      <c r="A320" s="22"/>
      <c r="B320" s="18"/>
      <c r="C320" s="18"/>
      <c r="D320" s="18"/>
      <c r="E320" s="18"/>
      <c r="F320" s="18"/>
      <c r="G320" s="18"/>
      <c r="H320" s="20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x14ac:dyDescent="0.3">
      <c r="A321" s="22"/>
      <c r="B321" s="18"/>
      <c r="C321" s="18"/>
      <c r="D321" s="18"/>
      <c r="E321" s="18"/>
      <c r="F321" s="18"/>
      <c r="G321" s="18"/>
      <c r="H321" s="20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x14ac:dyDescent="0.3">
      <c r="A322" s="22"/>
      <c r="B322" s="18"/>
      <c r="C322" s="18"/>
      <c r="D322" s="18"/>
      <c r="E322" s="18"/>
      <c r="F322" s="18"/>
      <c r="G322" s="18"/>
      <c r="H322" s="20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x14ac:dyDescent="0.3">
      <c r="A323" s="22"/>
      <c r="B323" s="18"/>
      <c r="C323" s="18"/>
      <c r="D323" s="18"/>
      <c r="E323" s="18"/>
      <c r="F323" s="18"/>
      <c r="G323" s="18"/>
      <c r="H323" s="20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x14ac:dyDescent="0.3">
      <c r="A324" s="22"/>
      <c r="B324" s="18"/>
      <c r="C324" s="18"/>
      <c r="D324" s="18"/>
      <c r="E324" s="18"/>
      <c r="F324" s="18"/>
      <c r="G324" s="18"/>
      <c r="H324" s="20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x14ac:dyDescent="0.3">
      <c r="A325" s="22"/>
      <c r="B325" s="18"/>
      <c r="C325" s="18"/>
      <c r="D325" s="18"/>
      <c r="E325" s="18"/>
      <c r="F325" s="18"/>
      <c r="G325" s="18"/>
      <c r="H325" s="20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x14ac:dyDescent="0.3">
      <c r="A326" s="22"/>
      <c r="B326" s="18"/>
      <c r="C326" s="18"/>
      <c r="D326" s="18"/>
      <c r="E326" s="18"/>
      <c r="F326" s="18"/>
      <c r="G326" s="18"/>
      <c r="H326" s="20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x14ac:dyDescent="0.3">
      <c r="A327" s="22"/>
      <c r="B327" s="18"/>
      <c r="C327" s="18"/>
      <c r="D327" s="18"/>
      <c r="E327" s="18"/>
      <c r="F327" s="18"/>
      <c r="G327" s="18"/>
      <c r="H327" s="20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x14ac:dyDescent="0.3">
      <c r="A328" s="22"/>
      <c r="B328" s="18"/>
      <c r="C328" s="18"/>
      <c r="D328" s="18"/>
      <c r="E328" s="18"/>
      <c r="F328" s="18"/>
      <c r="G328" s="18"/>
      <c r="H328" s="20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x14ac:dyDescent="0.3">
      <c r="A329" s="22"/>
      <c r="B329" s="18"/>
      <c r="C329" s="18"/>
      <c r="D329" s="18"/>
      <c r="E329" s="18"/>
      <c r="F329" s="18"/>
      <c r="G329" s="18"/>
      <c r="H329" s="20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x14ac:dyDescent="0.3">
      <c r="A330" s="22"/>
      <c r="B330" s="18"/>
      <c r="C330" s="18"/>
      <c r="D330" s="18"/>
      <c r="E330" s="18"/>
      <c r="F330" s="18"/>
      <c r="G330" s="18"/>
      <c r="H330" s="20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x14ac:dyDescent="0.3">
      <c r="A331" s="22"/>
      <c r="B331" s="18"/>
      <c r="C331" s="18"/>
      <c r="D331" s="18"/>
      <c r="E331" s="18"/>
      <c r="F331" s="18"/>
      <c r="G331" s="18"/>
      <c r="H331" s="20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x14ac:dyDescent="0.3">
      <c r="A332" s="22"/>
      <c r="B332" s="18"/>
      <c r="C332" s="18"/>
      <c r="D332" s="18"/>
      <c r="E332" s="18"/>
      <c r="F332" s="18"/>
      <c r="G332" s="18"/>
      <c r="H332" s="20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x14ac:dyDescent="0.3">
      <c r="A333" s="22"/>
      <c r="B333" s="18"/>
      <c r="C333" s="18"/>
      <c r="D333" s="18"/>
      <c r="E333" s="18"/>
      <c r="F333" s="18"/>
      <c r="G333" s="18"/>
      <c r="H333" s="20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x14ac:dyDescent="0.3">
      <c r="A334" s="22"/>
      <c r="B334" s="18"/>
      <c r="C334" s="18"/>
      <c r="D334" s="18"/>
      <c r="E334" s="18"/>
      <c r="F334" s="18"/>
      <c r="G334" s="18"/>
      <c r="H334" s="20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x14ac:dyDescent="0.3">
      <c r="A335" s="22"/>
      <c r="B335" s="18"/>
      <c r="C335" s="18"/>
      <c r="D335" s="18"/>
      <c r="E335" s="18"/>
      <c r="F335" s="18"/>
      <c r="G335" s="18"/>
      <c r="H335" s="20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x14ac:dyDescent="0.3">
      <c r="A336" s="22"/>
      <c r="B336" s="18"/>
      <c r="C336" s="18"/>
      <c r="D336" s="18"/>
      <c r="E336" s="18"/>
      <c r="F336" s="18"/>
      <c r="G336" s="18"/>
      <c r="H336" s="20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x14ac:dyDescent="0.3">
      <c r="A337" s="22"/>
      <c r="B337" s="18"/>
      <c r="C337" s="18"/>
      <c r="D337" s="18"/>
      <c r="E337" s="18"/>
      <c r="F337" s="18"/>
      <c r="G337" s="18"/>
      <c r="H337" s="20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x14ac:dyDescent="0.3">
      <c r="A338" s="22"/>
      <c r="B338" s="18"/>
      <c r="C338" s="18"/>
      <c r="D338" s="18"/>
      <c r="E338" s="18"/>
      <c r="F338" s="18"/>
      <c r="G338" s="18"/>
      <c r="H338" s="20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x14ac:dyDescent="0.3">
      <c r="A339" s="22"/>
      <c r="B339" s="18"/>
      <c r="C339" s="18"/>
      <c r="D339" s="18"/>
      <c r="E339" s="18"/>
      <c r="F339" s="18"/>
      <c r="G339" s="18"/>
      <c r="H339" s="20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x14ac:dyDescent="0.3">
      <c r="A340" s="22"/>
      <c r="B340" s="18"/>
      <c r="C340" s="18"/>
      <c r="D340" s="18"/>
      <c r="E340" s="18"/>
      <c r="F340" s="18"/>
      <c r="G340" s="18"/>
      <c r="H340" s="20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x14ac:dyDescent="0.3">
      <c r="A341" s="22"/>
      <c r="B341" s="18"/>
      <c r="C341" s="18"/>
      <c r="D341" s="18"/>
      <c r="E341" s="18"/>
      <c r="F341" s="18"/>
      <c r="G341" s="18"/>
      <c r="H341" s="20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x14ac:dyDescent="0.3">
      <c r="A342" s="22"/>
      <c r="B342" s="18"/>
      <c r="C342" s="18"/>
      <c r="D342" s="18"/>
      <c r="E342" s="18"/>
      <c r="F342" s="18"/>
      <c r="G342" s="18"/>
      <c r="H342" s="20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x14ac:dyDescent="0.3">
      <c r="A343" s="22"/>
      <c r="B343" s="18"/>
      <c r="C343" s="18"/>
      <c r="D343" s="18"/>
      <c r="E343" s="18"/>
      <c r="F343" s="18"/>
      <c r="G343" s="18"/>
      <c r="H343" s="20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x14ac:dyDescent="0.3">
      <c r="A344" s="22"/>
      <c r="B344" s="18"/>
      <c r="C344" s="18"/>
      <c r="D344" s="18"/>
      <c r="E344" s="18"/>
      <c r="F344" s="18"/>
      <c r="G344" s="18"/>
      <c r="H344" s="20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x14ac:dyDescent="0.3">
      <c r="A345" s="22"/>
      <c r="B345" s="18"/>
      <c r="C345" s="18"/>
      <c r="D345" s="18"/>
      <c r="E345" s="18"/>
      <c r="F345" s="18"/>
      <c r="G345" s="18"/>
      <c r="H345" s="20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x14ac:dyDescent="0.3">
      <c r="A346" s="22"/>
      <c r="B346" s="18"/>
      <c r="C346" s="18"/>
      <c r="D346" s="18"/>
      <c r="E346" s="18"/>
      <c r="F346" s="18"/>
      <c r="G346" s="18"/>
      <c r="H346" s="20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x14ac:dyDescent="0.3">
      <c r="A347" s="22"/>
      <c r="B347" s="18"/>
      <c r="C347" s="18"/>
      <c r="D347" s="18"/>
      <c r="E347" s="18"/>
      <c r="F347" s="18"/>
      <c r="G347" s="18"/>
      <c r="H347" s="20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x14ac:dyDescent="0.3">
      <c r="A348" s="22"/>
      <c r="B348" s="18"/>
      <c r="C348" s="18"/>
      <c r="D348" s="18"/>
      <c r="E348" s="18"/>
      <c r="F348" s="18"/>
      <c r="G348" s="18"/>
      <c r="H348" s="20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x14ac:dyDescent="0.3">
      <c r="A349" s="22"/>
      <c r="B349" s="18"/>
      <c r="C349" s="18"/>
      <c r="D349" s="18"/>
      <c r="E349" s="18"/>
      <c r="F349" s="18"/>
      <c r="G349" s="18"/>
      <c r="H349" s="20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x14ac:dyDescent="0.3">
      <c r="A350" s="22"/>
      <c r="B350" s="18"/>
      <c r="C350" s="18"/>
      <c r="D350" s="18"/>
      <c r="E350" s="18"/>
      <c r="F350" s="18"/>
      <c r="G350" s="18"/>
      <c r="H350" s="20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x14ac:dyDescent="0.3">
      <c r="A351" s="22"/>
      <c r="B351" s="18"/>
      <c r="C351" s="18"/>
      <c r="D351" s="18"/>
      <c r="E351" s="18"/>
      <c r="F351" s="18"/>
      <c r="G351" s="18"/>
      <c r="H351" s="20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x14ac:dyDescent="0.3">
      <c r="A352" s="22"/>
      <c r="B352" s="18"/>
      <c r="C352" s="18"/>
      <c r="D352" s="18"/>
      <c r="E352" s="18"/>
      <c r="F352" s="18"/>
      <c r="G352" s="18"/>
      <c r="H352" s="20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x14ac:dyDescent="0.3">
      <c r="A353" s="22"/>
      <c r="B353" s="18"/>
      <c r="C353" s="18"/>
      <c r="D353" s="18"/>
      <c r="E353" s="18"/>
      <c r="F353" s="18"/>
      <c r="G353" s="18"/>
      <c r="H353" s="20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x14ac:dyDescent="0.3">
      <c r="A354" s="22"/>
      <c r="B354" s="18"/>
      <c r="C354" s="18"/>
      <c r="D354" s="18"/>
      <c r="E354" s="18"/>
      <c r="F354" s="18"/>
      <c r="G354" s="18"/>
      <c r="H354" s="20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x14ac:dyDescent="0.3">
      <c r="A355" s="22"/>
      <c r="B355" s="18"/>
      <c r="C355" s="18"/>
      <c r="D355" s="18"/>
      <c r="E355" s="18"/>
      <c r="F355" s="18"/>
      <c r="G355" s="18"/>
      <c r="H355" s="20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x14ac:dyDescent="0.3">
      <c r="A356" s="22"/>
      <c r="B356" s="18"/>
      <c r="C356" s="18"/>
      <c r="D356" s="18"/>
      <c r="E356" s="18"/>
      <c r="F356" s="18"/>
      <c r="G356" s="18"/>
      <c r="H356" s="20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x14ac:dyDescent="0.3">
      <c r="A357" s="22"/>
      <c r="B357" s="18"/>
      <c r="C357" s="18"/>
      <c r="D357" s="18"/>
      <c r="E357" s="18"/>
      <c r="F357" s="18"/>
      <c r="G357" s="18"/>
      <c r="H357" s="20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x14ac:dyDescent="0.3">
      <c r="A358" s="22"/>
      <c r="B358" s="18"/>
      <c r="C358" s="18"/>
      <c r="D358" s="18"/>
      <c r="E358" s="18"/>
      <c r="F358" s="18"/>
      <c r="G358" s="18"/>
      <c r="H358" s="20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x14ac:dyDescent="0.3">
      <c r="A359" s="22"/>
      <c r="B359" s="18"/>
      <c r="C359" s="18"/>
      <c r="D359" s="18"/>
      <c r="E359" s="18"/>
      <c r="F359" s="18"/>
      <c r="G359" s="18"/>
      <c r="H359" s="20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x14ac:dyDescent="0.3">
      <c r="A360" s="22"/>
      <c r="B360" s="18"/>
      <c r="C360" s="18"/>
      <c r="D360" s="18"/>
      <c r="E360" s="18"/>
      <c r="F360" s="18"/>
      <c r="G360" s="18"/>
      <c r="H360" s="20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x14ac:dyDescent="0.3">
      <c r="A361" s="22"/>
      <c r="B361" s="18"/>
      <c r="C361" s="18"/>
      <c r="D361" s="18"/>
      <c r="E361" s="18"/>
      <c r="F361" s="18"/>
      <c r="G361" s="18"/>
      <c r="H361" s="20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x14ac:dyDescent="0.3">
      <c r="A362" s="22"/>
      <c r="B362" s="18"/>
      <c r="C362" s="18"/>
      <c r="D362" s="18"/>
      <c r="E362" s="18"/>
      <c r="F362" s="18"/>
      <c r="G362" s="18"/>
      <c r="H362" s="20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x14ac:dyDescent="0.3">
      <c r="A363" s="22"/>
      <c r="B363" s="18"/>
      <c r="C363" s="18"/>
      <c r="D363" s="18"/>
      <c r="E363" s="18"/>
      <c r="F363" s="18"/>
      <c r="G363" s="18"/>
      <c r="H363" s="20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x14ac:dyDescent="0.3">
      <c r="A364" s="22"/>
      <c r="B364" s="18"/>
      <c r="C364" s="18"/>
      <c r="D364" s="18"/>
      <c r="E364" s="18"/>
      <c r="F364" s="18"/>
      <c r="G364" s="18"/>
      <c r="H364" s="20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x14ac:dyDescent="0.3">
      <c r="A365" s="22"/>
      <c r="B365" s="18"/>
      <c r="C365" s="18"/>
      <c r="D365" s="18"/>
      <c r="E365" s="18"/>
      <c r="F365" s="18"/>
      <c r="G365" s="18"/>
      <c r="H365" s="20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x14ac:dyDescent="0.3">
      <c r="A366" s="22"/>
      <c r="B366" s="18"/>
      <c r="C366" s="18"/>
      <c r="D366" s="18"/>
      <c r="E366" s="18"/>
      <c r="F366" s="18"/>
      <c r="G366" s="18"/>
      <c r="H366" s="20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x14ac:dyDescent="0.3">
      <c r="A367" s="22"/>
      <c r="B367" s="18"/>
      <c r="C367" s="18"/>
      <c r="D367" s="18"/>
      <c r="E367" s="18"/>
      <c r="F367" s="18"/>
      <c r="G367" s="18"/>
      <c r="H367" s="20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x14ac:dyDescent="0.3">
      <c r="A368" s="22"/>
      <c r="B368" s="18"/>
      <c r="C368" s="18"/>
      <c r="D368" s="18"/>
      <c r="E368" s="18"/>
      <c r="F368" s="18"/>
      <c r="G368" s="18"/>
      <c r="H368" s="20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x14ac:dyDescent="0.3">
      <c r="A369" s="22"/>
      <c r="B369" s="18"/>
      <c r="C369" s="18"/>
      <c r="D369" s="18"/>
      <c r="E369" s="18"/>
      <c r="F369" s="18"/>
      <c r="G369" s="18"/>
      <c r="H369" s="20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x14ac:dyDescent="0.3">
      <c r="A370" s="22"/>
      <c r="B370" s="18"/>
      <c r="C370" s="18"/>
      <c r="D370" s="18"/>
      <c r="E370" s="18"/>
      <c r="F370" s="18"/>
      <c r="G370" s="18"/>
      <c r="H370" s="20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x14ac:dyDescent="0.3">
      <c r="A371" s="22"/>
      <c r="B371" s="18"/>
      <c r="C371" s="18"/>
      <c r="D371" s="18"/>
      <c r="E371" s="18"/>
      <c r="F371" s="18"/>
      <c r="G371" s="18"/>
      <c r="H371" s="20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x14ac:dyDescent="0.3">
      <c r="A372" s="22"/>
      <c r="B372" s="18"/>
      <c r="C372" s="18"/>
      <c r="D372" s="18"/>
      <c r="E372" s="18"/>
      <c r="F372" s="18"/>
      <c r="G372" s="18"/>
      <c r="H372" s="20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x14ac:dyDescent="0.3">
      <c r="A373" s="22"/>
      <c r="B373" s="18"/>
      <c r="C373" s="18"/>
      <c r="D373" s="18"/>
      <c r="E373" s="18"/>
      <c r="F373" s="18"/>
      <c r="G373" s="18"/>
      <c r="H373" s="20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x14ac:dyDescent="0.3">
      <c r="A374" s="22"/>
      <c r="B374" s="18"/>
      <c r="C374" s="18"/>
      <c r="D374" s="18"/>
      <c r="E374" s="18"/>
      <c r="F374" s="18"/>
      <c r="G374" s="18"/>
      <c r="H374" s="20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x14ac:dyDescent="0.3">
      <c r="A375" s="22"/>
      <c r="B375" s="18"/>
      <c r="C375" s="18"/>
      <c r="D375" s="18"/>
      <c r="E375" s="18"/>
      <c r="F375" s="18"/>
      <c r="G375" s="18"/>
      <c r="H375" s="20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x14ac:dyDescent="0.3">
      <c r="A376" s="22"/>
      <c r="B376" s="18"/>
      <c r="C376" s="18"/>
      <c r="D376" s="18"/>
      <c r="E376" s="18"/>
      <c r="F376" s="18"/>
      <c r="G376" s="18"/>
      <c r="H376" s="20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x14ac:dyDescent="0.3">
      <c r="A377" s="22"/>
      <c r="B377" s="18"/>
      <c r="C377" s="18"/>
      <c r="D377" s="18"/>
      <c r="E377" s="18"/>
      <c r="F377" s="18"/>
      <c r="G377" s="18"/>
      <c r="H377" s="20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x14ac:dyDescent="0.3">
      <c r="A378" s="22"/>
      <c r="B378" s="18"/>
      <c r="C378" s="18"/>
      <c r="D378" s="18"/>
      <c r="E378" s="18"/>
      <c r="F378" s="18"/>
      <c r="G378" s="18"/>
      <c r="H378" s="20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x14ac:dyDescent="0.3">
      <c r="A379" s="22"/>
      <c r="B379" s="18"/>
      <c r="C379" s="18"/>
      <c r="D379" s="18"/>
      <c r="E379" s="18"/>
      <c r="F379" s="18"/>
      <c r="G379" s="18"/>
      <c r="H379" s="20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x14ac:dyDescent="0.3">
      <c r="A380" s="22"/>
      <c r="B380" s="18"/>
      <c r="C380" s="18"/>
      <c r="D380" s="18"/>
      <c r="E380" s="18"/>
      <c r="F380" s="18"/>
      <c r="G380" s="18"/>
      <c r="H380" s="20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x14ac:dyDescent="0.3">
      <c r="A381" s="22"/>
      <c r="B381" s="18"/>
      <c r="C381" s="18"/>
      <c r="D381" s="18"/>
      <c r="E381" s="18"/>
      <c r="F381" s="18"/>
      <c r="G381" s="18"/>
      <c r="H381" s="20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x14ac:dyDescent="0.3">
      <c r="A382" s="22"/>
      <c r="B382" s="18"/>
      <c r="C382" s="18"/>
      <c r="D382" s="18"/>
      <c r="E382" s="18"/>
      <c r="F382" s="18"/>
      <c r="G382" s="18"/>
      <c r="H382" s="20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x14ac:dyDescent="0.3">
      <c r="A383" s="22"/>
      <c r="B383" s="18"/>
      <c r="C383" s="18"/>
      <c r="D383" s="18"/>
      <c r="E383" s="18"/>
      <c r="F383" s="18"/>
      <c r="G383" s="18"/>
      <c r="H383" s="20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x14ac:dyDescent="0.3">
      <c r="A384" s="22"/>
      <c r="B384" s="18"/>
      <c r="C384" s="18"/>
      <c r="D384" s="18"/>
      <c r="E384" s="18"/>
      <c r="F384" s="18"/>
      <c r="G384" s="18"/>
      <c r="H384" s="20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x14ac:dyDescent="0.3">
      <c r="A385" s="22"/>
      <c r="B385" s="18"/>
      <c r="C385" s="18"/>
      <c r="D385" s="18"/>
      <c r="E385" s="18"/>
      <c r="F385" s="18"/>
      <c r="G385" s="18"/>
      <c r="H385" s="20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x14ac:dyDescent="0.3">
      <c r="A386" s="22"/>
      <c r="B386" s="18"/>
      <c r="C386" s="18"/>
      <c r="D386" s="18"/>
      <c r="E386" s="18"/>
      <c r="F386" s="18"/>
      <c r="G386" s="18"/>
      <c r="H386" s="20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x14ac:dyDescent="0.3">
      <c r="A387" s="22"/>
      <c r="B387" s="18"/>
      <c r="C387" s="18"/>
      <c r="D387" s="18"/>
      <c r="E387" s="18"/>
      <c r="F387" s="18"/>
      <c r="G387" s="18"/>
      <c r="H387" s="20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x14ac:dyDescent="0.3">
      <c r="A388" s="22"/>
      <c r="B388" s="18"/>
      <c r="C388" s="18"/>
      <c r="D388" s="18"/>
      <c r="E388" s="18"/>
      <c r="F388" s="18"/>
      <c r="G388" s="18"/>
      <c r="H388" s="20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x14ac:dyDescent="0.3">
      <c r="A389" s="22"/>
      <c r="B389" s="18"/>
      <c r="C389" s="18"/>
      <c r="D389" s="18"/>
      <c r="E389" s="18"/>
      <c r="F389" s="18"/>
      <c r="G389" s="18"/>
      <c r="H389" s="20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x14ac:dyDescent="0.3">
      <c r="A390" s="22"/>
      <c r="B390" s="18"/>
      <c r="C390" s="18"/>
      <c r="D390" s="18"/>
      <c r="E390" s="18"/>
      <c r="F390" s="18"/>
      <c r="G390" s="18"/>
      <c r="H390" s="20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x14ac:dyDescent="0.3">
      <c r="A391" s="22"/>
      <c r="B391" s="18"/>
      <c r="C391" s="18"/>
      <c r="D391" s="18"/>
      <c r="E391" s="18"/>
      <c r="F391" s="18"/>
      <c r="G391" s="18"/>
      <c r="H391" s="20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x14ac:dyDescent="0.3">
      <c r="A392" s="22"/>
      <c r="B392" s="18"/>
      <c r="C392" s="18"/>
      <c r="D392" s="18"/>
      <c r="E392" s="18"/>
      <c r="F392" s="18"/>
      <c r="G392" s="18"/>
      <c r="H392" s="20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x14ac:dyDescent="0.3">
      <c r="A393" s="22"/>
      <c r="B393" s="18"/>
      <c r="C393" s="18"/>
      <c r="D393" s="18"/>
      <c r="E393" s="18"/>
      <c r="F393" s="18"/>
      <c r="G393" s="18"/>
      <c r="H393" s="20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x14ac:dyDescent="0.3">
      <c r="A394" s="22"/>
      <c r="B394" s="18"/>
      <c r="C394" s="18"/>
      <c r="D394" s="18"/>
      <c r="E394" s="18"/>
      <c r="F394" s="18"/>
      <c r="G394" s="18"/>
      <c r="H394" s="20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x14ac:dyDescent="0.3">
      <c r="A395" s="22"/>
      <c r="B395" s="18"/>
      <c r="C395" s="18"/>
      <c r="D395" s="18"/>
      <c r="E395" s="18"/>
      <c r="F395" s="18"/>
      <c r="G395" s="18"/>
      <c r="H395" s="20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x14ac:dyDescent="0.3">
      <c r="A396" s="22"/>
      <c r="B396" s="18"/>
      <c r="C396" s="18"/>
      <c r="D396" s="18"/>
      <c r="E396" s="18"/>
      <c r="F396" s="18"/>
      <c r="G396" s="18"/>
      <c r="H396" s="20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x14ac:dyDescent="0.3">
      <c r="A397" s="22"/>
      <c r="B397" s="18"/>
      <c r="C397" s="18"/>
      <c r="D397" s="18"/>
      <c r="E397" s="18"/>
      <c r="F397" s="18"/>
      <c r="G397" s="18"/>
      <c r="H397" s="20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x14ac:dyDescent="0.3">
      <c r="A398" s="22"/>
      <c r="B398" s="18"/>
      <c r="C398" s="18"/>
      <c r="D398" s="18"/>
      <c r="E398" s="18"/>
      <c r="F398" s="18"/>
      <c r="G398" s="18"/>
      <c r="H398" s="20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x14ac:dyDescent="0.3">
      <c r="A399" s="22"/>
      <c r="B399" s="18"/>
      <c r="C399" s="18"/>
      <c r="D399" s="18"/>
      <c r="E399" s="18"/>
      <c r="F399" s="18"/>
      <c r="G399" s="18"/>
      <c r="H399" s="20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x14ac:dyDescent="0.3">
      <c r="A400" s="22"/>
      <c r="B400" s="18"/>
      <c r="C400" s="18"/>
      <c r="D400" s="18"/>
      <c r="E400" s="18"/>
      <c r="F400" s="18"/>
      <c r="G400" s="18"/>
      <c r="H400" s="20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x14ac:dyDescent="0.3">
      <c r="A401" s="22"/>
      <c r="B401" s="18"/>
      <c r="C401" s="18"/>
      <c r="D401" s="18"/>
      <c r="E401" s="18"/>
      <c r="F401" s="18"/>
      <c r="G401" s="18"/>
      <c r="H401" s="20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x14ac:dyDescent="0.3">
      <c r="A402" s="22"/>
      <c r="B402" s="18"/>
      <c r="C402" s="18"/>
      <c r="D402" s="18"/>
      <c r="E402" s="18"/>
      <c r="F402" s="18"/>
      <c r="G402" s="18"/>
      <c r="H402" s="20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x14ac:dyDescent="0.3">
      <c r="A403" s="22"/>
      <c r="B403" s="18"/>
      <c r="C403" s="18"/>
      <c r="D403" s="18"/>
      <c r="E403" s="18"/>
      <c r="F403" s="18"/>
      <c r="G403" s="18"/>
      <c r="H403" s="20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x14ac:dyDescent="0.3">
      <c r="A404" s="22"/>
      <c r="B404" s="18"/>
      <c r="C404" s="18"/>
      <c r="D404" s="18"/>
      <c r="E404" s="18"/>
      <c r="F404" s="18"/>
      <c r="G404" s="18"/>
      <c r="H404" s="20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x14ac:dyDescent="0.3">
      <c r="A405" s="22"/>
      <c r="B405" s="18"/>
      <c r="C405" s="18"/>
      <c r="D405" s="18"/>
      <c r="E405" s="18"/>
      <c r="F405" s="18"/>
      <c r="G405" s="18"/>
      <c r="H405" s="20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x14ac:dyDescent="0.3">
      <c r="A406" s="22"/>
      <c r="B406" s="18"/>
      <c r="C406" s="18"/>
      <c r="D406" s="18"/>
      <c r="E406" s="18"/>
      <c r="F406" s="18"/>
      <c r="G406" s="18"/>
      <c r="H406" s="20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x14ac:dyDescent="0.3">
      <c r="A407" s="22"/>
      <c r="B407" s="18"/>
      <c r="C407" s="18"/>
      <c r="D407" s="18"/>
      <c r="E407" s="18"/>
      <c r="F407" s="18"/>
      <c r="G407" s="18"/>
      <c r="H407" s="20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x14ac:dyDescent="0.3">
      <c r="A408" s="22"/>
      <c r="B408" s="18"/>
      <c r="C408" s="18"/>
      <c r="D408" s="18"/>
      <c r="E408" s="18"/>
      <c r="F408" s="18"/>
      <c r="G408" s="18"/>
      <c r="H408" s="20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x14ac:dyDescent="0.3">
      <c r="A409" s="22"/>
      <c r="B409" s="18"/>
      <c r="C409" s="18"/>
      <c r="D409" s="18"/>
      <c r="E409" s="18"/>
      <c r="F409" s="18"/>
      <c r="G409" s="18"/>
      <c r="H409" s="20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spans="1:25" x14ac:dyDescent="0.3">
      <c r="A410" s="22"/>
      <c r="B410" s="18"/>
      <c r="C410" s="18"/>
      <c r="D410" s="18"/>
      <c r="E410" s="18"/>
      <c r="F410" s="18"/>
      <c r="G410" s="18"/>
      <c r="H410" s="20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spans="1:25" x14ac:dyDescent="0.3">
      <c r="A411" s="22"/>
      <c r="B411" s="18"/>
      <c r="C411" s="18"/>
      <c r="D411" s="18"/>
      <c r="E411" s="18"/>
      <c r="F411" s="18"/>
      <c r="G411" s="18"/>
      <c r="H411" s="20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spans="1:25" x14ac:dyDescent="0.3">
      <c r="A412" s="22"/>
      <c r="B412" s="18"/>
      <c r="C412" s="18"/>
      <c r="D412" s="18"/>
      <c r="E412" s="18"/>
      <c r="F412" s="18"/>
      <c r="G412" s="18"/>
      <c r="H412" s="20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spans="1:25" x14ac:dyDescent="0.3">
      <c r="A413" s="22"/>
      <c r="B413" s="18"/>
      <c r="C413" s="18"/>
      <c r="D413" s="18"/>
      <c r="E413" s="18"/>
      <c r="F413" s="18"/>
      <c r="G413" s="18"/>
      <c r="H413" s="20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spans="1:25" x14ac:dyDescent="0.3">
      <c r="A414" s="22"/>
      <c r="B414" s="18"/>
      <c r="C414" s="18"/>
      <c r="D414" s="18"/>
      <c r="E414" s="18"/>
      <c r="F414" s="18"/>
      <c r="G414" s="18"/>
      <c r="H414" s="20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spans="1:25" x14ac:dyDescent="0.3">
      <c r="A415" s="22"/>
      <c r="B415" s="18"/>
      <c r="C415" s="18"/>
      <c r="D415" s="18"/>
      <c r="E415" s="18"/>
      <c r="F415" s="18"/>
      <c r="G415" s="18"/>
      <c r="H415" s="20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spans="1:25" x14ac:dyDescent="0.3">
      <c r="A416" s="22"/>
      <c r="B416" s="18"/>
      <c r="C416" s="18"/>
      <c r="D416" s="18"/>
      <c r="E416" s="18"/>
      <c r="F416" s="18"/>
      <c r="G416" s="18"/>
      <c r="H416" s="20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spans="1:25" x14ac:dyDescent="0.3">
      <c r="A417" s="22"/>
      <c r="B417" s="18"/>
      <c r="C417" s="18"/>
      <c r="D417" s="18"/>
      <c r="E417" s="18"/>
      <c r="F417" s="18"/>
      <c r="G417" s="18"/>
      <c r="H417" s="20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spans="1:25" x14ac:dyDescent="0.3">
      <c r="A418" s="22"/>
      <c r="B418" s="18"/>
      <c r="C418" s="18"/>
      <c r="D418" s="18"/>
      <c r="E418" s="18"/>
      <c r="F418" s="18"/>
      <c r="G418" s="18"/>
      <c r="H418" s="20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spans="1:25" x14ac:dyDescent="0.3">
      <c r="A419" s="22"/>
      <c r="B419" s="18"/>
      <c r="C419" s="18"/>
      <c r="D419" s="18"/>
      <c r="E419" s="18"/>
      <c r="F419" s="18"/>
      <c r="G419" s="18"/>
      <c r="H419" s="20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spans="1:25" x14ac:dyDescent="0.3">
      <c r="A420" s="22"/>
      <c r="B420" s="18"/>
      <c r="C420" s="18"/>
      <c r="D420" s="18"/>
      <c r="E420" s="18"/>
      <c r="F420" s="18"/>
      <c r="G420" s="18"/>
      <c r="H420" s="20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spans="1:25" x14ac:dyDescent="0.3">
      <c r="A421" s="22"/>
      <c r="B421" s="18"/>
      <c r="C421" s="18"/>
      <c r="D421" s="18"/>
      <c r="E421" s="18"/>
      <c r="F421" s="18"/>
      <c r="G421" s="18"/>
      <c r="H421" s="20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spans="1:25" x14ac:dyDescent="0.3">
      <c r="A422" s="22"/>
      <c r="B422" s="18"/>
      <c r="C422" s="18"/>
      <c r="D422" s="18"/>
      <c r="E422" s="18"/>
      <c r="F422" s="18"/>
      <c r="G422" s="18"/>
      <c r="H422" s="20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spans="1:25" x14ac:dyDescent="0.3">
      <c r="A423" s="22"/>
      <c r="B423" s="18"/>
      <c r="C423" s="18"/>
      <c r="D423" s="18"/>
      <c r="E423" s="18"/>
      <c r="F423" s="18"/>
      <c r="G423" s="18"/>
      <c r="H423" s="20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spans="1:25" x14ac:dyDescent="0.3">
      <c r="A424" s="22"/>
      <c r="B424" s="18"/>
      <c r="C424" s="18"/>
      <c r="D424" s="18"/>
      <c r="E424" s="18"/>
      <c r="F424" s="18"/>
      <c r="G424" s="18"/>
      <c r="H424" s="20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spans="1:25" x14ac:dyDescent="0.3">
      <c r="A425" s="22"/>
      <c r="B425" s="18"/>
      <c r="C425" s="18"/>
      <c r="D425" s="18"/>
      <c r="E425" s="18"/>
      <c r="F425" s="18"/>
      <c r="G425" s="18"/>
      <c r="H425" s="20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spans="1:25" x14ac:dyDescent="0.3">
      <c r="A426" s="22"/>
      <c r="B426" s="18"/>
      <c r="C426" s="18"/>
      <c r="D426" s="18"/>
      <c r="E426" s="18"/>
      <c r="F426" s="18"/>
      <c r="G426" s="18"/>
      <c r="H426" s="20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spans="1:25" x14ac:dyDescent="0.3">
      <c r="A427" s="22"/>
      <c r="B427" s="18"/>
      <c r="C427" s="18"/>
      <c r="D427" s="18"/>
      <c r="E427" s="18"/>
      <c r="F427" s="18"/>
      <c r="G427" s="18"/>
      <c r="H427" s="20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spans="1:25" x14ac:dyDescent="0.3">
      <c r="A428" s="22"/>
      <c r="B428" s="18"/>
      <c r="C428" s="18"/>
      <c r="D428" s="18"/>
      <c r="E428" s="18"/>
      <c r="F428" s="18"/>
      <c r="G428" s="18"/>
      <c r="H428" s="20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spans="1:25" x14ac:dyDescent="0.3">
      <c r="A429" s="22"/>
      <c r="B429" s="18"/>
      <c r="C429" s="18"/>
      <c r="D429" s="18"/>
      <c r="E429" s="18"/>
      <c r="F429" s="18"/>
      <c r="G429" s="18"/>
      <c r="H429" s="20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spans="1:25" x14ac:dyDescent="0.3">
      <c r="A430" s="22"/>
      <c r="B430" s="18"/>
      <c r="C430" s="18"/>
      <c r="D430" s="18"/>
      <c r="E430" s="18"/>
      <c r="F430" s="18"/>
      <c r="G430" s="18"/>
      <c r="H430" s="20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spans="1:25" x14ac:dyDescent="0.3">
      <c r="A431" s="22"/>
      <c r="B431" s="18"/>
      <c r="C431" s="18"/>
      <c r="D431" s="18"/>
      <c r="E431" s="18"/>
      <c r="F431" s="18"/>
      <c r="G431" s="18"/>
      <c r="H431" s="20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spans="1:25" x14ac:dyDescent="0.3">
      <c r="A432" s="22"/>
      <c r="B432" s="18"/>
      <c r="C432" s="18"/>
      <c r="D432" s="18"/>
      <c r="E432" s="18"/>
      <c r="F432" s="18"/>
      <c r="G432" s="18"/>
      <c r="H432" s="20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spans="1:25" x14ac:dyDescent="0.3">
      <c r="A433" s="22"/>
      <c r="B433" s="18"/>
      <c r="C433" s="18"/>
      <c r="D433" s="18"/>
      <c r="E433" s="18"/>
      <c r="F433" s="18"/>
      <c r="G433" s="18"/>
      <c r="H433" s="20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spans="1:25" x14ac:dyDescent="0.3">
      <c r="A434" s="22"/>
      <c r="B434" s="18"/>
      <c r="C434" s="18"/>
      <c r="D434" s="18"/>
      <c r="E434" s="18"/>
      <c r="F434" s="18"/>
      <c r="G434" s="18"/>
      <c r="H434" s="20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spans="1:25" x14ac:dyDescent="0.3">
      <c r="A435" s="22"/>
      <c r="B435" s="18"/>
      <c r="C435" s="18"/>
      <c r="D435" s="18"/>
      <c r="E435" s="18"/>
      <c r="F435" s="18"/>
      <c r="G435" s="18"/>
      <c r="H435" s="20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spans="1:25" x14ac:dyDescent="0.3">
      <c r="A436" s="22"/>
      <c r="B436" s="18"/>
      <c r="C436" s="18"/>
      <c r="D436" s="18"/>
      <c r="E436" s="18"/>
      <c r="F436" s="18"/>
      <c r="G436" s="18"/>
      <c r="H436" s="20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spans="1:25" x14ac:dyDescent="0.3">
      <c r="A437" s="22"/>
      <c r="B437" s="18"/>
      <c r="C437" s="18"/>
      <c r="D437" s="18"/>
      <c r="E437" s="18"/>
      <c r="F437" s="18"/>
      <c r="G437" s="18"/>
      <c r="H437" s="20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spans="1:25" x14ac:dyDescent="0.3">
      <c r="A438" s="22"/>
      <c r="B438" s="18"/>
      <c r="C438" s="18"/>
      <c r="D438" s="18"/>
      <c r="E438" s="18"/>
      <c r="F438" s="18"/>
      <c r="G438" s="18"/>
      <c r="H438" s="20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spans="1:25" x14ac:dyDescent="0.3">
      <c r="A439" s="22"/>
      <c r="B439" s="18"/>
      <c r="C439" s="18"/>
      <c r="D439" s="18"/>
      <c r="E439" s="18"/>
      <c r="F439" s="18"/>
      <c r="G439" s="18"/>
      <c r="H439" s="20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spans="1:25" x14ac:dyDescent="0.3">
      <c r="A440" s="22"/>
      <c r="B440" s="18"/>
      <c r="C440" s="18"/>
      <c r="D440" s="18"/>
      <c r="E440" s="18"/>
      <c r="F440" s="18"/>
      <c r="G440" s="18"/>
      <c r="H440" s="20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spans="1:25" x14ac:dyDescent="0.3">
      <c r="A441" s="22"/>
      <c r="B441" s="18"/>
      <c r="C441" s="18"/>
      <c r="D441" s="18"/>
      <c r="E441" s="18"/>
      <c r="F441" s="18"/>
      <c r="G441" s="18"/>
      <c r="H441" s="20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spans="1:25" x14ac:dyDescent="0.3">
      <c r="A442" s="22"/>
      <c r="B442" s="18"/>
      <c r="C442" s="18"/>
      <c r="D442" s="18"/>
      <c r="E442" s="18"/>
      <c r="F442" s="18"/>
      <c r="G442" s="18"/>
      <c r="H442" s="20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spans="1:25" x14ac:dyDescent="0.3">
      <c r="A443" s="22"/>
      <c r="B443" s="18"/>
      <c r="C443" s="18"/>
      <c r="D443" s="18"/>
      <c r="E443" s="18"/>
      <c r="F443" s="18"/>
      <c r="G443" s="18"/>
      <c r="H443" s="20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spans="1:25" x14ac:dyDescent="0.3">
      <c r="A444" s="22"/>
      <c r="B444" s="18"/>
      <c r="C444" s="18"/>
      <c r="D444" s="18"/>
      <c r="E444" s="18"/>
      <c r="F444" s="18"/>
      <c r="G444" s="18"/>
      <c r="H444" s="20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spans="1:25" x14ac:dyDescent="0.3">
      <c r="A445" s="22"/>
      <c r="B445" s="18"/>
      <c r="C445" s="18"/>
      <c r="D445" s="18"/>
      <c r="E445" s="18"/>
      <c r="F445" s="18"/>
      <c r="G445" s="18"/>
      <c r="H445" s="20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spans="1:25" x14ac:dyDescent="0.3">
      <c r="A446" s="22"/>
      <c r="B446" s="18"/>
      <c r="C446" s="18"/>
      <c r="D446" s="18"/>
      <c r="E446" s="18"/>
      <c r="F446" s="18"/>
      <c r="G446" s="18"/>
      <c r="H446" s="20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spans="1:25" x14ac:dyDescent="0.3">
      <c r="A447" s="22"/>
      <c r="B447" s="18"/>
      <c r="C447" s="18"/>
      <c r="D447" s="18"/>
      <c r="E447" s="18"/>
      <c r="F447" s="18"/>
      <c r="G447" s="18"/>
      <c r="H447" s="20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spans="1:25" x14ac:dyDescent="0.3">
      <c r="A448" s="22"/>
      <c r="B448" s="18"/>
      <c r="C448" s="18"/>
      <c r="D448" s="18"/>
      <c r="E448" s="18"/>
      <c r="F448" s="18"/>
      <c r="G448" s="18"/>
      <c r="H448" s="20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spans="1:25" x14ac:dyDescent="0.3">
      <c r="A449" s="22"/>
      <c r="B449" s="18"/>
      <c r="C449" s="18"/>
      <c r="D449" s="18"/>
      <c r="E449" s="18"/>
      <c r="F449" s="18"/>
      <c r="G449" s="18"/>
      <c r="H449" s="20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spans="1:25" x14ac:dyDescent="0.3">
      <c r="A450" s="22"/>
      <c r="B450" s="18"/>
      <c r="C450" s="18"/>
      <c r="D450" s="18"/>
      <c r="E450" s="18"/>
      <c r="F450" s="18"/>
      <c r="G450" s="18"/>
      <c r="H450" s="20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spans="1:25" x14ac:dyDescent="0.3">
      <c r="A451" s="22"/>
      <c r="B451" s="18"/>
      <c r="C451" s="18"/>
      <c r="D451" s="18"/>
      <c r="E451" s="18"/>
      <c r="F451" s="18"/>
      <c r="G451" s="18"/>
      <c r="H451" s="20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spans="1:25" x14ac:dyDescent="0.3">
      <c r="A452" s="22"/>
      <c r="B452" s="18"/>
      <c r="C452" s="18"/>
      <c r="D452" s="18"/>
      <c r="E452" s="18"/>
      <c r="F452" s="18"/>
      <c r="G452" s="18"/>
      <c r="H452" s="20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spans="1:25" x14ac:dyDescent="0.3">
      <c r="A453" s="22"/>
      <c r="B453" s="18"/>
      <c r="C453" s="18"/>
      <c r="D453" s="18"/>
      <c r="E453" s="18"/>
      <c r="F453" s="18"/>
      <c r="G453" s="18"/>
      <c r="H453" s="20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spans="1:25" x14ac:dyDescent="0.3">
      <c r="A454" s="22"/>
      <c r="B454" s="18"/>
      <c r="C454" s="18"/>
      <c r="D454" s="18"/>
      <c r="E454" s="18"/>
      <c r="F454" s="18"/>
      <c r="G454" s="18"/>
      <c r="H454" s="20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spans="1:25" x14ac:dyDescent="0.3">
      <c r="A455" s="22"/>
      <c r="B455" s="18"/>
      <c r="C455" s="18"/>
      <c r="D455" s="18"/>
      <c r="E455" s="18"/>
      <c r="F455" s="18"/>
      <c r="G455" s="18"/>
      <c r="H455" s="20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spans="1:25" x14ac:dyDescent="0.3">
      <c r="A456" s="22"/>
      <c r="B456" s="18"/>
      <c r="C456" s="18"/>
      <c r="D456" s="18"/>
      <c r="E456" s="18"/>
      <c r="F456" s="18"/>
      <c r="G456" s="18"/>
      <c r="H456" s="20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spans="1:25" x14ac:dyDescent="0.3">
      <c r="A457" s="22"/>
      <c r="B457" s="18"/>
      <c r="C457" s="18"/>
      <c r="D457" s="18"/>
      <c r="E457" s="18"/>
      <c r="F457" s="18"/>
      <c r="G457" s="18"/>
      <c r="H457" s="20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spans="1:25" x14ac:dyDescent="0.3">
      <c r="A458" s="22"/>
      <c r="B458" s="18"/>
      <c r="C458" s="18"/>
      <c r="D458" s="18"/>
      <c r="E458" s="18"/>
      <c r="F458" s="18"/>
      <c r="G458" s="18"/>
      <c r="H458" s="20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spans="1:25" x14ac:dyDescent="0.3">
      <c r="A459" s="22"/>
      <c r="B459" s="18"/>
      <c r="C459" s="18"/>
      <c r="D459" s="18"/>
      <c r="E459" s="18"/>
      <c r="F459" s="18"/>
      <c r="G459" s="18"/>
      <c r="H459" s="20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spans="1:25" x14ac:dyDescent="0.3">
      <c r="A460" s="22"/>
      <c r="B460" s="18"/>
      <c r="C460" s="18"/>
      <c r="D460" s="18"/>
      <c r="E460" s="18"/>
      <c r="F460" s="18"/>
      <c r="G460" s="18"/>
      <c r="H460" s="20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spans="1:25" x14ac:dyDescent="0.3">
      <c r="A461" s="22"/>
      <c r="B461" s="18"/>
      <c r="C461" s="18"/>
      <c r="D461" s="18"/>
      <c r="E461" s="18"/>
      <c r="F461" s="18"/>
      <c r="G461" s="18"/>
      <c r="H461" s="20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spans="1:25" x14ac:dyDescent="0.3">
      <c r="A462" s="22"/>
      <c r="B462" s="18"/>
      <c r="C462" s="18"/>
      <c r="D462" s="18"/>
      <c r="E462" s="18"/>
      <c r="F462" s="18"/>
      <c r="G462" s="18"/>
      <c r="H462" s="20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spans="1:25" x14ac:dyDescent="0.3">
      <c r="A463" s="22"/>
      <c r="B463" s="18"/>
      <c r="C463" s="18"/>
      <c r="D463" s="18"/>
      <c r="E463" s="18"/>
      <c r="F463" s="18"/>
      <c r="G463" s="18"/>
      <c r="H463" s="20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spans="1:25" x14ac:dyDescent="0.3">
      <c r="A464" s="22"/>
      <c r="B464" s="18"/>
      <c r="C464" s="18"/>
      <c r="D464" s="18"/>
      <c r="E464" s="18"/>
      <c r="F464" s="18"/>
      <c r="G464" s="18"/>
      <c r="H464" s="20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spans="1:25" x14ac:dyDescent="0.3">
      <c r="A465" s="22"/>
      <c r="B465" s="18"/>
      <c r="C465" s="18"/>
      <c r="D465" s="18"/>
      <c r="E465" s="18"/>
      <c r="F465" s="18"/>
      <c r="G465" s="18"/>
      <c r="H465" s="20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spans="1:25" x14ac:dyDescent="0.3">
      <c r="A466" s="22"/>
      <c r="B466" s="18"/>
      <c r="C466" s="18"/>
      <c r="D466" s="18"/>
      <c r="E466" s="18"/>
      <c r="F466" s="18"/>
      <c r="G466" s="18"/>
      <c r="H466" s="20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spans="1:25" x14ac:dyDescent="0.3">
      <c r="A467" s="22"/>
      <c r="B467" s="18"/>
      <c r="C467" s="18"/>
      <c r="D467" s="18"/>
      <c r="E467" s="18"/>
      <c r="F467" s="18"/>
      <c r="G467" s="18"/>
      <c r="H467" s="20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spans="1:25" x14ac:dyDescent="0.3">
      <c r="A468" s="22"/>
      <c r="B468" s="18"/>
      <c r="C468" s="18"/>
      <c r="D468" s="18"/>
      <c r="E468" s="18"/>
      <c r="F468" s="18"/>
      <c r="G468" s="18"/>
      <c r="H468" s="20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spans="1:25" x14ac:dyDescent="0.3">
      <c r="A469" s="22"/>
      <c r="B469" s="18"/>
      <c r="C469" s="18"/>
      <c r="D469" s="18"/>
      <c r="E469" s="18"/>
      <c r="F469" s="18"/>
      <c r="G469" s="18"/>
      <c r="H469" s="20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spans="1:25" x14ac:dyDescent="0.3">
      <c r="A470" s="22"/>
      <c r="B470" s="18"/>
      <c r="C470" s="18"/>
      <c r="D470" s="18"/>
      <c r="E470" s="18"/>
      <c r="F470" s="18"/>
      <c r="G470" s="18"/>
      <c r="H470" s="20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spans="1:25" x14ac:dyDescent="0.3">
      <c r="A471" s="22"/>
      <c r="B471" s="18"/>
      <c r="C471" s="18"/>
      <c r="D471" s="18"/>
      <c r="E471" s="18"/>
      <c r="F471" s="18"/>
      <c r="G471" s="18"/>
      <c r="H471" s="20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spans="1:25" x14ac:dyDescent="0.3">
      <c r="A472" s="22"/>
      <c r="B472" s="18"/>
      <c r="C472" s="18"/>
      <c r="D472" s="18"/>
      <c r="E472" s="18"/>
      <c r="F472" s="18"/>
      <c r="G472" s="18"/>
      <c r="H472" s="20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spans="1:25" x14ac:dyDescent="0.3">
      <c r="A473" s="22"/>
      <c r="B473" s="18"/>
      <c r="C473" s="18"/>
      <c r="D473" s="18"/>
      <c r="E473" s="18"/>
      <c r="F473" s="18"/>
      <c r="G473" s="18"/>
      <c r="H473" s="20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spans="1:25" x14ac:dyDescent="0.3">
      <c r="A474" s="22"/>
      <c r="B474" s="18"/>
      <c r="C474" s="18"/>
      <c r="D474" s="18"/>
      <c r="E474" s="18"/>
      <c r="F474" s="18"/>
      <c r="G474" s="18"/>
      <c r="H474" s="20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spans="1:25" x14ac:dyDescent="0.3">
      <c r="A475" s="22"/>
      <c r="B475" s="18"/>
      <c r="C475" s="18"/>
      <c r="D475" s="18"/>
      <c r="E475" s="18"/>
      <c r="F475" s="18"/>
      <c r="G475" s="18"/>
      <c r="H475" s="20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spans="1:25" x14ac:dyDescent="0.3">
      <c r="A476" s="22"/>
      <c r="B476" s="18"/>
      <c r="C476" s="18"/>
      <c r="D476" s="18"/>
      <c r="E476" s="18"/>
      <c r="F476" s="18"/>
      <c r="G476" s="18"/>
      <c r="H476" s="20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spans="1:25" x14ac:dyDescent="0.3">
      <c r="A477" s="22"/>
      <c r="B477" s="18"/>
      <c r="C477" s="18"/>
      <c r="D477" s="18"/>
      <c r="E477" s="18"/>
      <c r="F477" s="18"/>
      <c r="G477" s="18"/>
      <c r="H477" s="20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spans="1:25" x14ac:dyDescent="0.3">
      <c r="A478" s="22"/>
      <c r="B478" s="18"/>
      <c r="C478" s="18"/>
      <c r="D478" s="18"/>
      <c r="E478" s="18"/>
      <c r="F478" s="18"/>
      <c r="G478" s="18"/>
      <c r="H478" s="20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spans="1:25" x14ac:dyDescent="0.3">
      <c r="A479" s="22"/>
      <c r="B479" s="18"/>
      <c r="C479" s="18"/>
      <c r="D479" s="18"/>
      <c r="E479" s="18"/>
      <c r="F479" s="18"/>
      <c r="G479" s="18"/>
      <c r="H479" s="20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spans="1:25" x14ac:dyDescent="0.3">
      <c r="A480" s="22"/>
      <c r="B480" s="18"/>
      <c r="C480" s="18"/>
      <c r="D480" s="18"/>
      <c r="E480" s="18"/>
      <c r="F480" s="18"/>
      <c r="G480" s="18"/>
      <c r="H480" s="20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spans="1:25" x14ac:dyDescent="0.3">
      <c r="A481" s="22"/>
      <c r="B481" s="18"/>
      <c r="C481" s="18"/>
      <c r="D481" s="18"/>
      <c r="E481" s="18"/>
      <c r="F481" s="18"/>
      <c r="G481" s="18"/>
      <c r="H481" s="20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spans="1:25" x14ac:dyDescent="0.3">
      <c r="A482" s="22"/>
      <c r="B482" s="18"/>
      <c r="C482" s="18"/>
      <c r="D482" s="18"/>
      <c r="E482" s="18"/>
      <c r="F482" s="18"/>
      <c r="G482" s="18"/>
      <c r="H482" s="20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spans="1:25" x14ac:dyDescent="0.3">
      <c r="A483" s="22"/>
      <c r="B483" s="18"/>
      <c r="C483" s="18"/>
      <c r="D483" s="18"/>
      <c r="E483" s="18"/>
      <c r="F483" s="18"/>
      <c r="G483" s="18"/>
      <c r="H483" s="20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spans="1:25" x14ac:dyDescent="0.3">
      <c r="A484" s="22"/>
      <c r="B484" s="18"/>
      <c r="C484" s="18"/>
      <c r="D484" s="18"/>
      <c r="E484" s="18"/>
      <c r="F484" s="18"/>
      <c r="G484" s="18"/>
      <c r="H484" s="20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spans="1:25" x14ac:dyDescent="0.3">
      <c r="A485" s="22"/>
      <c r="B485" s="18"/>
      <c r="C485" s="18"/>
      <c r="D485" s="18"/>
      <c r="E485" s="18"/>
      <c r="F485" s="18"/>
      <c r="G485" s="18"/>
      <c r="H485" s="20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spans="1:25" x14ac:dyDescent="0.3">
      <c r="A486" s="22"/>
      <c r="B486" s="18"/>
      <c r="C486" s="18"/>
      <c r="D486" s="18"/>
      <c r="E486" s="18"/>
      <c r="F486" s="18"/>
      <c r="G486" s="18"/>
      <c r="H486" s="20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spans="1:25" x14ac:dyDescent="0.3">
      <c r="A487" s="22"/>
      <c r="B487" s="18"/>
      <c r="C487" s="18"/>
      <c r="D487" s="18"/>
      <c r="E487" s="18"/>
      <c r="F487" s="18"/>
      <c r="G487" s="18"/>
      <c r="H487" s="20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spans="1:25" x14ac:dyDescent="0.3">
      <c r="A488" s="22"/>
      <c r="B488" s="18"/>
      <c r="C488" s="18"/>
      <c r="D488" s="18"/>
      <c r="E488" s="18"/>
      <c r="F488" s="18"/>
      <c r="G488" s="18"/>
      <c r="H488" s="20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spans="1:25" x14ac:dyDescent="0.3">
      <c r="A489" s="22"/>
      <c r="B489" s="18"/>
      <c r="C489" s="18"/>
      <c r="D489" s="18"/>
      <c r="E489" s="18"/>
      <c r="F489" s="18"/>
      <c r="G489" s="18"/>
      <c r="H489" s="20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spans="1:25" x14ac:dyDescent="0.3">
      <c r="A490" s="22"/>
      <c r="B490" s="18"/>
      <c r="C490" s="18"/>
      <c r="D490" s="18"/>
      <c r="E490" s="18"/>
      <c r="F490" s="18"/>
      <c r="G490" s="18"/>
      <c r="H490" s="20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spans="1:25" x14ac:dyDescent="0.3">
      <c r="A491" s="22"/>
      <c r="B491" s="18"/>
      <c r="C491" s="18"/>
      <c r="D491" s="18"/>
      <c r="E491" s="18"/>
      <c r="F491" s="18"/>
      <c r="G491" s="18"/>
      <c r="H491" s="20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spans="1:25" x14ac:dyDescent="0.3">
      <c r="A492" s="22"/>
      <c r="B492" s="18"/>
      <c r="C492" s="18"/>
      <c r="D492" s="18"/>
      <c r="E492" s="18"/>
      <c r="F492" s="18"/>
      <c r="G492" s="18"/>
      <c r="H492" s="20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spans="1:25" x14ac:dyDescent="0.3">
      <c r="A493" s="22"/>
      <c r="B493" s="18"/>
      <c r="C493" s="18"/>
      <c r="D493" s="18"/>
      <c r="E493" s="18"/>
      <c r="F493" s="18"/>
      <c r="G493" s="18"/>
      <c r="H493" s="20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spans="1:25" x14ac:dyDescent="0.3">
      <c r="A494" s="22"/>
      <c r="B494" s="18"/>
      <c r="C494" s="18"/>
      <c r="D494" s="18"/>
      <c r="E494" s="18"/>
      <c r="F494" s="18"/>
      <c r="G494" s="18"/>
      <c r="H494" s="20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spans="1:25" x14ac:dyDescent="0.3">
      <c r="A495" s="22"/>
      <c r="B495" s="18"/>
      <c r="C495" s="18"/>
      <c r="D495" s="18"/>
      <c r="E495" s="18"/>
      <c r="F495" s="18"/>
      <c r="G495" s="18"/>
      <c r="H495" s="20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spans="1:25" x14ac:dyDescent="0.3">
      <c r="A496" s="22"/>
      <c r="B496" s="18"/>
      <c r="C496" s="18"/>
      <c r="D496" s="18"/>
      <c r="E496" s="18"/>
      <c r="F496" s="18"/>
      <c r="G496" s="18"/>
      <c r="H496" s="20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spans="1:25" x14ac:dyDescent="0.3">
      <c r="A497" s="22"/>
      <c r="B497" s="18"/>
      <c r="C497" s="18"/>
      <c r="D497" s="18"/>
      <c r="E497" s="18"/>
      <c r="F497" s="18"/>
      <c r="G497" s="18"/>
      <c r="H497" s="20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spans="1:25" x14ac:dyDescent="0.3">
      <c r="A498" s="22"/>
      <c r="B498" s="18"/>
      <c r="C498" s="18"/>
      <c r="D498" s="18"/>
      <c r="E498" s="18"/>
      <c r="F498" s="18"/>
      <c r="G498" s="18"/>
      <c r="H498" s="20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spans="1:25" x14ac:dyDescent="0.3">
      <c r="A499" s="22"/>
      <c r="B499" s="18"/>
      <c r="C499" s="18"/>
      <c r="D499" s="18"/>
      <c r="E499" s="18"/>
      <c r="F499" s="18"/>
      <c r="G499" s="18"/>
      <c r="H499" s="20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spans="1:25" x14ac:dyDescent="0.3">
      <c r="A500" s="22"/>
      <c r="B500" s="18"/>
      <c r="C500" s="18"/>
      <c r="D500" s="18"/>
      <c r="E500" s="18"/>
      <c r="F500" s="18"/>
      <c r="G500" s="18"/>
      <c r="H500" s="20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spans="1:25" x14ac:dyDescent="0.3">
      <c r="A501" s="22"/>
      <c r="B501" s="18"/>
      <c r="C501" s="18"/>
      <c r="D501" s="18"/>
      <c r="E501" s="18"/>
      <c r="F501" s="18"/>
      <c r="G501" s="18"/>
      <c r="H501" s="20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spans="1:25" x14ac:dyDescent="0.3">
      <c r="A502" s="22"/>
      <c r="B502" s="18"/>
      <c r="C502" s="18"/>
      <c r="D502" s="18"/>
      <c r="E502" s="18"/>
      <c r="F502" s="18"/>
      <c r="G502" s="18"/>
      <c r="H502" s="20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spans="1:25" x14ac:dyDescent="0.3">
      <c r="A503" s="22"/>
      <c r="B503" s="18"/>
      <c r="C503" s="18"/>
      <c r="D503" s="18"/>
      <c r="E503" s="18"/>
      <c r="F503" s="18"/>
      <c r="G503" s="18"/>
      <c r="H503" s="20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spans="1:25" x14ac:dyDescent="0.3">
      <c r="A504" s="22"/>
      <c r="B504" s="18"/>
      <c r="C504" s="18"/>
      <c r="D504" s="18"/>
      <c r="E504" s="18"/>
      <c r="F504" s="18"/>
      <c r="G504" s="18"/>
      <c r="H504" s="20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spans="1:25" x14ac:dyDescent="0.3">
      <c r="A505" s="22"/>
      <c r="B505" s="18"/>
      <c r="C505" s="18"/>
      <c r="D505" s="18"/>
      <c r="E505" s="18"/>
      <c r="F505" s="18"/>
      <c r="G505" s="18"/>
      <c r="H505" s="20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spans="1:25" x14ac:dyDescent="0.3">
      <c r="A506" s="22"/>
      <c r="B506" s="18"/>
      <c r="C506" s="18"/>
      <c r="D506" s="18"/>
      <c r="E506" s="18"/>
      <c r="F506" s="18"/>
      <c r="G506" s="18"/>
      <c r="H506" s="20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spans="1:25" x14ac:dyDescent="0.3">
      <c r="A507" s="22"/>
      <c r="B507" s="18"/>
      <c r="C507" s="18"/>
      <c r="D507" s="18"/>
      <c r="E507" s="18"/>
      <c r="F507" s="18"/>
      <c r="G507" s="18"/>
      <c r="H507" s="20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spans="1:25" x14ac:dyDescent="0.3">
      <c r="A508" s="22"/>
      <c r="B508" s="18"/>
      <c r="C508" s="18"/>
      <c r="D508" s="18"/>
      <c r="E508" s="18"/>
      <c r="F508" s="18"/>
      <c r="G508" s="18"/>
      <c r="H508" s="20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spans="1:25" x14ac:dyDescent="0.3">
      <c r="A509" s="22"/>
      <c r="B509" s="18"/>
      <c r="C509" s="18"/>
      <c r="D509" s="18"/>
      <c r="E509" s="18"/>
      <c r="F509" s="18"/>
      <c r="G509" s="18"/>
      <c r="H509" s="20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spans="1:25" x14ac:dyDescent="0.3">
      <c r="A510" s="22"/>
      <c r="B510" s="18"/>
      <c r="C510" s="18"/>
      <c r="D510" s="18"/>
      <c r="E510" s="18"/>
      <c r="F510" s="18"/>
      <c r="G510" s="18"/>
      <c r="H510" s="20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spans="1:25" x14ac:dyDescent="0.3">
      <c r="A511" s="22"/>
      <c r="B511" s="18"/>
      <c r="C511" s="18"/>
      <c r="D511" s="18"/>
      <c r="E511" s="18"/>
      <c r="F511" s="18"/>
      <c r="G511" s="18"/>
      <c r="H511" s="20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spans="1:25" x14ac:dyDescent="0.3">
      <c r="A512" s="22"/>
      <c r="B512" s="18"/>
      <c r="C512" s="18"/>
      <c r="D512" s="18"/>
      <c r="E512" s="18"/>
      <c r="F512" s="18"/>
      <c r="G512" s="18"/>
      <c r="H512" s="20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spans="1:25" x14ac:dyDescent="0.3">
      <c r="A513" s="22"/>
      <c r="B513" s="18"/>
      <c r="C513" s="18"/>
      <c r="D513" s="18"/>
      <c r="E513" s="18"/>
      <c r="F513" s="18"/>
      <c r="G513" s="18"/>
      <c r="H513" s="20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spans="1:25" x14ac:dyDescent="0.3">
      <c r="A514" s="22"/>
      <c r="B514" s="18"/>
      <c r="C514" s="18"/>
      <c r="D514" s="18"/>
      <c r="E514" s="18"/>
      <c r="F514" s="18"/>
      <c r="G514" s="18"/>
      <c r="H514" s="20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spans="1:25" x14ac:dyDescent="0.3">
      <c r="A515" s="22"/>
      <c r="B515" s="18"/>
      <c r="C515" s="18"/>
      <c r="D515" s="18"/>
      <c r="E515" s="18"/>
      <c r="F515" s="18"/>
      <c r="G515" s="18"/>
      <c r="H515" s="20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spans="1:25" x14ac:dyDescent="0.3">
      <c r="A516" s="22"/>
      <c r="B516" s="18"/>
      <c r="C516" s="18"/>
      <c r="D516" s="18"/>
      <c r="E516" s="18"/>
      <c r="F516" s="18"/>
      <c r="G516" s="18"/>
      <c r="H516" s="20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spans="1:25" x14ac:dyDescent="0.3">
      <c r="A517" s="22"/>
      <c r="B517" s="18"/>
      <c r="C517" s="18"/>
      <c r="D517" s="18"/>
      <c r="E517" s="18"/>
      <c r="F517" s="18"/>
      <c r="G517" s="18"/>
      <c r="H517" s="20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spans="1:25" x14ac:dyDescent="0.3">
      <c r="A518" s="22"/>
      <c r="B518" s="18"/>
      <c r="C518" s="18"/>
      <c r="D518" s="18"/>
      <c r="E518" s="18"/>
      <c r="F518" s="18"/>
      <c r="G518" s="18"/>
      <c r="H518" s="20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spans="1:25" x14ac:dyDescent="0.3">
      <c r="A519" s="22"/>
      <c r="B519" s="18"/>
      <c r="C519" s="18"/>
      <c r="D519" s="18"/>
      <c r="E519" s="18"/>
      <c r="F519" s="18"/>
      <c r="G519" s="18"/>
      <c r="H519" s="20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spans="1:25" x14ac:dyDescent="0.3">
      <c r="A520" s="22"/>
      <c r="B520" s="18"/>
      <c r="C520" s="18"/>
      <c r="D520" s="18"/>
      <c r="E520" s="18"/>
      <c r="F520" s="18"/>
      <c r="G520" s="18"/>
      <c r="H520" s="20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spans="1:25" x14ac:dyDescent="0.3">
      <c r="A521" s="22"/>
      <c r="B521" s="18"/>
      <c r="C521" s="18"/>
      <c r="D521" s="18"/>
      <c r="E521" s="18"/>
      <c r="F521" s="18"/>
      <c r="G521" s="18"/>
      <c r="H521" s="20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spans="1:25" x14ac:dyDescent="0.3">
      <c r="A522" s="22"/>
      <c r="B522" s="18"/>
      <c r="C522" s="18"/>
      <c r="D522" s="18"/>
      <c r="E522" s="18"/>
      <c r="F522" s="18"/>
      <c r="G522" s="18"/>
      <c r="H522" s="20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spans="1:25" x14ac:dyDescent="0.3">
      <c r="A523" s="22"/>
      <c r="B523" s="18"/>
      <c r="C523" s="18"/>
      <c r="D523" s="18"/>
      <c r="E523" s="18"/>
      <c r="F523" s="18"/>
      <c r="G523" s="18"/>
      <c r="H523" s="20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spans="1:25" x14ac:dyDescent="0.3">
      <c r="A524" s="22"/>
      <c r="B524" s="18"/>
      <c r="C524" s="18"/>
      <c r="D524" s="18"/>
      <c r="E524" s="18"/>
      <c r="F524" s="18"/>
      <c r="G524" s="18"/>
      <c r="H524" s="20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spans="1:25" x14ac:dyDescent="0.3">
      <c r="A525" s="22"/>
      <c r="B525" s="18"/>
      <c r="C525" s="18"/>
      <c r="D525" s="18"/>
      <c r="E525" s="18"/>
      <c r="F525" s="18"/>
      <c r="G525" s="18"/>
      <c r="H525" s="20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spans="1:25" x14ac:dyDescent="0.3">
      <c r="A526" s="22"/>
      <c r="B526" s="18"/>
      <c r="C526" s="18"/>
      <c r="D526" s="18"/>
      <c r="E526" s="18"/>
      <c r="F526" s="18"/>
      <c r="G526" s="18"/>
      <c r="H526" s="20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spans="1:25" x14ac:dyDescent="0.3">
      <c r="A527" s="22"/>
      <c r="B527" s="18"/>
      <c r="C527" s="18"/>
      <c r="D527" s="18"/>
      <c r="E527" s="18"/>
      <c r="F527" s="18"/>
      <c r="G527" s="18"/>
      <c r="H527" s="20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spans="1:25" x14ac:dyDescent="0.3">
      <c r="A528" s="22"/>
      <c r="B528" s="18"/>
      <c r="C528" s="18"/>
      <c r="D528" s="18"/>
      <c r="E528" s="18"/>
      <c r="F528" s="18"/>
      <c r="G528" s="18"/>
      <c r="H528" s="20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spans="1:25" x14ac:dyDescent="0.3">
      <c r="A529" s="22"/>
      <c r="B529" s="18"/>
      <c r="C529" s="18"/>
      <c r="D529" s="18"/>
      <c r="E529" s="18"/>
      <c r="F529" s="18"/>
      <c r="G529" s="18"/>
      <c r="H529" s="20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spans="1:25" x14ac:dyDescent="0.3">
      <c r="A530" s="22"/>
      <c r="B530" s="18"/>
      <c r="C530" s="18"/>
      <c r="D530" s="18"/>
      <c r="E530" s="18"/>
      <c r="F530" s="18"/>
      <c r="G530" s="18"/>
      <c r="H530" s="20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spans="1:25" x14ac:dyDescent="0.3">
      <c r="A531" s="22"/>
      <c r="B531" s="18"/>
      <c r="C531" s="18"/>
      <c r="D531" s="18"/>
      <c r="E531" s="18"/>
      <c r="F531" s="18"/>
      <c r="G531" s="18"/>
      <c r="H531" s="20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spans="1:25" x14ac:dyDescent="0.3">
      <c r="A532" s="22"/>
      <c r="B532" s="18"/>
      <c r="C532" s="18"/>
      <c r="D532" s="18"/>
      <c r="E532" s="18"/>
      <c r="F532" s="18"/>
      <c r="G532" s="18"/>
      <c r="H532" s="20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spans="1:25" x14ac:dyDescent="0.3">
      <c r="A533" s="22"/>
      <c r="B533" s="18"/>
      <c r="C533" s="18"/>
      <c r="D533" s="18"/>
      <c r="E533" s="18"/>
      <c r="F533" s="18"/>
      <c r="G533" s="18"/>
      <c r="H533" s="20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spans="1:25" x14ac:dyDescent="0.3">
      <c r="A534" s="22"/>
      <c r="B534" s="18"/>
      <c r="C534" s="18"/>
      <c r="D534" s="18"/>
      <c r="E534" s="18"/>
      <c r="F534" s="18"/>
      <c r="G534" s="18"/>
      <c r="H534" s="20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spans="1:25" x14ac:dyDescent="0.3">
      <c r="A535" s="22"/>
      <c r="B535" s="18"/>
      <c r="C535" s="18"/>
      <c r="D535" s="18"/>
      <c r="E535" s="18"/>
      <c r="F535" s="18"/>
      <c r="G535" s="18"/>
      <c r="H535" s="20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spans="1:25" x14ac:dyDescent="0.3">
      <c r="A536" s="22"/>
      <c r="B536" s="18"/>
      <c r="C536" s="18"/>
      <c r="D536" s="18"/>
      <c r="E536" s="18"/>
      <c r="F536" s="18"/>
      <c r="G536" s="18"/>
      <c r="H536" s="20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spans="1:25" x14ac:dyDescent="0.3">
      <c r="A537" s="22"/>
      <c r="B537" s="18"/>
      <c r="C537" s="18"/>
      <c r="D537" s="18"/>
      <c r="E537" s="18"/>
      <c r="F537" s="18"/>
      <c r="G537" s="18"/>
      <c r="H537" s="20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spans="1:25" x14ac:dyDescent="0.3">
      <c r="A538" s="22"/>
      <c r="B538" s="18"/>
      <c r="C538" s="18"/>
      <c r="D538" s="18"/>
      <c r="E538" s="18"/>
      <c r="F538" s="18"/>
      <c r="G538" s="18"/>
      <c r="H538" s="20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spans="1:25" x14ac:dyDescent="0.3">
      <c r="A539" s="22"/>
      <c r="B539" s="18"/>
      <c r="C539" s="18"/>
      <c r="D539" s="18"/>
      <c r="E539" s="18"/>
      <c r="F539" s="18"/>
      <c r="G539" s="18"/>
      <c r="H539" s="20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spans="1:25" x14ac:dyDescent="0.3">
      <c r="A540" s="22"/>
      <c r="B540" s="18"/>
      <c r="C540" s="18"/>
      <c r="D540" s="18"/>
      <c r="E540" s="18"/>
      <c r="F540" s="18"/>
      <c r="G540" s="18"/>
      <c r="H540" s="20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spans="1:25" x14ac:dyDescent="0.3">
      <c r="A541" s="22"/>
      <c r="B541" s="18"/>
      <c r="C541" s="18"/>
      <c r="D541" s="18"/>
      <c r="E541" s="18"/>
      <c r="F541" s="18"/>
      <c r="G541" s="18"/>
      <c r="H541" s="20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spans="1:25" x14ac:dyDescent="0.3">
      <c r="A542" s="22"/>
      <c r="B542" s="18"/>
      <c r="C542" s="18"/>
      <c r="D542" s="18"/>
      <c r="E542" s="18"/>
      <c r="F542" s="18"/>
      <c r="G542" s="18"/>
      <c r="H542" s="20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spans="1:25" x14ac:dyDescent="0.3">
      <c r="A543" s="22"/>
      <c r="B543" s="18"/>
      <c r="C543" s="18"/>
      <c r="D543" s="18"/>
      <c r="E543" s="18"/>
      <c r="F543" s="18"/>
      <c r="G543" s="18"/>
      <c r="H543" s="20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spans="1:25" x14ac:dyDescent="0.3">
      <c r="A544" s="22"/>
      <c r="B544" s="18"/>
      <c r="C544" s="18"/>
      <c r="D544" s="18"/>
      <c r="E544" s="18"/>
      <c r="F544" s="18"/>
      <c r="G544" s="18"/>
      <c r="H544" s="20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spans="1:25" x14ac:dyDescent="0.3">
      <c r="A545" s="22"/>
      <c r="B545" s="18"/>
      <c r="C545" s="18"/>
      <c r="D545" s="18"/>
      <c r="E545" s="18"/>
      <c r="F545" s="18"/>
      <c r="G545" s="18"/>
      <c r="H545" s="20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spans="1:25" x14ac:dyDescent="0.3">
      <c r="A546" s="22"/>
      <c r="B546" s="18"/>
      <c r="C546" s="18"/>
      <c r="D546" s="18"/>
      <c r="E546" s="18"/>
      <c r="F546" s="18"/>
      <c r="G546" s="18"/>
      <c r="H546" s="20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spans="1:25" x14ac:dyDescent="0.3">
      <c r="A547" s="22"/>
      <c r="B547" s="18"/>
      <c r="C547" s="18"/>
      <c r="D547" s="18"/>
      <c r="E547" s="18"/>
      <c r="F547" s="18"/>
      <c r="G547" s="18"/>
      <c r="H547" s="20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spans="1:25" x14ac:dyDescent="0.3">
      <c r="A548" s="22"/>
      <c r="B548" s="18"/>
      <c r="C548" s="18"/>
      <c r="D548" s="18"/>
      <c r="E548" s="18"/>
      <c r="F548" s="18"/>
      <c r="G548" s="18"/>
      <c r="H548" s="20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spans="1:25" x14ac:dyDescent="0.3">
      <c r="A549" s="22"/>
      <c r="B549" s="18"/>
      <c r="C549" s="18"/>
      <c r="D549" s="18"/>
      <c r="E549" s="18"/>
      <c r="F549" s="18"/>
      <c r="G549" s="18"/>
      <c r="H549" s="20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spans="1:25" x14ac:dyDescent="0.3">
      <c r="A550" s="22"/>
      <c r="B550" s="18"/>
      <c r="C550" s="18"/>
      <c r="D550" s="18"/>
      <c r="E550" s="18"/>
      <c r="F550" s="18"/>
      <c r="G550" s="18"/>
      <c r="H550" s="20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spans="1:25" x14ac:dyDescent="0.3">
      <c r="A551" s="22"/>
      <c r="B551" s="18"/>
      <c r="C551" s="18"/>
      <c r="D551" s="18"/>
      <c r="E551" s="18"/>
      <c r="F551" s="18"/>
      <c r="G551" s="18"/>
      <c r="H551" s="20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spans="1:25" x14ac:dyDescent="0.3">
      <c r="A552" s="22"/>
      <c r="B552" s="18"/>
      <c r="C552" s="18"/>
      <c r="D552" s="18"/>
      <c r="E552" s="18"/>
      <c r="F552" s="18"/>
      <c r="G552" s="18"/>
      <c r="H552" s="20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spans="1:25" x14ac:dyDescent="0.3">
      <c r="A553" s="22"/>
      <c r="B553" s="18"/>
      <c r="C553" s="18"/>
      <c r="D553" s="18"/>
      <c r="E553" s="18"/>
      <c r="F553" s="18"/>
      <c r="G553" s="18"/>
      <c r="H553" s="20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spans="1:25" x14ac:dyDescent="0.3">
      <c r="A554" s="22"/>
      <c r="B554" s="18"/>
      <c r="C554" s="18"/>
      <c r="D554" s="18"/>
      <c r="E554" s="18"/>
      <c r="F554" s="18"/>
      <c r="G554" s="18"/>
      <c r="H554" s="20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spans="1:25" x14ac:dyDescent="0.3">
      <c r="A555" s="22"/>
      <c r="B555" s="18"/>
      <c r="C555" s="18"/>
      <c r="D555" s="18"/>
      <c r="E555" s="18"/>
      <c r="F555" s="18"/>
      <c r="G555" s="18"/>
      <c r="H555" s="20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25" x14ac:dyDescent="0.3">
      <c r="A556" s="22"/>
      <c r="B556" s="18"/>
      <c r="C556" s="18"/>
      <c r="D556" s="18"/>
      <c r="E556" s="18"/>
      <c r="F556" s="18"/>
      <c r="G556" s="18"/>
      <c r="H556" s="20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25" x14ac:dyDescent="0.3">
      <c r="A557" s="22"/>
      <c r="B557" s="18"/>
      <c r="C557" s="18"/>
      <c r="D557" s="18"/>
      <c r="E557" s="18"/>
      <c r="F557" s="18"/>
      <c r="G557" s="18"/>
      <c r="H557" s="20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25" x14ac:dyDescent="0.3">
      <c r="A558" s="22"/>
      <c r="B558" s="18"/>
      <c r="C558" s="18"/>
      <c r="D558" s="18"/>
      <c r="E558" s="18"/>
      <c r="F558" s="18"/>
      <c r="G558" s="18"/>
      <c r="H558" s="20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spans="1:25" x14ac:dyDescent="0.3">
      <c r="A559" s="22"/>
      <c r="B559" s="18"/>
      <c r="C559" s="18"/>
      <c r="D559" s="18"/>
      <c r="E559" s="18"/>
      <c r="F559" s="18"/>
      <c r="G559" s="18"/>
      <c r="H559" s="20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spans="1:25" x14ac:dyDescent="0.3">
      <c r="A560" s="22"/>
      <c r="B560" s="18"/>
      <c r="C560" s="18"/>
      <c r="D560" s="18"/>
      <c r="E560" s="18"/>
      <c r="F560" s="18"/>
      <c r="G560" s="18"/>
      <c r="H560" s="20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spans="1:25" x14ac:dyDescent="0.3">
      <c r="A561" s="22"/>
      <c r="B561" s="18"/>
      <c r="C561" s="18"/>
      <c r="D561" s="18"/>
      <c r="E561" s="18"/>
      <c r="F561" s="18"/>
      <c r="G561" s="18"/>
      <c r="H561" s="20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spans="1:25" x14ac:dyDescent="0.3">
      <c r="A562" s="22"/>
      <c r="B562" s="18"/>
      <c r="C562" s="18"/>
      <c r="D562" s="18"/>
      <c r="E562" s="18"/>
      <c r="F562" s="18"/>
      <c r="G562" s="18"/>
      <c r="H562" s="20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spans="1:25" x14ac:dyDescent="0.3">
      <c r="A563" s="22"/>
      <c r="B563" s="18"/>
      <c r="C563" s="18"/>
      <c r="D563" s="18"/>
      <c r="E563" s="18"/>
      <c r="F563" s="18"/>
      <c r="G563" s="18"/>
      <c r="H563" s="20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spans="1:25" x14ac:dyDescent="0.3">
      <c r="A564" s="22"/>
      <c r="B564" s="18"/>
      <c r="C564" s="18"/>
      <c r="D564" s="18"/>
      <c r="E564" s="18"/>
      <c r="F564" s="18"/>
      <c r="G564" s="18"/>
      <c r="H564" s="20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spans="1:25" x14ac:dyDescent="0.3">
      <c r="A565" s="22"/>
      <c r="B565" s="18"/>
      <c r="C565" s="18"/>
      <c r="D565" s="18"/>
      <c r="E565" s="18"/>
      <c r="F565" s="18"/>
      <c r="G565" s="18"/>
      <c r="H565" s="20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spans="1:25" x14ac:dyDescent="0.3">
      <c r="A566" s="22"/>
      <c r="B566" s="18"/>
      <c r="C566" s="18"/>
      <c r="D566" s="18"/>
      <c r="E566" s="18"/>
      <c r="F566" s="18"/>
      <c r="G566" s="18"/>
      <c r="H566" s="20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spans="1:25" x14ac:dyDescent="0.3">
      <c r="A567" s="22"/>
      <c r="B567" s="18"/>
      <c r="C567" s="18"/>
      <c r="D567" s="18"/>
      <c r="E567" s="18"/>
      <c r="F567" s="18"/>
      <c r="G567" s="18"/>
      <c r="H567" s="20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spans="1:25" x14ac:dyDescent="0.3">
      <c r="A568" s="22"/>
      <c r="B568" s="18"/>
      <c r="C568" s="18"/>
      <c r="D568" s="18"/>
      <c r="E568" s="18"/>
      <c r="F568" s="18"/>
      <c r="G568" s="18"/>
      <c r="H568" s="20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spans="1:25" x14ac:dyDescent="0.3">
      <c r="A569" s="22"/>
      <c r="B569" s="18"/>
      <c r="C569" s="18"/>
      <c r="D569" s="18"/>
      <c r="E569" s="18"/>
      <c r="F569" s="18"/>
      <c r="G569" s="18"/>
      <c r="H569" s="20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spans="1:25" x14ac:dyDescent="0.3">
      <c r="A570" s="22"/>
      <c r="B570" s="18"/>
      <c r="C570" s="18"/>
      <c r="D570" s="18"/>
      <c r="E570" s="18"/>
      <c r="F570" s="18"/>
      <c r="G570" s="18"/>
      <c r="H570" s="20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spans="1:25" x14ac:dyDescent="0.3">
      <c r="A571" s="22"/>
      <c r="B571" s="18"/>
      <c r="C571" s="18"/>
      <c r="D571" s="18"/>
      <c r="E571" s="18"/>
      <c r="F571" s="18"/>
      <c r="G571" s="18"/>
      <c r="H571" s="20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spans="1:25" x14ac:dyDescent="0.3">
      <c r="A572" s="22"/>
      <c r="B572" s="18"/>
      <c r="C572" s="18"/>
      <c r="D572" s="18"/>
      <c r="E572" s="18"/>
      <c r="F572" s="18"/>
      <c r="G572" s="18"/>
      <c r="H572" s="20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spans="1:25" x14ac:dyDescent="0.3">
      <c r="A573" s="22"/>
      <c r="B573" s="18"/>
      <c r="C573" s="18"/>
      <c r="D573" s="18"/>
      <c r="E573" s="18"/>
      <c r="F573" s="18"/>
      <c r="G573" s="18"/>
      <c r="H573" s="20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spans="1:25" x14ac:dyDescent="0.3">
      <c r="A574" s="22"/>
      <c r="B574" s="18"/>
      <c r="C574" s="18"/>
      <c r="D574" s="18"/>
      <c r="E574" s="18"/>
      <c r="F574" s="18"/>
      <c r="G574" s="18"/>
      <c r="H574" s="20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spans="1:25" x14ac:dyDescent="0.3">
      <c r="A575" s="22"/>
      <c r="B575" s="18"/>
      <c r="C575" s="18"/>
      <c r="D575" s="18"/>
      <c r="E575" s="18"/>
      <c r="F575" s="18"/>
      <c r="G575" s="18"/>
      <c r="H575" s="20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spans="1:25" x14ac:dyDescent="0.3">
      <c r="A576" s="22"/>
      <c r="B576" s="18"/>
      <c r="C576" s="18"/>
      <c r="D576" s="18"/>
      <c r="E576" s="18"/>
      <c r="F576" s="18"/>
      <c r="G576" s="18"/>
      <c r="H576" s="20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spans="1:25" x14ac:dyDescent="0.3">
      <c r="A577" s="22"/>
      <c r="B577" s="18"/>
      <c r="C577" s="18"/>
      <c r="D577" s="18"/>
      <c r="E577" s="18"/>
      <c r="F577" s="18"/>
      <c r="G577" s="18"/>
      <c r="H577" s="20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spans="1:25" x14ac:dyDescent="0.3">
      <c r="A578" s="22"/>
      <c r="B578" s="18"/>
      <c r="C578" s="18"/>
      <c r="D578" s="18"/>
      <c r="E578" s="18"/>
      <c r="F578" s="18"/>
      <c r="G578" s="18"/>
      <c r="H578" s="20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spans="1:25" x14ac:dyDescent="0.3">
      <c r="A579" s="22"/>
      <c r="B579" s="18"/>
      <c r="C579" s="18"/>
      <c r="D579" s="18"/>
      <c r="E579" s="18"/>
      <c r="F579" s="18"/>
      <c r="G579" s="18"/>
      <c r="H579" s="20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spans="1:25" x14ac:dyDescent="0.3">
      <c r="A580" s="22"/>
      <c r="B580" s="18"/>
      <c r="C580" s="18"/>
      <c r="D580" s="18"/>
      <c r="E580" s="18"/>
      <c r="F580" s="18"/>
      <c r="G580" s="18"/>
      <c r="H580" s="20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spans="1:25" x14ac:dyDescent="0.3">
      <c r="A581" s="22"/>
      <c r="B581" s="18"/>
      <c r="C581" s="18"/>
      <c r="D581" s="18"/>
      <c r="E581" s="18"/>
      <c r="F581" s="18"/>
      <c r="G581" s="18"/>
      <c r="H581" s="20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spans="1:25" x14ac:dyDescent="0.3">
      <c r="A582" s="22"/>
      <c r="B582" s="18"/>
      <c r="C582" s="18"/>
      <c r="D582" s="18"/>
      <c r="E582" s="18"/>
      <c r="F582" s="18"/>
      <c r="G582" s="18"/>
      <c r="H582" s="20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spans="1:25" x14ac:dyDescent="0.3">
      <c r="A583" s="22"/>
      <c r="B583" s="18"/>
      <c r="C583" s="18"/>
      <c r="D583" s="18"/>
      <c r="E583" s="18"/>
      <c r="F583" s="18"/>
      <c r="G583" s="18"/>
      <c r="H583" s="20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spans="1:25" x14ac:dyDescent="0.3">
      <c r="A584" s="22"/>
      <c r="B584" s="18"/>
      <c r="C584" s="18"/>
      <c r="D584" s="18"/>
      <c r="E584" s="18"/>
      <c r="F584" s="18"/>
      <c r="G584" s="18"/>
      <c r="H584" s="20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spans="1:25" x14ac:dyDescent="0.3">
      <c r="A585" s="22"/>
      <c r="B585" s="18"/>
      <c r="C585" s="18"/>
      <c r="D585" s="18"/>
      <c r="E585" s="18"/>
      <c r="F585" s="18"/>
      <c r="G585" s="18"/>
      <c r="H585" s="20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spans="1:25" x14ac:dyDescent="0.3">
      <c r="A586" s="22"/>
      <c r="B586" s="18"/>
      <c r="C586" s="18"/>
      <c r="D586" s="18"/>
      <c r="E586" s="18"/>
      <c r="F586" s="18"/>
      <c r="G586" s="18"/>
      <c r="H586" s="20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spans="1:25" x14ac:dyDescent="0.3">
      <c r="A587" s="22"/>
      <c r="B587" s="18"/>
      <c r="C587" s="18"/>
      <c r="D587" s="18"/>
      <c r="E587" s="18"/>
      <c r="F587" s="18"/>
      <c r="G587" s="18"/>
      <c r="H587" s="20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spans="1:25" x14ac:dyDescent="0.3">
      <c r="A588" s="22"/>
      <c r="B588" s="18"/>
      <c r="C588" s="18"/>
      <c r="D588" s="18"/>
      <c r="E588" s="18"/>
      <c r="F588" s="18"/>
      <c r="G588" s="18"/>
      <c r="H588" s="20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spans="1:25" x14ac:dyDescent="0.3">
      <c r="A589" s="22"/>
      <c r="B589" s="18"/>
      <c r="C589" s="18"/>
      <c r="D589" s="18"/>
      <c r="E589" s="18"/>
      <c r="F589" s="18"/>
      <c r="G589" s="18"/>
      <c r="H589" s="20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spans="1:25" x14ac:dyDescent="0.3">
      <c r="A590" s="22"/>
      <c r="B590" s="18"/>
      <c r="C590" s="18"/>
      <c r="D590" s="18"/>
      <c r="E590" s="18"/>
      <c r="F590" s="18"/>
      <c r="G590" s="18"/>
      <c r="H590" s="20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spans="1:25" x14ac:dyDescent="0.3">
      <c r="A591" s="22"/>
      <c r="B591" s="18"/>
      <c r="C591" s="18"/>
      <c r="D591" s="18"/>
      <c r="E591" s="18"/>
      <c r="F591" s="18"/>
      <c r="G591" s="18"/>
      <c r="H591" s="20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spans="1:25" x14ac:dyDescent="0.3">
      <c r="A592" s="22"/>
      <c r="B592" s="18"/>
      <c r="C592" s="18"/>
      <c r="D592" s="18"/>
      <c r="E592" s="18"/>
      <c r="F592" s="18"/>
      <c r="G592" s="18"/>
      <c r="H592" s="20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spans="1:25" x14ac:dyDescent="0.3">
      <c r="A593" s="22"/>
      <c r="B593" s="18"/>
      <c r="C593" s="18"/>
      <c r="D593" s="18"/>
      <c r="E593" s="18"/>
      <c r="F593" s="18"/>
      <c r="G593" s="18"/>
      <c r="H593" s="20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spans="1:25" x14ac:dyDescent="0.3">
      <c r="A594" s="22"/>
      <c r="B594" s="18"/>
      <c r="C594" s="18"/>
      <c r="D594" s="18"/>
      <c r="E594" s="18"/>
      <c r="F594" s="18"/>
      <c r="G594" s="18"/>
      <c r="H594" s="20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spans="1:25" x14ac:dyDescent="0.3">
      <c r="A595" s="22"/>
      <c r="B595" s="18"/>
      <c r="C595" s="18"/>
      <c r="D595" s="18"/>
      <c r="E595" s="18"/>
      <c r="F595" s="18"/>
      <c r="G595" s="18"/>
      <c r="H595" s="20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spans="1:25" x14ac:dyDescent="0.3">
      <c r="A596" s="22"/>
      <c r="B596" s="18"/>
      <c r="C596" s="18"/>
      <c r="D596" s="18"/>
      <c r="E596" s="18"/>
      <c r="F596" s="18"/>
      <c r="G596" s="18"/>
      <c r="H596" s="20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spans="1:25" x14ac:dyDescent="0.3">
      <c r="A597" s="22"/>
      <c r="B597" s="18"/>
      <c r="C597" s="18"/>
      <c r="D597" s="18"/>
      <c r="E597" s="18"/>
      <c r="F597" s="18"/>
      <c r="G597" s="18"/>
      <c r="H597" s="20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spans="1:25" x14ac:dyDescent="0.3">
      <c r="A598" s="22"/>
      <c r="B598" s="18"/>
      <c r="C598" s="18"/>
      <c r="D598" s="18"/>
      <c r="E598" s="18"/>
      <c r="F598" s="18"/>
      <c r="G598" s="18"/>
      <c r="H598" s="20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spans="1:25" x14ac:dyDescent="0.3">
      <c r="A599" s="22"/>
      <c r="B599" s="18"/>
      <c r="C599" s="18"/>
      <c r="D599" s="18"/>
      <c r="E599" s="18"/>
      <c r="F599" s="18"/>
      <c r="G599" s="18"/>
      <c r="H599" s="20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spans="1:25" x14ac:dyDescent="0.3">
      <c r="A600" s="22"/>
      <c r="B600" s="18"/>
      <c r="C600" s="18"/>
      <c r="D600" s="18"/>
      <c r="E600" s="18"/>
      <c r="F600" s="18"/>
      <c r="G600" s="18"/>
      <c r="H600" s="20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spans="1:25" x14ac:dyDescent="0.3">
      <c r="A601" s="22"/>
      <c r="B601" s="18"/>
      <c r="C601" s="18"/>
      <c r="D601" s="18"/>
      <c r="E601" s="18"/>
      <c r="F601" s="18"/>
      <c r="G601" s="18"/>
      <c r="H601" s="20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spans="1:25" x14ac:dyDescent="0.3">
      <c r="A602" s="22"/>
      <c r="B602" s="18"/>
      <c r="C602" s="18"/>
      <c r="D602" s="18"/>
      <c r="E602" s="18"/>
      <c r="F602" s="18"/>
      <c r="G602" s="18"/>
      <c r="H602" s="20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spans="1:25" x14ac:dyDescent="0.3">
      <c r="A603" s="22"/>
      <c r="B603" s="18"/>
      <c r="C603" s="18"/>
      <c r="D603" s="18"/>
      <c r="E603" s="18"/>
      <c r="F603" s="18"/>
      <c r="G603" s="18"/>
      <c r="H603" s="20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spans="1:25" x14ac:dyDescent="0.3">
      <c r="A604" s="22"/>
      <c r="B604" s="18"/>
      <c r="C604" s="18"/>
      <c r="D604" s="18"/>
      <c r="E604" s="18"/>
      <c r="F604" s="18"/>
      <c r="G604" s="18"/>
      <c r="H604" s="20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spans="1:25" x14ac:dyDescent="0.3">
      <c r="A605" s="22"/>
      <c r="B605" s="18"/>
      <c r="C605" s="18"/>
      <c r="D605" s="18"/>
      <c r="E605" s="18"/>
      <c r="F605" s="18"/>
      <c r="G605" s="18"/>
      <c r="H605" s="20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spans="1:25" x14ac:dyDescent="0.3">
      <c r="A606" s="22"/>
      <c r="B606" s="18"/>
      <c r="C606" s="18"/>
      <c r="D606" s="18"/>
      <c r="E606" s="18"/>
      <c r="F606" s="18"/>
      <c r="G606" s="18"/>
      <c r="H606" s="20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spans="1:25" x14ac:dyDescent="0.3">
      <c r="A607" s="22"/>
      <c r="B607" s="18"/>
      <c r="C607" s="18"/>
      <c r="D607" s="18"/>
      <c r="E607" s="18"/>
      <c r="F607" s="18"/>
      <c r="G607" s="18"/>
      <c r="H607" s="20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spans="1:25" x14ac:dyDescent="0.3">
      <c r="A608" s="22"/>
      <c r="B608" s="18"/>
      <c r="C608" s="18"/>
      <c r="D608" s="18"/>
      <c r="E608" s="18"/>
      <c r="F608" s="18"/>
      <c r="G608" s="18"/>
      <c r="H608" s="20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spans="1:25" x14ac:dyDescent="0.3">
      <c r="A609" s="22"/>
      <c r="B609" s="18"/>
      <c r="C609" s="18"/>
      <c r="D609" s="18"/>
      <c r="E609" s="18"/>
      <c r="F609" s="18"/>
      <c r="G609" s="18"/>
      <c r="H609" s="20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spans="1:25" x14ac:dyDescent="0.3">
      <c r="A610" s="22"/>
      <c r="B610" s="18"/>
      <c r="C610" s="18"/>
      <c r="D610" s="18"/>
      <c r="E610" s="18"/>
      <c r="F610" s="18"/>
      <c r="G610" s="18"/>
      <c r="H610" s="20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spans="1:25" x14ac:dyDescent="0.3">
      <c r="A611" s="22"/>
      <c r="B611" s="18"/>
      <c r="C611" s="18"/>
      <c r="D611" s="18"/>
      <c r="E611" s="18"/>
      <c r="F611" s="18"/>
      <c r="G611" s="18"/>
      <c r="H611" s="20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spans="1:25" x14ac:dyDescent="0.3">
      <c r="A612" s="22"/>
      <c r="B612" s="18"/>
      <c r="C612" s="18"/>
      <c r="D612" s="18"/>
      <c r="E612" s="18"/>
      <c r="F612" s="18"/>
      <c r="G612" s="18"/>
      <c r="H612" s="20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spans="1:25" x14ac:dyDescent="0.3">
      <c r="A613" s="22"/>
      <c r="B613" s="18"/>
      <c r="C613" s="18"/>
      <c r="D613" s="18"/>
      <c r="E613" s="18"/>
      <c r="F613" s="18"/>
      <c r="G613" s="18"/>
      <c r="H613" s="20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spans="1:25" x14ac:dyDescent="0.3">
      <c r="A614" s="22"/>
      <c r="B614" s="18"/>
      <c r="C614" s="18"/>
      <c r="D614" s="18"/>
      <c r="E614" s="18"/>
      <c r="F614" s="18"/>
      <c r="G614" s="18"/>
      <c r="H614" s="20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spans="1:25" x14ac:dyDescent="0.3">
      <c r="A615" s="22"/>
      <c r="B615" s="18"/>
      <c r="C615" s="18"/>
      <c r="D615" s="18"/>
      <c r="E615" s="18"/>
      <c r="F615" s="18"/>
      <c r="G615" s="18"/>
      <c r="H615" s="20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spans="1:25" x14ac:dyDescent="0.3">
      <c r="A616" s="22"/>
      <c r="B616" s="18"/>
      <c r="C616" s="18"/>
      <c r="D616" s="18"/>
      <c r="E616" s="18"/>
      <c r="F616" s="18"/>
      <c r="G616" s="18"/>
      <c r="H616" s="20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spans="1:25" x14ac:dyDescent="0.3">
      <c r="A617" s="22"/>
      <c r="B617" s="18"/>
      <c r="C617" s="18"/>
      <c r="D617" s="18"/>
      <c r="E617" s="18"/>
      <c r="F617" s="18"/>
      <c r="G617" s="18"/>
      <c r="H617" s="20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spans="1:25" x14ac:dyDescent="0.3">
      <c r="A618" s="22"/>
      <c r="B618" s="18"/>
      <c r="C618" s="18"/>
      <c r="D618" s="18"/>
      <c r="E618" s="18"/>
      <c r="F618" s="18"/>
      <c r="G618" s="18"/>
      <c r="H618" s="20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spans="1:25" x14ac:dyDescent="0.3">
      <c r="A619" s="22"/>
      <c r="B619" s="18"/>
      <c r="C619" s="18"/>
      <c r="D619" s="18"/>
      <c r="E619" s="18"/>
      <c r="F619" s="18"/>
      <c r="G619" s="18"/>
      <c r="H619" s="20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spans="1:25" x14ac:dyDescent="0.3">
      <c r="A620" s="22"/>
      <c r="B620" s="18"/>
      <c r="C620" s="18"/>
      <c r="D620" s="18"/>
      <c r="E620" s="18"/>
      <c r="F620" s="18"/>
      <c r="G620" s="18"/>
      <c r="H620" s="20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spans="1:25" x14ac:dyDescent="0.3">
      <c r="A621" s="22"/>
      <c r="B621" s="18"/>
      <c r="C621" s="18"/>
      <c r="D621" s="18"/>
      <c r="E621" s="18"/>
      <c r="F621" s="18"/>
      <c r="G621" s="18"/>
      <c r="H621" s="20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spans="1:25" x14ac:dyDescent="0.3">
      <c r="A622" s="22"/>
      <c r="B622" s="18"/>
      <c r="C622" s="18"/>
      <c r="D622" s="18"/>
      <c r="E622" s="18"/>
      <c r="F622" s="18"/>
      <c r="G622" s="18"/>
      <c r="H622" s="20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spans="1:25" x14ac:dyDescent="0.3">
      <c r="A623" s="22"/>
      <c r="B623" s="18"/>
      <c r="C623" s="18"/>
      <c r="D623" s="18"/>
      <c r="E623" s="18"/>
      <c r="F623" s="18"/>
      <c r="G623" s="18"/>
      <c r="H623" s="20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spans="1:25" x14ac:dyDescent="0.3">
      <c r="A624" s="22"/>
      <c r="B624" s="18"/>
      <c r="C624" s="18"/>
      <c r="D624" s="18"/>
      <c r="E624" s="18"/>
      <c r="F624" s="18"/>
      <c r="G624" s="18"/>
      <c r="H624" s="20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spans="1:25" x14ac:dyDescent="0.3">
      <c r="A625" s="22"/>
      <c r="B625" s="18"/>
      <c r="C625" s="18"/>
      <c r="D625" s="18"/>
      <c r="E625" s="18"/>
      <c r="F625" s="18"/>
      <c r="G625" s="18"/>
      <c r="H625" s="20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spans="1:25" x14ac:dyDescent="0.3">
      <c r="A626" s="22"/>
      <c r="B626" s="18"/>
      <c r="C626" s="18"/>
      <c r="D626" s="18"/>
      <c r="E626" s="18"/>
      <c r="F626" s="18"/>
      <c r="G626" s="18"/>
      <c r="H626" s="20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spans="1:25" x14ac:dyDescent="0.3">
      <c r="A627" s="22"/>
      <c r="B627" s="18"/>
      <c r="C627" s="18"/>
      <c r="D627" s="18"/>
      <c r="E627" s="18"/>
      <c r="F627" s="18"/>
      <c r="G627" s="18"/>
      <c r="H627" s="20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spans="1:25" x14ac:dyDescent="0.3">
      <c r="A628" s="22"/>
      <c r="B628" s="18"/>
      <c r="C628" s="18"/>
      <c r="D628" s="18"/>
      <c r="E628" s="18"/>
      <c r="F628" s="18"/>
      <c r="G628" s="18"/>
      <c r="H628" s="20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spans="1:25" x14ac:dyDescent="0.3">
      <c r="A629" s="22"/>
      <c r="B629" s="18"/>
      <c r="C629" s="18"/>
      <c r="D629" s="18"/>
      <c r="E629" s="18"/>
      <c r="F629" s="18"/>
      <c r="G629" s="18"/>
      <c r="H629" s="20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spans="1:25" x14ac:dyDescent="0.3">
      <c r="A630" s="22"/>
      <c r="B630" s="18"/>
      <c r="C630" s="18"/>
      <c r="D630" s="18"/>
      <c r="E630" s="18"/>
      <c r="F630" s="18"/>
      <c r="G630" s="18"/>
      <c r="H630" s="20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spans="1:25" x14ac:dyDescent="0.3">
      <c r="A631" s="22"/>
      <c r="B631" s="18"/>
      <c r="C631" s="18"/>
      <c r="D631" s="18"/>
      <c r="E631" s="18"/>
      <c r="F631" s="18"/>
      <c r="G631" s="18"/>
      <c r="H631" s="20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spans="1:25" x14ac:dyDescent="0.3">
      <c r="A632" s="22"/>
      <c r="B632" s="18"/>
      <c r="C632" s="18"/>
      <c r="D632" s="18"/>
      <c r="E632" s="18"/>
      <c r="F632" s="18"/>
      <c r="G632" s="18"/>
      <c r="H632" s="20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spans="1:25" x14ac:dyDescent="0.3">
      <c r="A633" s="22"/>
      <c r="B633" s="18"/>
      <c r="C633" s="18"/>
      <c r="D633" s="18"/>
      <c r="E633" s="18"/>
      <c r="F633" s="18"/>
      <c r="G633" s="18"/>
      <c r="H633" s="20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spans="1:25" x14ac:dyDescent="0.3">
      <c r="A634" s="22"/>
      <c r="B634" s="18"/>
      <c r="C634" s="18"/>
      <c r="D634" s="18"/>
      <c r="E634" s="18"/>
      <c r="F634" s="18"/>
      <c r="G634" s="18"/>
      <c r="H634" s="20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spans="1:25" x14ac:dyDescent="0.3">
      <c r="A635" s="22"/>
      <c r="B635" s="18"/>
      <c r="C635" s="18"/>
      <c r="D635" s="18"/>
      <c r="E635" s="18"/>
      <c r="F635" s="18"/>
      <c r="G635" s="18"/>
      <c r="H635" s="20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spans="1:25" x14ac:dyDescent="0.3">
      <c r="A636" s="22"/>
      <c r="B636" s="18"/>
      <c r="C636" s="18"/>
      <c r="D636" s="18"/>
      <c r="E636" s="18"/>
      <c r="F636" s="18"/>
      <c r="G636" s="18"/>
      <c r="H636" s="20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spans="1:25" x14ac:dyDescent="0.3">
      <c r="A637" s="22"/>
      <c r="B637" s="18"/>
      <c r="C637" s="18"/>
      <c r="D637" s="18"/>
      <c r="E637" s="18"/>
      <c r="F637" s="18"/>
      <c r="G637" s="18"/>
      <c r="H637" s="20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spans="1:25" x14ac:dyDescent="0.3">
      <c r="A638" s="22"/>
      <c r="B638" s="18"/>
      <c r="C638" s="18"/>
      <c r="D638" s="18"/>
      <c r="E638" s="18"/>
      <c r="F638" s="18"/>
      <c r="G638" s="18"/>
      <c r="H638" s="20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spans="1:25" x14ac:dyDescent="0.3">
      <c r="A639" s="22"/>
      <c r="B639" s="18"/>
      <c r="C639" s="18"/>
      <c r="D639" s="18"/>
      <c r="E639" s="18"/>
      <c r="F639" s="18"/>
      <c r="G639" s="18"/>
      <c r="H639" s="20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spans="1:25" x14ac:dyDescent="0.3">
      <c r="A640" s="22"/>
      <c r="B640" s="18"/>
      <c r="C640" s="18"/>
      <c r="D640" s="18"/>
      <c r="E640" s="18"/>
      <c r="F640" s="18"/>
      <c r="G640" s="18"/>
      <c r="H640" s="20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5" x14ac:dyDescent="0.3">
      <c r="A641" s="22"/>
      <c r="B641" s="18"/>
      <c r="C641" s="18"/>
      <c r="D641" s="18"/>
      <c r="E641" s="18"/>
      <c r="F641" s="18"/>
      <c r="G641" s="18"/>
      <c r="H641" s="20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spans="1:25" x14ac:dyDescent="0.3">
      <c r="A642" s="22"/>
      <c r="B642" s="18"/>
      <c r="C642" s="18"/>
      <c r="D642" s="18"/>
      <c r="E642" s="18"/>
      <c r="F642" s="18"/>
      <c r="G642" s="18"/>
      <c r="H642" s="20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spans="1:25" x14ac:dyDescent="0.3">
      <c r="A643" s="22"/>
      <c r="B643" s="18"/>
      <c r="C643" s="18"/>
      <c r="D643" s="18"/>
      <c r="E643" s="18"/>
      <c r="F643" s="18"/>
      <c r="G643" s="18"/>
      <c r="H643" s="20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spans="1:25" x14ac:dyDescent="0.3">
      <c r="A644" s="22"/>
      <c r="B644" s="18"/>
      <c r="C644" s="18"/>
      <c r="D644" s="18"/>
      <c r="E644" s="18"/>
      <c r="F644" s="18"/>
      <c r="G644" s="18"/>
      <c r="H644" s="20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spans="1:25" x14ac:dyDescent="0.3">
      <c r="A645" s="22"/>
      <c r="B645" s="18"/>
      <c r="C645" s="18"/>
      <c r="D645" s="18"/>
      <c r="E645" s="18"/>
      <c r="F645" s="18"/>
      <c r="G645" s="18"/>
      <c r="H645" s="20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spans="1:25" x14ac:dyDescent="0.3">
      <c r="A646" s="22"/>
      <c r="B646" s="18"/>
      <c r="C646" s="18"/>
      <c r="D646" s="18"/>
      <c r="E646" s="18"/>
      <c r="F646" s="18"/>
      <c r="G646" s="18"/>
      <c r="H646" s="20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spans="1:25" x14ac:dyDescent="0.3">
      <c r="A647" s="22"/>
      <c r="B647" s="18"/>
      <c r="C647" s="18"/>
      <c r="D647" s="18"/>
      <c r="E647" s="18"/>
      <c r="F647" s="18"/>
      <c r="G647" s="18"/>
      <c r="H647" s="20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spans="1:25" x14ac:dyDescent="0.3">
      <c r="A648" s="22"/>
      <c r="B648" s="18"/>
      <c r="C648" s="18"/>
      <c r="D648" s="18"/>
      <c r="E648" s="18"/>
      <c r="F648" s="18"/>
      <c r="G648" s="18"/>
      <c r="H648" s="20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spans="1:25" x14ac:dyDescent="0.3">
      <c r="A649" s="22"/>
      <c r="B649" s="18"/>
      <c r="C649" s="18"/>
      <c r="D649" s="18"/>
      <c r="E649" s="18"/>
      <c r="F649" s="18"/>
      <c r="G649" s="18"/>
      <c r="H649" s="20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spans="1:25" x14ac:dyDescent="0.3">
      <c r="A650" s="22"/>
      <c r="B650" s="18"/>
      <c r="C650" s="18"/>
      <c r="D650" s="18"/>
      <c r="E650" s="18"/>
      <c r="F650" s="18"/>
      <c r="G650" s="18"/>
      <c r="H650" s="20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spans="1:25" x14ac:dyDescent="0.3">
      <c r="A651" s="22"/>
      <c r="B651" s="18"/>
      <c r="C651" s="18"/>
      <c r="D651" s="18"/>
      <c r="E651" s="18"/>
      <c r="F651" s="18"/>
      <c r="G651" s="18"/>
      <c r="H651" s="20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spans="1:25" x14ac:dyDescent="0.3">
      <c r="A652" s="22"/>
      <c r="B652" s="18"/>
      <c r="C652" s="18"/>
      <c r="D652" s="18"/>
      <c r="E652" s="18"/>
      <c r="F652" s="18"/>
      <c r="G652" s="18"/>
      <c r="H652" s="20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spans="1:25" x14ac:dyDescent="0.3">
      <c r="A653" s="22"/>
      <c r="B653" s="18"/>
      <c r="C653" s="18"/>
      <c r="D653" s="18"/>
      <c r="E653" s="18"/>
      <c r="F653" s="18"/>
      <c r="G653" s="18"/>
      <c r="H653" s="20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spans="1:25" x14ac:dyDescent="0.3">
      <c r="A654" s="22"/>
      <c r="B654" s="18"/>
      <c r="C654" s="18"/>
      <c r="D654" s="18"/>
      <c r="E654" s="18"/>
      <c r="F654" s="18"/>
      <c r="G654" s="18"/>
      <c r="H654" s="20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spans="1:25" x14ac:dyDescent="0.3">
      <c r="A655" s="22"/>
      <c r="B655" s="18"/>
      <c r="C655" s="18"/>
      <c r="D655" s="18"/>
      <c r="E655" s="18"/>
      <c r="F655" s="18"/>
      <c r="G655" s="18"/>
      <c r="H655" s="20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spans="1:25" x14ac:dyDescent="0.3">
      <c r="A656" s="22"/>
      <c r="B656" s="18"/>
      <c r="C656" s="18"/>
      <c r="D656" s="18"/>
      <c r="E656" s="18"/>
      <c r="F656" s="18"/>
      <c r="G656" s="18"/>
      <c r="H656" s="20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spans="1:25" x14ac:dyDescent="0.3">
      <c r="A657" s="22"/>
      <c r="B657" s="18"/>
      <c r="C657" s="18"/>
      <c r="D657" s="18"/>
      <c r="E657" s="18"/>
      <c r="F657" s="18"/>
      <c r="G657" s="18"/>
      <c r="H657" s="20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spans="1:25" x14ac:dyDescent="0.3">
      <c r="A658" s="22"/>
      <c r="B658" s="18"/>
      <c r="C658" s="18"/>
      <c r="D658" s="18"/>
      <c r="E658" s="18"/>
      <c r="F658" s="18"/>
      <c r="G658" s="18"/>
      <c r="H658" s="20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spans="1:25" x14ac:dyDescent="0.3">
      <c r="A659" s="22"/>
      <c r="B659" s="18"/>
      <c r="C659" s="18"/>
      <c r="D659" s="18"/>
      <c r="E659" s="18"/>
      <c r="F659" s="18"/>
      <c r="G659" s="18"/>
      <c r="H659" s="20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spans="1:25" x14ac:dyDescent="0.3">
      <c r="A660" s="22"/>
      <c r="B660" s="18"/>
      <c r="C660" s="18"/>
      <c r="D660" s="18"/>
      <c r="E660" s="18"/>
      <c r="F660" s="18"/>
      <c r="G660" s="18"/>
      <c r="H660" s="20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spans="1:25" x14ac:dyDescent="0.3">
      <c r="A661" s="22"/>
      <c r="B661" s="18"/>
      <c r="C661" s="18"/>
      <c r="D661" s="18"/>
      <c r="E661" s="18"/>
      <c r="F661" s="18"/>
      <c r="G661" s="18"/>
      <c r="H661" s="20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spans="1:25" x14ac:dyDescent="0.3">
      <c r="A662" s="22"/>
      <c r="B662" s="18"/>
      <c r="C662" s="18"/>
      <c r="D662" s="18"/>
      <c r="E662" s="18"/>
      <c r="F662" s="18"/>
      <c r="G662" s="18"/>
      <c r="H662" s="20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spans="1:25" x14ac:dyDescent="0.3">
      <c r="A663" s="22"/>
      <c r="B663" s="18"/>
      <c r="C663" s="18"/>
      <c r="D663" s="18"/>
      <c r="E663" s="18"/>
      <c r="F663" s="18"/>
      <c r="G663" s="18"/>
      <c r="H663" s="20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spans="1:25" x14ac:dyDescent="0.3">
      <c r="A664" s="22"/>
      <c r="B664" s="18"/>
      <c r="C664" s="18"/>
      <c r="D664" s="18"/>
      <c r="E664" s="18"/>
      <c r="F664" s="18"/>
      <c r="G664" s="18"/>
      <c r="H664" s="20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spans="1:25" x14ac:dyDescent="0.3">
      <c r="A665" s="22"/>
      <c r="B665" s="18"/>
      <c r="C665" s="18"/>
      <c r="D665" s="18"/>
      <c r="E665" s="18"/>
      <c r="F665" s="18"/>
      <c r="G665" s="18"/>
      <c r="H665" s="20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spans="1:25" x14ac:dyDescent="0.3">
      <c r="A666" s="22"/>
      <c r="B666" s="18"/>
      <c r="C666" s="18"/>
      <c r="D666" s="18"/>
      <c r="E666" s="18"/>
      <c r="F666" s="18"/>
      <c r="G666" s="18"/>
      <c r="H666" s="20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spans="1:25" x14ac:dyDescent="0.3">
      <c r="A667" s="22"/>
      <c r="B667" s="18"/>
      <c r="C667" s="18"/>
      <c r="D667" s="18"/>
      <c r="E667" s="18"/>
      <c r="F667" s="18"/>
      <c r="G667" s="18"/>
      <c r="H667" s="20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spans="1:25" x14ac:dyDescent="0.3">
      <c r="A668" s="22"/>
      <c r="B668" s="18"/>
      <c r="C668" s="18"/>
      <c r="D668" s="18"/>
      <c r="E668" s="18"/>
      <c r="F668" s="18"/>
      <c r="G668" s="18"/>
      <c r="H668" s="20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spans="1:25" x14ac:dyDescent="0.3">
      <c r="A669" s="22"/>
      <c r="B669" s="18"/>
      <c r="C669" s="18"/>
      <c r="D669" s="18"/>
      <c r="E669" s="18"/>
      <c r="F669" s="18"/>
      <c r="G669" s="18"/>
      <c r="H669" s="20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spans="1:25" x14ac:dyDescent="0.3">
      <c r="A670" s="22"/>
      <c r="B670" s="18"/>
      <c r="C670" s="18"/>
      <c r="D670" s="18"/>
      <c r="E670" s="18"/>
      <c r="F670" s="18"/>
      <c r="G670" s="18"/>
      <c r="H670" s="20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spans="1:25" x14ac:dyDescent="0.3">
      <c r="A671" s="22"/>
      <c r="B671" s="18"/>
      <c r="C671" s="18"/>
      <c r="D671" s="18"/>
      <c r="E671" s="18"/>
      <c r="F671" s="18"/>
      <c r="G671" s="18"/>
      <c r="H671" s="20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spans="1:25" x14ac:dyDescent="0.3">
      <c r="A672" s="22"/>
      <c r="B672" s="18"/>
      <c r="C672" s="18"/>
      <c r="D672" s="18"/>
      <c r="E672" s="18"/>
      <c r="F672" s="18"/>
      <c r="G672" s="18"/>
      <c r="H672" s="20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spans="1:25" x14ac:dyDescent="0.3">
      <c r="A673" s="22"/>
      <c r="B673" s="18"/>
      <c r="C673" s="18"/>
      <c r="D673" s="18"/>
      <c r="E673" s="18"/>
      <c r="F673" s="18"/>
      <c r="G673" s="18"/>
      <c r="H673" s="20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spans="1:25" x14ac:dyDescent="0.3">
      <c r="A674" s="22"/>
      <c r="B674" s="18"/>
      <c r="C674" s="18"/>
      <c r="D674" s="18"/>
      <c r="E674" s="18"/>
      <c r="F674" s="18"/>
      <c r="G674" s="18"/>
      <c r="H674" s="20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spans="1:25" x14ac:dyDescent="0.3">
      <c r="A675" s="22"/>
      <c r="B675" s="18"/>
      <c r="C675" s="18"/>
      <c r="D675" s="18"/>
      <c r="E675" s="18"/>
      <c r="F675" s="18"/>
      <c r="G675" s="18"/>
      <c r="H675" s="20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spans="1:25" x14ac:dyDescent="0.3">
      <c r="A676" s="22"/>
      <c r="B676" s="18"/>
      <c r="C676" s="18"/>
      <c r="D676" s="18"/>
      <c r="E676" s="18"/>
      <c r="F676" s="18"/>
      <c r="G676" s="18"/>
      <c r="H676" s="20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spans="1:25" x14ac:dyDescent="0.3">
      <c r="A677" s="22"/>
      <c r="B677" s="18"/>
      <c r="C677" s="18"/>
      <c r="D677" s="18"/>
      <c r="E677" s="18"/>
      <c r="F677" s="18"/>
      <c r="G677" s="18"/>
      <c r="H677" s="20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spans="1:25" x14ac:dyDescent="0.3">
      <c r="A678" s="22"/>
      <c r="B678" s="18"/>
      <c r="C678" s="18"/>
      <c r="D678" s="18"/>
      <c r="E678" s="18"/>
      <c r="F678" s="18"/>
      <c r="G678" s="18"/>
      <c r="H678" s="20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spans="1:25" x14ac:dyDescent="0.3">
      <c r="A679" s="22"/>
      <c r="B679" s="18"/>
      <c r="C679" s="18"/>
      <c r="D679" s="18"/>
      <c r="E679" s="18"/>
      <c r="F679" s="18"/>
      <c r="G679" s="18"/>
      <c r="H679" s="20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spans="1:25" x14ac:dyDescent="0.3">
      <c r="A680" s="22"/>
      <c r="B680" s="18"/>
      <c r="C680" s="18"/>
      <c r="D680" s="18"/>
      <c r="E680" s="18"/>
      <c r="F680" s="18"/>
      <c r="G680" s="18"/>
      <c r="H680" s="20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spans="1:25" x14ac:dyDescent="0.3">
      <c r="A681" s="22"/>
      <c r="B681" s="18"/>
      <c r="C681" s="18"/>
      <c r="D681" s="18"/>
      <c r="E681" s="18"/>
      <c r="F681" s="18"/>
      <c r="G681" s="18"/>
      <c r="H681" s="20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spans="1:25" x14ac:dyDescent="0.3">
      <c r="A682" s="22"/>
      <c r="B682" s="18"/>
      <c r="C682" s="18"/>
      <c r="D682" s="18"/>
      <c r="E682" s="18"/>
      <c r="F682" s="18"/>
      <c r="G682" s="18"/>
      <c r="H682" s="20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spans="1:25" x14ac:dyDescent="0.3">
      <c r="A683" s="22"/>
      <c r="B683" s="18"/>
      <c r="C683" s="18"/>
      <c r="D683" s="18"/>
      <c r="E683" s="18"/>
      <c r="F683" s="18"/>
      <c r="G683" s="18"/>
      <c r="H683" s="20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spans="1:25" x14ac:dyDescent="0.3">
      <c r="A684" s="22"/>
      <c r="B684" s="18"/>
      <c r="C684" s="18"/>
      <c r="D684" s="18"/>
      <c r="E684" s="18"/>
      <c r="F684" s="18"/>
      <c r="G684" s="18"/>
      <c r="H684" s="20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spans="1:25" x14ac:dyDescent="0.3">
      <c r="A685" s="22"/>
      <c r="B685" s="18"/>
      <c r="C685" s="18"/>
      <c r="D685" s="18"/>
      <c r="E685" s="18"/>
      <c r="F685" s="18"/>
      <c r="G685" s="18"/>
      <c r="H685" s="20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spans="1:25" x14ac:dyDescent="0.3">
      <c r="A686" s="22"/>
      <c r="B686" s="18"/>
      <c r="C686" s="18"/>
      <c r="D686" s="18"/>
      <c r="E686" s="18"/>
      <c r="F686" s="18"/>
      <c r="G686" s="18"/>
      <c r="H686" s="20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spans="1:25" x14ac:dyDescent="0.3">
      <c r="A687" s="22"/>
      <c r="B687" s="18"/>
      <c r="C687" s="18"/>
      <c r="D687" s="18"/>
      <c r="E687" s="18"/>
      <c r="F687" s="18"/>
      <c r="G687" s="18"/>
      <c r="H687" s="20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spans="1:25" x14ac:dyDescent="0.3">
      <c r="A688" s="22"/>
      <c r="B688" s="18"/>
      <c r="C688" s="18"/>
      <c r="D688" s="18"/>
      <c r="E688" s="18"/>
      <c r="F688" s="18"/>
      <c r="G688" s="18"/>
      <c r="H688" s="20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spans="1:25" x14ac:dyDescent="0.3">
      <c r="A689" s="22"/>
      <c r="B689" s="18"/>
      <c r="C689" s="18"/>
      <c r="D689" s="18"/>
      <c r="E689" s="18"/>
      <c r="F689" s="18"/>
      <c r="G689" s="18"/>
      <c r="H689" s="20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spans="1:25" x14ac:dyDescent="0.3">
      <c r="A690" s="22"/>
      <c r="B690" s="18"/>
      <c r="C690" s="18"/>
      <c r="D690" s="18"/>
      <c r="E690" s="18"/>
      <c r="F690" s="18"/>
      <c r="G690" s="18"/>
      <c r="H690" s="20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spans="1:25" x14ac:dyDescent="0.3">
      <c r="A691" s="22"/>
      <c r="B691" s="18"/>
      <c r="C691" s="18"/>
      <c r="D691" s="18"/>
      <c r="E691" s="18"/>
      <c r="F691" s="18"/>
      <c r="G691" s="18"/>
      <c r="H691" s="20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spans="1:25" x14ac:dyDescent="0.3">
      <c r="A692" s="22"/>
      <c r="B692" s="18"/>
      <c r="C692" s="18"/>
      <c r="D692" s="18"/>
      <c r="E692" s="18"/>
      <c r="F692" s="18"/>
      <c r="G692" s="18"/>
      <c r="H692" s="20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spans="1:25" x14ac:dyDescent="0.3">
      <c r="A693" s="22"/>
      <c r="B693" s="18"/>
      <c r="C693" s="18"/>
      <c r="D693" s="18"/>
      <c r="E693" s="18"/>
      <c r="F693" s="18"/>
      <c r="G693" s="18"/>
      <c r="H693" s="20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spans="1:25" x14ac:dyDescent="0.3">
      <c r="A694" s="22"/>
      <c r="B694" s="18"/>
      <c r="C694" s="18"/>
      <c r="D694" s="18"/>
      <c r="E694" s="18"/>
      <c r="F694" s="18"/>
      <c r="G694" s="18"/>
      <c r="H694" s="20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spans="1:25" x14ac:dyDescent="0.3">
      <c r="A695" s="22"/>
      <c r="B695" s="18"/>
      <c r="C695" s="18"/>
      <c r="D695" s="18"/>
      <c r="E695" s="18"/>
      <c r="F695" s="18"/>
      <c r="G695" s="18"/>
      <c r="H695" s="20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spans="1:25" x14ac:dyDescent="0.3">
      <c r="A696" s="22"/>
      <c r="B696" s="18"/>
      <c r="C696" s="18"/>
      <c r="D696" s="18"/>
      <c r="E696" s="18"/>
      <c r="F696" s="18"/>
      <c r="G696" s="18"/>
      <c r="H696" s="20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spans="1:25" x14ac:dyDescent="0.3">
      <c r="A697" s="22"/>
      <c r="B697" s="18"/>
      <c r="C697" s="18"/>
      <c r="D697" s="18"/>
      <c r="E697" s="18"/>
      <c r="F697" s="18"/>
      <c r="G697" s="18"/>
      <c r="H697" s="20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spans="1:25" x14ac:dyDescent="0.3">
      <c r="A698" s="22"/>
      <c r="B698" s="18"/>
      <c r="C698" s="18"/>
      <c r="D698" s="18"/>
      <c r="E698" s="18"/>
      <c r="F698" s="18"/>
      <c r="G698" s="18"/>
      <c r="H698" s="20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spans="1:25" x14ac:dyDescent="0.3">
      <c r="A699" s="22"/>
      <c r="B699" s="18"/>
      <c r="C699" s="18"/>
      <c r="D699" s="18"/>
      <c r="E699" s="18"/>
      <c r="F699" s="18"/>
      <c r="G699" s="18"/>
      <c r="H699" s="20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spans="1:25" x14ac:dyDescent="0.3">
      <c r="A700" s="22"/>
      <c r="B700" s="18"/>
      <c r="C700" s="18"/>
      <c r="D700" s="18"/>
      <c r="E700" s="18"/>
      <c r="F700" s="18"/>
      <c r="G700" s="18"/>
      <c r="H700" s="20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spans="1:25" x14ac:dyDescent="0.3">
      <c r="A701" s="22"/>
      <c r="B701" s="18"/>
      <c r="C701" s="18"/>
      <c r="D701" s="18"/>
      <c r="E701" s="18"/>
      <c r="F701" s="18"/>
      <c r="G701" s="18"/>
      <c r="H701" s="20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spans="1:25" x14ac:dyDescent="0.3">
      <c r="A702" s="22"/>
      <c r="B702" s="18"/>
      <c r="C702" s="18"/>
      <c r="D702" s="18"/>
      <c r="E702" s="18"/>
      <c r="F702" s="18"/>
      <c r="G702" s="18"/>
      <c r="H702" s="20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spans="1:25" x14ac:dyDescent="0.3">
      <c r="A703" s="22"/>
      <c r="B703" s="18"/>
      <c r="C703" s="18"/>
      <c r="D703" s="18"/>
      <c r="E703" s="18"/>
      <c r="F703" s="18"/>
      <c r="G703" s="18"/>
      <c r="H703" s="20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spans="1:25" x14ac:dyDescent="0.3">
      <c r="A704" s="22"/>
      <c r="B704" s="18"/>
      <c r="C704" s="18"/>
      <c r="D704" s="18"/>
      <c r="E704" s="18"/>
      <c r="F704" s="18"/>
      <c r="G704" s="18"/>
      <c r="H704" s="20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spans="1:25" x14ac:dyDescent="0.3">
      <c r="A705" s="22"/>
      <c r="B705" s="18"/>
      <c r="C705" s="18"/>
      <c r="D705" s="18"/>
      <c r="E705" s="18"/>
      <c r="F705" s="18"/>
      <c r="G705" s="18"/>
      <c r="H705" s="20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spans="1:25" x14ac:dyDescent="0.3">
      <c r="A706" s="22"/>
      <c r="B706" s="18"/>
      <c r="C706" s="18"/>
      <c r="D706" s="18"/>
      <c r="E706" s="18"/>
      <c r="F706" s="18"/>
      <c r="G706" s="18"/>
      <c r="H706" s="20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spans="1:25" x14ac:dyDescent="0.3">
      <c r="A707" s="22"/>
      <c r="B707" s="18"/>
      <c r="C707" s="18"/>
      <c r="D707" s="18"/>
      <c r="E707" s="18"/>
      <c r="F707" s="18"/>
      <c r="G707" s="18"/>
      <c r="H707" s="20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spans="1:25" x14ac:dyDescent="0.3">
      <c r="A708" s="22"/>
      <c r="B708" s="18"/>
      <c r="C708" s="18"/>
      <c r="D708" s="18"/>
      <c r="E708" s="18"/>
      <c r="F708" s="18"/>
      <c r="G708" s="18"/>
      <c r="H708" s="20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spans="1:25" x14ac:dyDescent="0.3">
      <c r="A709" s="22"/>
      <c r="B709" s="18"/>
      <c r="C709" s="18"/>
      <c r="D709" s="18"/>
      <c r="E709" s="18"/>
      <c r="F709" s="18"/>
      <c r="G709" s="18"/>
      <c r="H709" s="20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spans="1:25" x14ac:dyDescent="0.3">
      <c r="A710" s="22"/>
      <c r="B710" s="18"/>
      <c r="C710" s="18"/>
      <c r="D710" s="18"/>
      <c r="E710" s="18"/>
      <c r="F710" s="18"/>
      <c r="G710" s="18"/>
      <c r="H710" s="20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spans="1:25" x14ac:dyDescent="0.3">
      <c r="A711" s="22"/>
      <c r="B711" s="18"/>
      <c r="C711" s="18"/>
      <c r="D711" s="18"/>
      <c r="E711" s="18"/>
      <c r="F711" s="18"/>
      <c r="G711" s="18"/>
      <c r="H711" s="20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spans="1:25" x14ac:dyDescent="0.3">
      <c r="A712" s="22"/>
      <c r="B712" s="18"/>
      <c r="C712" s="18"/>
      <c r="D712" s="18"/>
      <c r="E712" s="18"/>
      <c r="F712" s="18"/>
      <c r="G712" s="18"/>
      <c r="H712" s="20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spans="1:25" x14ac:dyDescent="0.3">
      <c r="A713" s="22"/>
      <c r="B713" s="18"/>
      <c r="C713" s="18"/>
      <c r="D713" s="18"/>
      <c r="E713" s="18"/>
      <c r="F713" s="18"/>
      <c r="G713" s="18"/>
      <c r="H713" s="20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spans="1:25" x14ac:dyDescent="0.3">
      <c r="A714" s="22"/>
      <c r="B714" s="18"/>
      <c r="C714" s="18"/>
      <c r="D714" s="18"/>
      <c r="E714" s="18"/>
      <c r="F714" s="18"/>
      <c r="G714" s="18"/>
      <c r="H714" s="20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spans="1:25" x14ac:dyDescent="0.3">
      <c r="A715" s="22"/>
      <c r="B715" s="18"/>
      <c r="C715" s="18"/>
      <c r="D715" s="18"/>
      <c r="E715" s="18"/>
      <c r="F715" s="18"/>
      <c r="G715" s="18"/>
      <c r="H715" s="20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spans="1:25" x14ac:dyDescent="0.3">
      <c r="A716" s="22"/>
      <c r="B716" s="18"/>
      <c r="C716" s="18"/>
      <c r="D716" s="18"/>
      <c r="E716" s="18"/>
      <c r="F716" s="18"/>
      <c r="G716" s="18"/>
      <c r="H716" s="20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spans="1:25" x14ac:dyDescent="0.3">
      <c r="A717" s="22"/>
      <c r="B717" s="18"/>
      <c r="C717" s="18"/>
      <c r="D717" s="18"/>
      <c r="E717" s="18"/>
      <c r="F717" s="18"/>
      <c r="G717" s="18"/>
      <c r="H717" s="20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spans="1:25" x14ac:dyDescent="0.3">
      <c r="A718" s="22"/>
      <c r="B718" s="18"/>
      <c r="C718" s="18"/>
      <c r="D718" s="18"/>
      <c r="E718" s="18"/>
      <c r="F718" s="18"/>
      <c r="G718" s="18"/>
      <c r="H718" s="20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spans="1:25" x14ac:dyDescent="0.3">
      <c r="A719" s="22"/>
      <c r="B719" s="18"/>
      <c r="C719" s="18"/>
      <c r="D719" s="18"/>
      <c r="E719" s="18"/>
      <c r="F719" s="18"/>
      <c r="G719" s="18"/>
      <c r="H719" s="20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spans="1:25" x14ac:dyDescent="0.3">
      <c r="A720" s="22"/>
      <c r="B720" s="18"/>
      <c r="C720" s="18"/>
      <c r="D720" s="18"/>
      <c r="E720" s="18"/>
      <c r="F720" s="18"/>
      <c r="G720" s="18"/>
      <c r="H720" s="20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spans="1:25" x14ac:dyDescent="0.3">
      <c r="A721" s="22"/>
      <c r="B721" s="18"/>
      <c r="C721" s="18"/>
      <c r="D721" s="18"/>
      <c r="E721" s="18"/>
      <c r="F721" s="18"/>
      <c r="G721" s="18"/>
      <c r="H721" s="20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spans="1:25" x14ac:dyDescent="0.3">
      <c r="A722" s="22"/>
      <c r="B722" s="18"/>
      <c r="C722" s="18"/>
      <c r="D722" s="18"/>
      <c r="E722" s="18"/>
      <c r="F722" s="18"/>
      <c r="G722" s="18"/>
      <c r="H722" s="20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spans="1:25" x14ac:dyDescent="0.3">
      <c r="A723" s="22"/>
      <c r="B723" s="18"/>
      <c r="C723" s="18"/>
      <c r="D723" s="18"/>
      <c r="E723" s="18"/>
      <c r="F723" s="18"/>
      <c r="G723" s="18"/>
      <c r="H723" s="20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spans="1:25" x14ac:dyDescent="0.3">
      <c r="A724" s="22"/>
      <c r="B724" s="18"/>
      <c r="C724" s="18"/>
      <c r="D724" s="18"/>
      <c r="E724" s="18"/>
      <c r="F724" s="18"/>
      <c r="G724" s="18"/>
      <c r="H724" s="20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spans="1:25" x14ac:dyDescent="0.3">
      <c r="A725" s="22"/>
      <c r="B725" s="18"/>
      <c r="C725" s="18"/>
      <c r="D725" s="18"/>
      <c r="E725" s="18"/>
      <c r="F725" s="18"/>
      <c r="G725" s="18"/>
      <c r="H725" s="20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spans="1:25" x14ac:dyDescent="0.3">
      <c r="A726" s="22"/>
      <c r="B726" s="18"/>
      <c r="C726" s="18"/>
      <c r="D726" s="18"/>
      <c r="E726" s="18"/>
      <c r="F726" s="18"/>
      <c r="G726" s="18"/>
      <c r="H726" s="20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spans="1:25" x14ac:dyDescent="0.3">
      <c r="A727" s="22"/>
      <c r="B727" s="18"/>
      <c r="C727" s="18"/>
      <c r="D727" s="18"/>
      <c r="E727" s="18"/>
      <c r="F727" s="18"/>
      <c r="G727" s="18"/>
      <c r="H727" s="20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spans="1:25" x14ac:dyDescent="0.3">
      <c r="A728" s="22"/>
      <c r="B728" s="18"/>
      <c r="C728" s="18"/>
      <c r="D728" s="18"/>
      <c r="E728" s="18"/>
      <c r="F728" s="18"/>
      <c r="G728" s="18"/>
      <c r="H728" s="20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spans="1:25" x14ac:dyDescent="0.3">
      <c r="A729" s="22"/>
      <c r="B729" s="18"/>
      <c r="C729" s="18"/>
      <c r="D729" s="18"/>
      <c r="E729" s="18"/>
      <c r="F729" s="18"/>
      <c r="G729" s="18"/>
      <c r="H729" s="20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spans="1:25" x14ac:dyDescent="0.3">
      <c r="A730" s="22"/>
      <c r="B730" s="18"/>
      <c r="C730" s="18"/>
      <c r="D730" s="18"/>
      <c r="E730" s="18"/>
      <c r="F730" s="18"/>
      <c r="G730" s="18"/>
      <c r="H730" s="20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spans="1:25" x14ac:dyDescent="0.3">
      <c r="A731" s="22"/>
      <c r="B731" s="18"/>
      <c r="C731" s="18"/>
      <c r="D731" s="18"/>
      <c r="E731" s="18"/>
      <c r="F731" s="18"/>
      <c r="G731" s="18"/>
      <c r="H731" s="20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spans="1:25" x14ac:dyDescent="0.3">
      <c r="A732" s="22"/>
      <c r="B732" s="18"/>
      <c r="C732" s="18"/>
      <c r="D732" s="18"/>
      <c r="E732" s="18"/>
      <c r="F732" s="18"/>
      <c r="G732" s="18"/>
      <c r="H732" s="20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spans="1:25" x14ac:dyDescent="0.3">
      <c r="A733" s="22"/>
      <c r="B733" s="18"/>
      <c r="C733" s="18"/>
      <c r="D733" s="18"/>
      <c r="E733" s="18"/>
      <c r="F733" s="18"/>
      <c r="G733" s="18"/>
      <c r="H733" s="20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spans="1:25" x14ac:dyDescent="0.3">
      <c r="A734" s="22"/>
      <c r="B734" s="18"/>
      <c r="C734" s="18"/>
      <c r="D734" s="18"/>
      <c r="E734" s="18"/>
      <c r="F734" s="18"/>
      <c r="G734" s="18"/>
      <c r="H734" s="20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spans="1:25" x14ac:dyDescent="0.3">
      <c r="A735" s="22"/>
      <c r="B735" s="18"/>
      <c r="C735" s="18"/>
      <c r="D735" s="18"/>
      <c r="E735" s="18"/>
      <c r="F735" s="18"/>
      <c r="G735" s="18"/>
      <c r="H735" s="20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spans="1:25" x14ac:dyDescent="0.3">
      <c r="A736" s="22"/>
      <c r="B736" s="18"/>
      <c r="C736" s="18"/>
      <c r="D736" s="18"/>
      <c r="E736" s="18"/>
      <c r="F736" s="18"/>
      <c r="G736" s="18"/>
      <c r="H736" s="20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spans="1:25" x14ac:dyDescent="0.3">
      <c r="A737" s="22"/>
      <c r="B737" s="18"/>
      <c r="C737" s="18"/>
      <c r="D737" s="18"/>
      <c r="E737" s="18"/>
      <c r="F737" s="18"/>
      <c r="G737" s="18"/>
      <c r="H737" s="20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spans="1:25" x14ac:dyDescent="0.3">
      <c r="A738" s="22"/>
      <c r="B738" s="18"/>
      <c r="C738" s="18"/>
      <c r="D738" s="18"/>
      <c r="E738" s="18"/>
      <c r="F738" s="18"/>
      <c r="G738" s="18"/>
      <c r="H738" s="20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spans="1:25" x14ac:dyDescent="0.3">
      <c r="A739" s="22"/>
      <c r="B739" s="18"/>
      <c r="C739" s="18"/>
      <c r="D739" s="18"/>
      <c r="E739" s="18"/>
      <c r="F739" s="18"/>
      <c r="G739" s="18"/>
      <c r="H739" s="20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spans="1:25" x14ac:dyDescent="0.3">
      <c r="A740" s="22"/>
      <c r="B740" s="18"/>
      <c r="C740" s="18"/>
      <c r="D740" s="18"/>
      <c r="E740" s="18"/>
      <c r="F740" s="18"/>
      <c r="G740" s="18"/>
      <c r="H740" s="20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spans="1:25" x14ac:dyDescent="0.3">
      <c r="A741" s="22"/>
      <c r="B741" s="18"/>
      <c r="C741" s="18"/>
      <c r="D741" s="18"/>
      <c r="E741" s="18"/>
      <c r="F741" s="18"/>
      <c r="G741" s="18"/>
      <c r="H741" s="20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spans="1:25" x14ac:dyDescent="0.3">
      <c r="A742" s="22"/>
      <c r="B742" s="18"/>
      <c r="C742" s="18"/>
      <c r="D742" s="18"/>
      <c r="E742" s="18"/>
      <c r="F742" s="18"/>
      <c r="G742" s="18"/>
      <c r="H742" s="20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spans="1:25" x14ac:dyDescent="0.3">
      <c r="A743" s="22"/>
      <c r="B743" s="18"/>
      <c r="C743" s="18"/>
      <c r="D743" s="18"/>
      <c r="E743" s="18"/>
      <c r="F743" s="18"/>
      <c r="G743" s="18"/>
      <c r="H743" s="20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spans="1:25" x14ac:dyDescent="0.3">
      <c r="A744" s="22"/>
      <c r="B744" s="18"/>
      <c r="C744" s="18"/>
      <c r="D744" s="18"/>
      <c r="E744" s="18"/>
      <c r="F744" s="18"/>
      <c r="G744" s="18"/>
      <c r="H744" s="20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spans="1:25" x14ac:dyDescent="0.3">
      <c r="A745" s="22"/>
      <c r="B745" s="18"/>
      <c r="C745" s="18"/>
      <c r="D745" s="18"/>
      <c r="E745" s="18"/>
      <c r="F745" s="18"/>
      <c r="G745" s="18"/>
      <c r="H745" s="20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spans="1:25" x14ac:dyDescent="0.3">
      <c r="A746" s="22"/>
      <c r="B746" s="18"/>
      <c r="C746" s="18"/>
      <c r="D746" s="18"/>
      <c r="E746" s="18"/>
      <c r="F746" s="18"/>
      <c r="G746" s="18"/>
      <c r="H746" s="20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spans="1:25" x14ac:dyDescent="0.3">
      <c r="A747" s="22"/>
      <c r="B747" s="18"/>
      <c r="C747" s="18"/>
      <c r="D747" s="18"/>
      <c r="E747" s="18"/>
      <c r="F747" s="18"/>
      <c r="G747" s="18"/>
      <c r="H747" s="20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spans="1:25" x14ac:dyDescent="0.3">
      <c r="A748" s="22"/>
      <c r="B748" s="18"/>
      <c r="C748" s="18"/>
      <c r="D748" s="18"/>
      <c r="E748" s="18"/>
      <c r="F748" s="18"/>
      <c r="G748" s="18"/>
      <c r="H748" s="20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spans="1:25" x14ac:dyDescent="0.3">
      <c r="A749" s="22"/>
      <c r="B749" s="18"/>
      <c r="C749" s="18"/>
      <c r="D749" s="18"/>
      <c r="E749" s="18"/>
      <c r="F749" s="18"/>
      <c r="G749" s="18"/>
      <c r="H749" s="20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spans="1:25" x14ac:dyDescent="0.3">
      <c r="A750" s="22"/>
      <c r="B750" s="18"/>
      <c r="C750" s="18"/>
      <c r="D750" s="18"/>
      <c r="E750" s="18"/>
      <c r="F750" s="18"/>
      <c r="G750" s="18"/>
      <c r="H750" s="20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spans="1:25" x14ac:dyDescent="0.3">
      <c r="A751" s="22"/>
      <c r="B751" s="18"/>
      <c r="C751" s="18"/>
      <c r="D751" s="18"/>
      <c r="E751" s="18"/>
      <c r="F751" s="18"/>
      <c r="G751" s="18"/>
      <c r="H751" s="20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spans="1:25" x14ac:dyDescent="0.3">
      <c r="A752" s="22"/>
      <c r="B752" s="18"/>
      <c r="C752" s="18"/>
      <c r="D752" s="18"/>
      <c r="E752" s="18"/>
      <c r="F752" s="18"/>
      <c r="G752" s="18"/>
      <c r="H752" s="20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spans="1:25" x14ac:dyDescent="0.3">
      <c r="A753" s="22"/>
      <c r="B753" s="18"/>
      <c r="C753" s="18"/>
      <c r="D753" s="18"/>
      <c r="E753" s="18"/>
      <c r="F753" s="18"/>
      <c r="G753" s="18"/>
      <c r="H753" s="20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spans="1:25" x14ac:dyDescent="0.3">
      <c r="A754" s="22"/>
      <c r="B754" s="18"/>
      <c r="C754" s="18"/>
      <c r="D754" s="18"/>
      <c r="E754" s="18"/>
      <c r="F754" s="18"/>
      <c r="G754" s="18"/>
      <c r="H754" s="20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spans="1:25" x14ac:dyDescent="0.3">
      <c r="A755" s="22"/>
      <c r="B755" s="18"/>
      <c r="C755" s="18"/>
      <c r="D755" s="18"/>
      <c r="E755" s="18"/>
      <c r="F755" s="18"/>
      <c r="G755" s="18"/>
      <c r="H755" s="20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spans="1:25" x14ac:dyDescent="0.3">
      <c r="A756" s="22"/>
      <c r="B756" s="18"/>
      <c r="C756" s="18"/>
      <c r="D756" s="18"/>
      <c r="E756" s="18"/>
      <c r="F756" s="18"/>
      <c r="G756" s="18"/>
      <c r="H756" s="20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spans="1:25" x14ac:dyDescent="0.3">
      <c r="A757" s="22"/>
      <c r="B757" s="18"/>
      <c r="C757" s="18"/>
      <c r="D757" s="18"/>
      <c r="E757" s="18"/>
      <c r="F757" s="18"/>
      <c r="G757" s="18"/>
      <c r="H757" s="20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spans="1:25" x14ac:dyDescent="0.3">
      <c r="A758" s="22"/>
      <c r="B758" s="18"/>
      <c r="C758" s="18"/>
      <c r="D758" s="18"/>
      <c r="E758" s="18"/>
      <c r="F758" s="18"/>
      <c r="G758" s="18"/>
      <c r="H758" s="20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spans="1:25" x14ac:dyDescent="0.3">
      <c r="A759" s="22"/>
      <c r="B759" s="18"/>
      <c r="C759" s="18"/>
      <c r="D759" s="18"/>
      <c r="E759" s="18"/>
      <c r="F759" s="18"/>
      <c r="G759" s="18"/>
      <c r="H759" s="20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spans="1:25" x14ac:dyDescent="0.3">
      <c r="A760" s="22"/>
      <c r="B760" s="18"/>
      <c r="C760" s="18"/>
      <c r="D760" s="18"/>
      <c r="E760" s="18"/>
      <c r="F760" s="18"/>
      <c r="G760" s="18"/>
      <c r="H760" s="20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spans="1:25" x14ac:dyDescent="0.3">
      <c r="A761" s="22"/>
      <c r="B761" s="18"/>
      <c r="C761" s="18"/>
      <c r="D761" s="18"/>
      <c r="E761" s="18"/>
      <c r="F761" s="18"/>
      <c r="G761" s="18"/>
      <c r="H761" s="20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spans="1:25" x14ac:dyDescent="0.3">
      <c r="A762" s="22"/>
      <c r="B762" s="18"/>
      <c r="C762" s="18"/>
      <c r="D762" s="18"/>
      <c r="E762" s="18"/>
      <c r="F762" s="18"/>
      <c r="G762" s="18"/>
      <c r="H762" s="20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spans="1:25" x14ac:dyDescent="0.3">
      <c r="A763" s="22"/>
      <c r="B763" s="18"/>
      <c r="C763" s="18"/>
      <c r="D763" s="18"/>
      <c r="E763" s="18"/>
      <c r="F763" s="18"/>
      <c r="G763" s="18"/>
      <c r="H763" s="20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spans="1:25" x14ac:dyDescent="0.3">
      <c r="A764" s="22"/>
      <c r="B764" s="18"/>
      <c r="C764" s="18"/>
      <c r="D764" s="18"/>
      <c r="E764" s="18"/>
      <c r="F764" s="18"/>
      <c r="G764" s="18"/>
      <c r="H764" s="20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spans="1:25" x14ac:dyDescent="0.3">
      <c r="A765" s="22"/>
      <c r="B765" s="18"/>
      <c r="C765" s="18"/>
      <c r="D765" s="18"/>
      <c r="E765" s="18"/>
      <c r="F765" s="18"/>
      <c r="G765" s="18"/>
      <c r="H765" s="20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spans="1:25" x14ac:dyDescent="0.3">
      <c r="A766" s="22"/>
      <c r="B766" s="18"/>
      <c r="C766" s="18"/>
      <c r="D766" s="18"/>
      <c r="E766" s="18"/>
      <c r="F766" s="18"/>
      <c r="G766" s="18"/>
      <c r="H766" s="20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spans="1:25" x14ac:dyDescent="0.3">
      <c r="A767" s="22"/>
      <c r="B767" s="18"/>
      <c r="C767" s="18"/>
      <c r="D767" s="18"/>
      <c r="E767" s="18"/>
      <c r="F767" s="18"/>
      <c r="G767" s="18"/>
      <c r="H767" s="20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spans="1:25" x14ac:dyDescent="0.3">
      <c r="A768" s="22"/>
      <c r="B768" s="18"/>
      <c r="C768" s="18"/>
      <c r="D768" s="18"/>
      <c r="E768" s="18"/>
      <c r="F768" s="18"/>
      <c r="G768" s="18"/>
      <c r="H768" s="20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spans="1:25" x14ac:dyDescent="0.3">
      <c r="A769" s="22"/>
      <c r="B769" s="18"/>
      <c r="C769" s="18"/>
      <c r="D769" s="18"/>
      <c r="E769" s="18"/>
      <c r="F769" s="18"/>
      <c r="G769" s="18"/>
      <c r="H769" s="20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spans="1:25" x14ac:dyDescent="0.3">
      <c r="A770" s="22"/>
      <c r="B770" s="18"/>
      <c r="C770" s="18"/>
      <c r="D770" s="18"/>
      <c r="E770" s="18"/>
      <c r="F770" s="18"/>
      <c r="G770" s="18"/>
      <c r="H770" s="20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spans="1:25" x14ac:dyDescent="0.3">
      <c r="A771" s="22"/>
      <c r="B771" s="18"/>
      <c r="C771" s="18"/>
      <c r="D771" s="18"/>
      <c r="E771" s="18"/>
      <c r="F771" s="18"/>
      <c r="G771" s="18"/>
      <c r="H771" s="20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spans="1:25" x14ac:dyDescent="0.3">
      <c r="A772" s="22"/>
      <c r="B772" s="18"/>
      <c r="C772" s="18"/>
      <c r="D772" s="18"/>
      <c r="E772" s="18"/>
      <c r="F772" s="18"/>
      <c r="G772" s="18"/>
      <c r="H772" s="20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spans="1:25" x14ac:dyDescent="0.3">
      <c r="A773" s="22"/>
      <c r="B773" s="18"/>
      <c r="C773" s="18"/>
      <c r="D773" s="18"/>
      <c r="E773" s="18"/>
      <c r="F773" s="18"/>
      <c r="G773" s="18"/>
      <c r="H773" s="20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spans="1:25" x14ac:dyDescent="0.3">
      <c r="A774" s="22"/>
      <c r="B774" s="18"/>
      <c r="C774" s="18"/>
      <c r="D774" s="18"/>
      <c r="E774" s="18"/>
      <c r="F774" s="18"/>
      <c r="G774" s="18"/>
      <c r="H774" s="20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spans="1:25" x14ac:dyDescent="0.3">
      <c r="A775" s="22"/>
      <c r="B775" s="18"/>
      <c r="C775" s="18"/>
      <c r="D775" s="18"/>
      <c r="E775" s="18"/>
      <c r="F775" s="18"/>
      <c r="G775" s="18"/>
      <c r="H775" s="20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spans="1:25" x14ac:dyDescent="0.3">
      <c r="A776" s="22"/>
      <c r="B776" s="18"/>
      <c r="C776" s="18"/>
      <c r="D776" s="18"/>
      <c r="E776" s="18"/>
      <c r="F776" s="18"/>
      <c r="G776" s="18"/>
      <c r="H776" s="20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spans="1:25" x14ac:dyDescent="0.3">
      <c r="A777" s="22"/>
      <c r="B777" s="18"/>
      <c r="C777" s="18"/>
      <c r="D777" s="18"/>
      <c r="E777" s="18"/>
      <c r="F777" s="18"/>
      <c r="G777" s="18"/>
      <c r="H777" s="20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spans="1:25" x14ac:dyDescent="0.3">
      <c r="A778" s="22"/>
      <c r="B778" s="18"/>
      <c r="C778" s="18"/>
      <c r="D778" s="18"/>
      <c r="E778" s="18"/>
      <c r="F778" s="18"/>
      <c r="G778" s="18"/>
      <c r="H778" s="20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spans="1:25" x14ac:dyDescent="0.3">
      <c r="A779" s="22"/>
      <c r="B779" s="18"/>
      <c r="C779" s="18"/>
      <c r="D779" s="18"/>
      <c r="E779" s="18"/>
      <c r="F779" s="18"/>
      <c r="G779" s="18"/>
      <c r="H779" s="20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spans="1:25" x14ac:dyDescent="0.3">
      <c r="A780" s="22"/>
      <c r="B780" s="18"/>
      <c r="C780" s="18"/>
      <c r="D780" s="18"/>
      <c r="E780" s="18"/>
      <c r="F780" s="18"/>
      <c r="G780" s="18"/>
      <c r="H780" s="20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spans="1:25" x14ac:dyDescent="0.3">
      <c r="A781" s="22"/>
      <c r="B781" s="18"/>
      <c r="C781" s="18"/>
      <c r="D781" s="18"/>
      <c r="E781" s="18"/>
      <c r="F781" s="18"/>
      <c r="G781" s="18"/>
      <c r="H781" s="20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spans="1:25" x14ac:dyDescent="0.3">
      <c r="A782" s="22"/>
      <c r="B782" s="18"/>
      <c r="C782" s="18"/>
      <c r="D782" s="18"/>
      <c r="E782" s="18"/>
      <c r="F782" s="18"/>
      <c r="G782" s="18"/>
      <c r="H782" s="20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spans="1:25" x14ac:dyDescent="0.3">
      <c r="A783" s="22"/>
      <c r="B783" s="18"/>
      <c r="C783" s="18"/>
      <c r="D783" s="18"/>
      <c r="E783" s="18"/>
      <c r="F783" s="18"/>
      <c r="G783" s="18"/>
      <c r="H783" s="20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spans="1:25" x14ac:dyDescent="0.3">
      <c r="A784" s="22"/>
      <c r="B784" s="18"/>
      <c r="C784" s="18"/>
      <c r="D784" s="18"/>
      <c r="E784" s="18"/>
      <c r="F784" s="18"/>
      <c r="G784" s="18"/>
      <c r="H784" s="20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spans="1:25" x14ac:dyDescent="0.3">
      <c r="A785" s="22"/>
      <c r="B785" s="18"/>
      <c r="C785" s="18"/>
      <c r="D785" s="18"/>
      <c r="E785" s="18"/>
      <c r="F785" s="18"/>
      <c r="G785" s="18"/>
      <c r="H785" s="20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spans="1:25" x14ac:dyDescent="0.3">
      <c r="A786" s="22"/>
      <c r="B786" s="18"/>
      <c r="C786" s="18"/>
      <c r="D786" s="18"/>
      <c r="E786" s="18"/>
      <c r="F786" s="18"/>
      <c r="G786" s="18"/>
      <c r="H786" s="20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spans="1:25" x14ac:dyDescent="0.3">
      <c r="A787" s="22"/>
      <c r="B787" s="18"/>
      <c r="C787" s="18"/>
      <c r="D787" s="18"/>
      <c r="E787" s="18"/>
      <c r="F787" s="18"/>
      <c r="G787" s="18"/>
      <c r="H787" s="20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spans="1:25" x14ac:dyDescent="0.3">
      <c r="A788" s="22"/>
      <c r="B788" s="18"/>
      <c r="C788" s="18"/>
      <c r="D788" s="18"/>
      <c r="E788" s="18"/>
      <c r="F788" s="18"/>
      <c r="G788" s="18"/>
      <c r="H788" s="20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spans="1:25" x14ac:dyDescent="0.3">
      <c r="A789" s="22"/>
      <c r="B789" s="18"/>
      <c r="C789" s="18"/>
      <c r="D789" s="18"/>
      <c r="E789" s="18"/>
      <c r="F789" s="18"/>
      <c r="G789" s="18"/>
      <c r="H789" s="20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spans="1:25" x14ac:dyDescent="0.3">
      <c r="A790" s="22"/>
      <c r="B790" s="18"/>
      <c r="C790" s="18"/>
      <c r="D790" s="18"/>
      <c r="E790" s="18"/>
      <c r="F790" s="18"/>
      <c r="G790" s="18"/>
      <c r="H790" s="20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spans="1:25" x14ac:dyDescent="0.3">
      <c r="A791" s="22"/>
      <c r="B791" s="18"/>
      <c r="C791" s="18"/>
      <c r="D791" s="18"/>
      <c r="E791" s="18"/>
      <c r="F791" s="18"/>
      <c r="G791" s="18"/>
      <c r="H791" s="20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spans="1:25" x14ac:dyDescent="0.3">
      <c r="A792" s="22"/>
      <c r="B792" s="18"/>
      <c r="C792" s="18"/>
      <c r="D792" s="18"/>
      <c r="E792" s="18"/>
      <c r="F792" s="18"/>
      <c r="G792" s="18"/>
      <c r="H792" s="20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spans="1:25" x14ac:dyDescent="0.3">
      <c r="A793" s="22"/>
      <c r="B793" s="18"/>
      <c r="C793" s="18"/>
      <c r="D793" s="18"/>
      <c r="E793" s="18"/>
      <c r="F793" s="18"/>
      <c r="G793" s="18"/>
      <c r="H793" s="20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spans="1:25" x14ac:dyDescent="0.3">
      <c r="A794" s="22"/>
      <c r="B794" s="18"/>
      <c r="C794" s="18"/>
      <c r="D794" s="18"/>
      <c r="E794" s="18"/>
      <c r="F794" s="18"/>
      <c r="G794" s="18"/>
      <c r="H794" s="20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spans="1:25" x14ac:dyDescent="0.3">
      <c r="A795" s="22"/>
      <c r="B795" s="18"/>
      <c r="C795" s="18"/>
      <c r="D795" s="18"/>
      <c r="E795" s="18"/>
      <c r="F795" s="18"/>
      <c r="G795" s="18"/>
      <c r="H795" s="20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spans="1:25" x14ac:dyDescent="0.3">
      <c r="A796" s="22"/>
      <c r="B796" s="18"/>
      <c r="C796" s="18"/>
      <c r="D796" s="18"/>
      <c r="E796" s="18"/>
      <c r="F796" s="18"/>
      <c r="G796" s="18"/>
      <c r="H796" s="20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spans="1:25" x14ac:dyDescent="0.3">
      <c r="A797" s="22"/>
      <c r="B797" s="18"/>
      <c r="C797" s="18"/>
      <c r="D797" s="18"/>
      <c r="E797" s="18"/>
      <c r="F797" s="18"/>
      <c r="G797" s="18"/>
      <c r="H797" s="20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spans="1:25" x14ac:dyDescent="0.3">
      <c r="A798" s="22"/>
      <c r="B798" s="18"/>
      <c r="C798" s="18"/>
      <c r="D798" s="18"/>
      <c r="E798" s="18"/>
      <c r="F798" s="18"/>
      <c r="G798" s="18"/>
      <c r="H798" s="20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spans="1:25" x14ac:dyDescent="0.3">
      <c r="A799" s="22"/>
      <c r="B799" s="18"/>
      <c r="C799" s="18"/>
      <c r="D799" s="18"/>
      <c r="E799" s="18"/>
      <c r="F799" s="18"/>
      <c r="G799" s="18"/>
      <c r="H799" s="20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spans="1:25" x14ac:dyDescent="0.3">
      <c r="A800" s="22"/>
      <c r="B800" s="18"/>
      <c r="C800" s="18"/>
      <c r="D800" s="18"/>
      <c r="E800" s="18"/>
      <c r="F800" s="18"/>
      <c r="G800" s="18"/>
      <c r="H800" s="20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spans="1:25" x14ac:dyDescent="0.3">
      <c r="A801" s="22"/>
      <c r="B801" s="18"/>
      <c r="C801" s="18"/>
      <c r="D801" s="18"/>
      <c r="E801" s="18"/>
      <c r="F801" s="18"/>
      <c r="G801" s="18"/>
      <c r="H801" s="20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spans="1:25" x14ac:dyDescent="0.3">
      <c r="A802" s="22"/>
      <c r="B802" s="18"/>
      <c r="C802" s="18"/>
      <c r="D802" s="18"/>
      <c r="E802" s="18"/>
      <c r="F802" s="18"/>
      <c r="G802" s="18"/>
      <c r="H802" s="20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spans="1:25" x14ac:dyDescent="0.3">
      <c r="A803" s="22"/>
      <c r="B803" s="18"/>
      <c r="C803" s="18"/>
      <c r="D803" s="18"/>
      <c r="E803" s="18"/>
      <c r="F803" s="18"/>
      <c r="G803" s="18"/>
      <c r="H803" s="20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spans="1:25" x14ac:dyDescent="0.3">
      <c r="A804" s="22"/>
      <c r="B804" s="18"/>
      <c r="C804" s="18"/>
      <c r="D804" s="18"/>
      <c r="E804" s="18"/>
      <c r="F804" s="18"/>
      <c r="G804" s="18"/>
      <c r="H804" s="20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spans="1:25" x14ac:dyDescent="0.3">
      <c r="A805" s="22"/>
      <c r="B805" s="18"/>
      <c r="C805" s="18"/>
      <c r="D805" s="18"/>
      <c r="E805" s="18"/>
      <c r="F805" s="18"/>
      <c r="G805" s="18"/>
      <c r="H805" s="20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spans="1:25" x14ac:dyDescent="0.3">
      <c r="A806" s="22"/>
      <c r="B806" s="18"/>
      <c r="C806" s="18"/>
      <c r="D806" s="18"/>
      <c r="E806" s="18"/>
      <c r="F806" s="18"/>
      <c r="G806" s="18"/>
      <c r="H806" s="20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spans="1:25" x14ac:dyDescent="0.3">
      <c r="A807" s="22"/>
      <c r="B807" s="18"/>
      <c r="C807" s="18"/>
      <c r="D807" s="18"/>
      <c r="E807" s="18"/>
      <c r="F807" s="18"/>
      <c r="G807" s="18"/>
      <c r="H807" s="20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spans="1:25" x14ac:dyDescent="0.3">
      <c r="A808" s="22"/>
      <c r="B808" s="18"/>
      <c r="C808" s="18"/>
      <c r="D808" s="18"/>
      <c r="E808" s="18"/>
      <c r="F808" s="18"/>
      <c r="G808" s="18"/>
      <c r="H808" s="20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spans="1:25" x14ac:dyDescent="0.3">
      <c r="A809" s="22"/>
      <c r="B809" s="18"/>
      <c r="C809" s="18"/>
      <c r="D809" s="18"/>
      <c r="E809" s="18"/>
      <c r="F809" s="18"/>
      <c r="G809" s="18"/>
      <c r="H809" s="20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spans="1:25" x14ac:dyDescent="0.3">
      <c r="A810" s="22"/>
      <c r="B810" s="18"/>
      <c r="C810" s="18"/>
      <c r="D810" s="18"/>
      <c r="E810" s="18"/>
      <c r="F810" s="18"/>
      <c r="G810" s="18"/>
      <c r="H810" s="20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spans="1:25" x14ac:dyDescent="0.3">
      <c r="A811" s="22"/>
      <c r="B811" s="18"/>
      <c r="C811" s="18"/>
      <c r="D811" s="18"/>
      <c r="E811" s="18"/>
      <c r="F811" s="18"/>
      <c r="G811" s="18"/>
      <c r="H811" s="20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spans="1:25" x14ac:dyDescent="0.3">
      <c r="A812" s="22"/>
      <c r="B812" s="18"/>
      <c r="C812" s="18"/>
      <c r="D812" s="18"/>
      <c r="E812" s="18"/>
      <c r="F812" s="18"/>
      <c r="G812" s="18"/>
      <c r="H812" s="20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spans="1:25" x14ac:dyDescent="0.3">
      <c r="A813" s="22"/>
      <c r="B813" s="18"/>
      <c r="C813" s="18"/>
      <c r="D813" s="18"/>
      <c r="E813" s="18"/>
      <c r="F813" s="18"/>
      <c r="G813" s="18"/>
      <c r="H813" s="20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spans="1:25" x14ac:dyDescent="0.3">
      <c r="A814" s="22"/>
      <c r="B814" s="18"/>
      <c r="C814" s="18"/>
      <c r="D814" s="18"/>
      <c r="E814" s="18"/>
      <c r="F814" s="18"/>
      <c r="G814" s="18"/>
      <c r="H814" s="20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spans="1:25" x14ac:dyDescent="0.3">
      <c r="A815" s="22"/>
      <c r="B815" s="18"/>
      <c r="C815" s="18"/>
      <c r="D815" s="18"/>
      <c r="E815" s="18"/>
      <c r="F815" s="18"/>
      <c r="G815" s="18"/>
      <c r="H815" s="20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spans="1:25" x14ac:dyDescent="0.3">
      <c r="A816" s="22"/>
      <c r="B816" s="18"/>
      <c r="C816" s="18"/>
      <c r="D816" s="18"/>
      <c r="E816" s="18"/>
      <c r="F816" s="18"/>
      <c r="G816" s="18"/>
      <c r="H816" s="20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spans="1:25" x14ac:dyDescent="0.3">
      <c r="A817" s="22"/>
      <c r="B817" s="18"/>
      <c r="C817" s="18"/>
      <c r="D817" s="18"/>
      <c r="E817" s="18"/>
      <c r="F817" s="18"/>
      <c r="G817" s="18"/>
      <c r="H817" s="20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spans="1:25" x14ac:dyDescent="0.3">
      <c r="A818" s="22"/>
      <c r="B818" s="18"/>
      <c r="C818" s="18"/>
      <c r="D818" s="18"/>
      <c r="E818" s="18"/>
      <c r="F818" s="18"/>
      <c r="G818" s="18"/>
      <c r="H818" s="20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spans="1:25" x14ac:dyDescent="0.3">
      <c r="A819" s="22"/>
      <c r="B819" s="18"/>
      <c r="C819" s="18"/>
      <c r="D819" s="18"/>
      <c r="E819" s="18"/>
      <c r="F819" s="18"/>
      <c r="G819" s="18"/>
      <c r="H819" s="20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spans="1:25" x14ac:dyDescent="0.3">
      <c r="A820" s="22"/>
      <c r="B820" s="18"/>
      <c r="C820" s="18"/>
      <c r="D820" s="18"/>
      <c r="E820" s="18"/>
      <c r="F820" s="18"/>
      <c r="G820" s="18"/>
      <c r="H820" s="20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spans="1:25" x14ac:dyDescent="0.3">
      <c r="A821" s="22"/>
      <c r="B821" s="18"/>
      <c r="C821" s="18"/>
      <c r="D821" s="18"/>
      <c r="E821" s="18"/>
      <c r="F821" s="18"/>
      <c r="G821" s="18"/>
      <c r="H821" s="20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spans="1:25" x14ac:dyDescent="0.3">
      <c r="A822" s="22"/>
      <c r="B822" s="18"/>
      <c r="C822" s="18"/>
      <c r="D822" s="18"/>
      <c r="E822" s="18"/>
      <c r="F822" s="18"/>
      <c r="G822" s="18"/>
      <c r="H822" s="20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spans="1:25" x14ac:dyDescent="0.3">
      <c r="A823" s="22"/>
      <c r="B823" s="18"/>
      <c r="C823" s="18"/>
      <c r="D823" s="18"/>
      <c r="E823" s="18"/>
      <c r="F823" s="18"/>
      <c r="G823" s="18"/>
      <c r="H823" s="20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spans="1:25" x14ac:dyDescent="0.3">
      <c r="A824" s="22"/>
      <c r="B824" s="18"/>
      <c r="C824" s="18"/>
      <c r="D824" s="18"/>
      <c r="E824" s="18"/>
      <c r="F824" s="18"/>
      <c r="G824" s="18"/>
      <c r="H824" s="20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spans="1:25" x14ac:dyDescent="0.3">
      <c r="A825" s="22"/>
      <c r="B825" s="18"/>
      <c r="C825" s="18"/>
      <c r="D825" s="18"/>
      <c r="E825" s="18"/>
      <c r="F825" s="18"/>
      <c r="G825" s="18"/>
      <c r="H825" s="20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spans="1:25" x14ac:dyDescent="0.3">
      <c r="A826" s="22"/>
      <c r="B826" s="18"/>
      <c r="C826" s="18"/>
      <c r="D826" s="18"/>
      <c r="E826" s="18"/>
      <c r="F826" s="18"/>
      <c r="G826" s="18"/>
      <c r="H826" s="20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spans="1:25" x14ac:dyDescent="0.3">
      <c r="A827" s="22"/>
      <c r="B827" s="18"/>
      <c r="C827" s="18"/>
      <c r="D827" s="18"/>
      <c r="E827" s="18"/>
      <c r="F827" s="18"/>
      <c r="G827" s="18"/>
      <c r="H827" s="20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spans="1:25" x14ac:dyDescent="0.3">
      <c r="A828" s="22"/>
      <c r="B828" s="18"/>
      <c r="C828" s="18"/>
      <c r="D828" s="18"/>
      <c r="E828" s="18"/>
      <c r="F828" s="18"/>
      <c r="G828" s="18"/>
      <c r="H828" s="20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spans="1:25" x14ac:dyDescent="0.3">
      <c r="A829" s="22"/>
      <c r="B829" s="18"/>
      <c r="C829" s="18"/>
      <c r="D829" s="18"/>
      <c r="E829" s="18"/>
      <c r="F829" s="18"/>
      <c r="G829" s="18"/>
      <c r="H829" s="20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spans="1:25" x14ac:dyDescent="0.3">
      <c r="A830" s="22"/>
      <c r="B830" s="18"/>
      <c r="C830" s="18"/>
      <c r="D830" s="18"/>
      <c r="E830" s="18"/>
      <c r="F830" s="18"/>
      <c r="G830" s="18"/>
      <c r="H830" s="20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spans="1:25" x14ac:dyDescent="0.3">
      <c r="A831" s="22"/>
      <c r="B831" s="18"/>
      <c r="C831" s="18"/>
      <c r="D831" s="18"/>
      <c r="E831" s="18"/>
      <c r="F831" s="18"/>
      <c r="G831" s="18"/>
      <c r="H831" s="20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spans="1:25" x14ac:dyDescent="0.3">
      <c r="A832" s="22"/>
      <c r="B832" s="18"/>
      <c r="C832" s="18"/>
      <c r="D832" s="18"/>
      <c r="E832" s="18"/>
      <c r="F832" s="18"/>
      <c r="G832" s="18"/>
      <c r="H832" s="20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spans="1:25" x14ac:dyDescent="0.3">
      <c r="A833" s="22"/>
      <c r="B833" s="18"/>
      <c r="C833" s="18"/>
      <c r="D833" s="18"/>
      <c r="E833" s="18"/>
      <c r="F833" s="18"/>
      <c r="G833" s="18"/>
      <c r="H833" s="20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spans="1:25" x14ac:dyDescent="0.3">
      <c r="A834" s="22"/>
      <c r="B834" s="18"/>
      <c r="C834" s="18"/>
      <c r="D834" s="18"/>
      <c r="E834" s="18"/>
      <c r="F834" s="18"/>
      <c r="G834" s="18"/>
      <c r="H834" s="20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spans="1:25" x14ac:dyDescent="0.3">
      <c r="A835" s="22"/>
      <c r="B835" s="18"/>
      <c r="C835" s="18"/>
      <c r="D835" s="18"/>
      <c r="E835" s="18"/>
      <c r="F835" s="18"/>
      <c r="G835" s="18"/>
      <c r="H835" s="20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spans="1:25" x14ac:dyDescent="0.3">
      <c r="A836" s="22"/>
      <c r="B836" s="18"/>
      <c r="C836" s="18"/>
      <c r="D836" s="18"/>
      <c r="E836" s="18"/>
      <c r="F836" s="18"/>
      <c r="G836" s="18"/>
      <c r="H836" s="20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spans="1:25" x14ac:dyDescent="0.3">
      <c r="A837" s="22"/>
      <c r="B837" s="18"/>
      <c r="C837" s="18"/>
      <c r="D837" s="18"/>
      <c r="E837" s="18"/>
      <c r="F837" s="18"/>
      <c r="G837" s="18"/>
      <c r="H837" s="20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spans="1:25" x14ac:dyDescent="0.3">
      <c r="A838" s="22"/>
      <c r="B838" s="18"/>
      <c r="C838" s="18"/>
      <c r="D838" s="18"/>
      <c r="E838" s="18"/>
      <c r="F838" s="18"/>
      <c r="G838" s="18"/>
      <c r="H838" s="20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spans="1:25" x14ac:dyDescent="0.3">
      <c r="A839" s="22"/>
      <c r="B839" s="18"/>
      <c r="C839" s="18"/>
      <c r="D839" s="18"/>
      <c r="E839" s="18"/>
      <c r="F839" s="18"/>
      <c r="G839" s="18"/>
      <c r="H839" s="20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spans="1:25" x14ac:dyDescent="0.3">
      <c r="A840" s="22"/>
      <c r="B840" s="18"/>
      <c r="C840" s="18"/>
      <c r="D840" s="18"/>
      <c r="E840" s="18"/>
      <c r="F840" s="18"/>
      <c r="G840" s="18"/>
      <c r="H840" s="20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spans="1:25" x14ac:dyDescent="0.3">
      <c r="A841" s="22"/>
      <c r="B841" s="18"/>
      <c r="C841" s="18"/>
      <c r="D841" s="18"/>
      <c r="E841" s="18"/>
      <c r="F841" s="18"/>
      <c r="G841" s="18"/>
      <c r="H841" s="20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spans="1:25" x14ac:dyDescent="0.3">
      <c r="A842" s="22"/>
      <c r="B842" s="18"/>
      <c r="C842" s="18"/>
      <c r="D842" s="18"/>
      <c r="E842" s="18"/>
      <c r="F842" s="18"/>
      <c r="G842" s="18"/>
      <c r="H842" s="20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spans="1:25" x14ac:dyDescent="0.3">
      <c r="A843" s="22"/>
      <c r="B843" s="18"/>
      <c r="C843" s="18"/>
      <c r="D843" s="18"/>
      <c r="E843" s="18"/>
      <c r="F843" s="18"/>
      <c r="G843" s="18"/>
      <c r="H843" s="20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spans="1:25" x14ac:dyDescent="0.3">
      <c r="A844" s="22"/>
      <c r="B844" s="18"/>
      <c r="C844" s="18"/>
      <c r="D844" s="18"/>
      <c r="E844" s="18"/>
      <c r="F844" s="18"/>
      <c r="G844" s="18"/>
      <c r="H844" s="20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spans="1:25" x14ac:dyDescent="0.3">
      <c r="A845" s="22"/>
      <c r="B845" s="18"/>
      <c r="C845" s="18"/>
      <c r="D845" s="18"/>
      <c r="E845" s="18"/>
      <c r="F845" s="18"/>
      <c r="G845" s="18"/>
      <c r="H845" s="20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spans="1:25" x14ac:dyDescent="0.3">
      <c r="A846" s="22"/>
      <c r="B846" s="18"/>
      <c r="C846" s="18"/>
      <c r="D846" s="18"/>
      <c r="E846" s="18"/>
      <c r="F846" s="18"/>
      <c r="G846" s="18"/>
      <c r="H846" s="20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spans="1:25" x14ac:dyDescent="0.3">
      <c r="A847" s="22"/>
      <c r="B847" s="18"/>
      <c r="C847" s="18"/>
      <c r="D847" s="18"/>
      <c r="E847" s="18"/>
      <c r="F847" s="18"/>
      <c r="G847" s="18"/>
      <c r="H847" s="20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spans="1:25" x14ac:dyDescent="0.3">
      <c r="A848" s="22"/>
      <c r="B848" s="18"/>
      <c r="C848" s="18"/>
      <c r="D848" s="18"/>
      <c r="E848" s="18"/>
      <c r="F848" s="18"/>
      <c r="G848" s="18"/>
      <c r="H848" s="20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spans="1:25" x14ac:dyDescent="0.3">
      <c r="A849" s="22"/>
      <c r="B849" s="18"/>
      <c r="C849" s="18"/>
      <c r="D849" s="18"/>
      <c r="E849" s="18"/>
      <c r="F849" s="18"/>
      <c r="G849" s="18"/>
      <c r="H849" s="20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spans="1:25" x14ac:dyDescent="0.3">
      <c r="A850" s="22"/>
      <c r="B850" s="18"/>
      <c r="C850" s="18"/>
      <c r="D850" s="18"/>
      <c r="E850" s="18"/>
      <c r="F850" s="18"/>
      <c r="G850" s="18"/>
      <c r="H850" s="20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spans="1:25" x14ac:dyDescent="0.3">
      <c r="A851" s="22"/>
      <c r="B851" s="18"/>
      <c r="C851" s="18"/>
      <c r="D851" s="18"/>
      <c r="E851" s="18"/>
      <c r="F851" s="18"/>
      <c r="G851" s="18"/>
      <c r="H851" s="20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spans="1:25" x14ac:dyDescent="0.3">
      <c r="A852" s="22"/>
      <c r="B852" s="18"/>
      <c r="C852" s="18"/>
      <c r="D852" s="18"/>
      <c r="E852" s="18"/>
      <c r="F852" s="18"/>
      <c r="G852" s="18"/>
      <c r="H852" s="20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spans="1:25" x14ac:dyDescent="0.3">
      <c r="A853" s="22"/>
      <c r="B853" s="18"/>
      <c r="C853" s="18"/>
      <c r="D853" s="18"/>
      <c r="E853" s="18"/>
      <c r="F853" s="18"/>
      <c r="G853" s="18"/>
      <c r="H853" s="20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spans="1:25" x14ac:dyDescent="0.3">
      <c r="A854" s="22"/>
      <c r="B854" s="18"/>
      <c r="C854" s="18"/>
      <c r="D854" s="18"/>
      <c r="E854" s="18"/>
      <c r="F854" s="18"/>
      <c r="G854" s="18"/>
      <c r="H854" s="20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spans="1:25" x14ac:dyDescent="0.3">
      <c r="A855" s="22"/>
      <c r="B855" s="18"/>
      <c r="C855" s="18"/>
      <c r="D855" s="18"/>
      <c r="E855" s="18"/>
      <c r="F855" s="18"/>
      <c r="G855" s="18"/>
      <c r="H855" s="20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spans="1:25" x14ac:dyDescent="0.3">
      <c r="A856" s="22"/>
      <c r="B856" s="18"/>
      <c r="C856" s="18"/>
      <c r="D856" s="18"/>
      <c r="E856" s="18"/>
      <c r="F856" s="18"/>
      <c r="G856" s="18"/>
      <c r="H856" s="20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spans="1:25" x14ac:dyDescent="0.3">
      <c r="A857" s="22"/>
      <c r="B857" s="18"/>
      <c r="C857" s="18"/>
      <c r="D857" s="18"/>
      <c r="E857" s="18"/>
      <c r="F857" s="18"/>
      <c r="G857" s="18"/>
      <c r="H857" s="20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spans="1:25" x14ac:dyDescent="0.3">
      <c r="A858" s="22"/>
      <c r="B858" s="18"/>
      <c r="C858" s="18"/>
      <c r="D858" s="18"/>
      <c r="E858" s="18"/>
      <c r="F858" s="18"/>
      <c r="G858" s="18"/>
      <c r="H858" s="20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spans="1:25" x14ac:dyDescent="0.3">
      <c r="A859" s="22"/>
      <c r="B859" s="18"/>
      <c r="C859" s="18"/>
      <c r="D859" s="18"/>
      <c r="E859" s="18"/>
      <c r="F859" s="18"/>
      <c r="G859" s="18"/>
      <c r="H859" s="20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spans="1:25" x14ac:dyDescent="0.3">
      <c r="A860" s="22"/>
      <c r="B860" s="18"/>
      <c r="C860" s="18"/>
      <c r="D860" s="18"/>
      <c r="E860" s="18"/>
      <c r="F860" s="18"/>
      <c r="G860" s="18"/>
      <c r="H860" s="20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spans="1:25" x14ac:dyDescent="0.3">
      <c r="A861" s="22"/>
      <c r="B861" s="18"/>
      <c r="C861" s="18"/>
      <c r="D861" s="18"/>
      <c r="E861" s="18"/>
      <c r="F861" s="18"/>
      <c r="G861" s="18"/>
      <c r="H861" s="20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spans="1:25" x14ac:dyDescent="0.3">
      <c r="A862" s="22"/>
      <c r="B862" s="18"/>
      <c r="C862" s="18"/>
      <c r="D862" s="18"/>
      <c r="E862" s="18"/>
      <c r="F862" s="18"/>
      <c r="G862" s="18"/>
      <c r="H862" s="20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spans="1:25" x14ac:dyDescent="0.3">
      <c r="A863" s="22"/>
      <c r="B863" s="18"/>
      <c r="C863" s="18"/>
      <c r="D863" s="18"/>
      <c r="E863" s="18"/>
      <c r="F863" s="18"/>
      <c r="G863" s="18"/>
      <c r="H863" s="20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spans="1:25" x14ac:dyDescent="0.3">
      <c r="A864" s="22"/>
      <c r="B864" s="18"/>
      <c r="C864" s="18"/>
      <c r="D864" s="18"/>
      <c r="E864" s="18"/>
      <c r="F864" s="18"/>
      <c r="G864" s="18"/>
      <c r="H864" s="20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spans="1:25" x14ac:dyDescent="0.3">
      <c r="A865" s="22"/>
      <c r="B865" s="18"/>
      <c r="C865" s="18"/>
      <c r="D865" s="18"/>
      <c r="E865" s="18"/>
      <c r="F865" s="18"/>
      <c r="G865" s="18"/>
      <c r="H865" s="20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spans="1:25" x14ac:dyDescent="0.3">
      <c r="A866" s="22"/>
      <c r="B866" s="18"/>
      <c r="C866" s="18"/>
      <c r="D866" s="18"/>
      <c r="E866" s="18"/>
      <c r="F866" s="18"/>
      <c r="G866" s="18"/>
      <c r="H866" s="20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spans="1:25" x14ac:dyDescent="0.3">
      <c r="A867" s="22"/>
      <c r="B867" s="18"/>
      <c r="C867" s="18"/>
      <c r="D867" s="18"/>
      <c r="E867" s="18"/>
      <c r="F867" s="18"/>
      <c r="G867" s="18"/>
      <c r="H867" s="20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spans="1:25" x14ac:dyDescent="0.3">
      <c r="A868" s="22"/>
      <c r="B868" s="18"/>
      <c r="C868" s="18"/>
      <c r="D868" s="18"/>
      <c r="E868" s="18"/>
      <c r="F868" s="18"/>
      <c r="G868" s="18"/>
      <c r="H868" s="20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spans="1:25" x14ac:dyDescent="0.3">
      <c r="A869" s="22"/>
      <c r="B869" s="18"/>
      <c r="C869" s="18"/>
      <c r="D869" s="18"/>
      <c r="E869" s="18"/>
      <c r="F869" s="18"/>
      <c r="G869" s="18"/>
      <c r="H869" s="20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spans="1:25" x14ac:dyDescent="0.3">
      <c r="A870" s="22"/>
      <c r="B870" s="18"/>
      <c r="C870" s="18"/>
      <c r="D870" s="18"/>
      <c r="E870" s="18"/>
      <c r="F870" s="18"/>
      <c r="G870" s="18"/>
      <c r="H870" s="20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spans="1:25" x14ac:dyDescent="0.3">
      <c r="A871" s="22"/>
      <c r="B871" s="18"/>
      <c r="C871" s="18"/>
      <c r="D871" s="18"/>
      <c r="E871" s="18"/>
      <c r="F871" s="18"/>
      <c r="G871" s="18"/>
      <c r="H871" s="20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spans="1:25" x14ac:dyDescent="0.3">
      <c r="A872" s="22"/>
      <c r="B872" s="18"/>
      <c r="C872" s="18"/>
      <c r="D872" s="18"/>
      <c r="E872" s="18"/>
      <c r="F872" s="18"/>
      <c r="G872" s="18"/>
      <c r="H872" s="20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spans="1:25" x14ac:dyDescent="0.3">
      <c r="A873" s="22"/>
      <c r="B873" s="18"/>
      <c r="C873" s="18"/>
      <c r="D873" s="18"/>
      <c r="E873" s="18"/>
      <c r="F873" s="18"/>
      <c r="G873" s="18"/>
      <c r="H873" s="20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spans="1:25" x14ac:dyDescent="0.3">
      <c r="A874" s="22"/>
      <c r="B874" s="18"/>
      <c r="C874" s="18"/>
      <c r="D874" s="18"/>
      <c r="E874" s="18"/>
      <c r="F874" s="18"/>
      <c r="G874" s="18"/>
      <c r="H874" s="20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spans="1:25" x14ac:dyDescent="0.3">
      <c r="A875" s="22"/>
      <c r="B875" s="18"/>
      <c r="C875" s="18"/>
      <c r="D875" s="18"/>
      <c r="E875" s="18"/>
      <c r="F875" s="18"/>
      <c r="G875" s="18"/>
      <c r="H875" s="20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spans="1:25" x14ac:dyDescent="0.3">
      <c r="A876" s="22"/>
      <c r="B876" s="18"/>
      <c r="C876" s="18"/>
      <c r="D876" s="18"/>
      <c r="E876" s="18"/>
      <c r="F876" s="18"/>
      <c r="G876" s="18"/>
      <c r="H876" s="20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spans="1:25" x14ac:dyDescent="0.3">
      <c r="A877" s="22"/>
      <c r="B877" s="18"/>
      <c r="C877" s="18"/>
      <c r="D877" s="18"/>
      <c r="E877" s="18"/>
      <c r="F877" s="18"/>
      <c r="G877" s="18"/>
      <c r="H877" s="20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spans="1:25" x14ac:dyDescent="0.3">
      <c r="A878" s="22"/>
      <c r="B878" s="18"/>
      <c r="C878" s="18"/>
      <c r="D878" s="18"/>
      <c r="E878" s="18"/>
      <c r="F878" s="18"/>
      <c r="G878" s="18"/>
      <c r="H878" s="20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spans="1:25" x14ac:dyDescent="0.3">
      <c r="A879" s="22"/>
      <c r="B879" s="18"/>
      <c r="C879" s="18"/>
      <c r="D879" s="18"/>
      <c r="E879" s="18"/>
      <c r="F879" s="18"/>
      <c r="G879" s="18"/>
      <c r="H879" s="20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spans="1:25" x14ac:dyDescent="0.3">
      <c r="A880" s="22"/>
      <c r="B880" s="18"/>
      <c r="C880" s="18"/>
      <c r="D880" s="18"/>
      <c r="E880" s="18"/>
      <c r="F880" s="18"/>
      <c r="G880" s="18"/>
      <c r="H880" s="20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spans="1:25" x14ac:dyDescent="0.3">
      <c r="A881" s="22"/>
      <c r="B881" s="18"/>
      <c r="C881" s="18"/>
      <c r="D881" s="18"/>
      <c r="E881" s="18"/>
      <c r="F881" s="18"/>
      <c r="G881" s="18"/>
      <c r="H881" s="20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spans="1:25" x14ac:dyDescent="0.3">
      <c r="A882" s="22"/>
      <c r="B882" s="18"/>
      <c r="C882" s="18"/>
      <c r="D882" s="18"/>
      <c r="E882" s="18"/>
      <c r="F882" s="18"/>
      <c r="G882" s="18"/>
      <c r="H882" s="20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spans="1:25" x14ac:dyDescent="0.3">
      <c r="A883" s="22"/>
      <c r="B883" s="18"/>
      <c r="C883" s="18"/>
      <c r="D883" s="18"/>
      <c r="E883" s="18"/>
      <c r="F883" s="18"/>
      <c r="G883" s="18"/>
      <c r="H883" s="20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spans="1:25" x14ac:dyDescent="0.3">
      <c r="A884" s="22"/>
      <c r="B884" s="18"/>
      <c r="C884" s="18"/>
      <c r="D884" s="18"/>
      <c r="E884" s="18"/>
      <c r="F884" s="18"/>
      <c r="G884" s="18"/>
      <c r="H884" s="20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spans="1:25" x14ac:dyDescent="0.3">
      <c r="A885" s="22"/>
      <c r="B885" s="18"/>
      <c r="C885" s="18"/>
      <c r="D885" s="18"/>
      <c r="E885" s="18"/>
      <c r="F885" s="18"/>
      <c r="G885" s="18"/>
      <c r="H885" s="20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spans="1:25" x14ac:dyDescent="0.3">
      <c r="A886" s="22"/>
      <c r="B886" s="18"/>
      <c r="C886" s="18"/>
      <c r="D886" s="18"/>
      <c r="E886" s="18"/>
      <c r="F886" s="18"/>
      <c r="G886" s="18"/>
      <c r="H886" s="20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spans="1:25" x14ac:dyDescent="0.3">
      <c r="A887" s="22"/>
      <c r="B887" s="18"/>
      <c r="C887" s="18"/>
      <c r="D887" s="18"/>
      <c r="E887" s="18"/>
      <c r="F887" s="18"/>
      <c r="G887" s="18"/>
      <c r="H887" s="20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spans="1:25" x14ac:dyDescent="0.3">
      <c r="A888" s="22"/>
      <c r="B888" s="18"/>
      <c r="C888" s="18"/>
      <c r="D888" s="18"/>
      <c r="E888" s="18"/>
      <c r="F888" s="18"/>
      <c r="G888" s="18"/>
      <c r="H888" s="20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spans="1:25" x14ac:dyDescent="0.3">
      <c r="A889" s="22"/>
      <c r="B889" s="18"/>
      <c r="C889" s="18"/>
      <c r="D889" s="18"/>
      <c r="E889" s="18"/>
      <c r="F889" s="18"/>
      <c r="G889" s="18"/>
      <c r="H889" s="20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spans="1:25" x14ac:dyDescent="0.3">
      <c r="A890" s="22"/>
      <c r="B890" s="18"/>
      <c r="C890" s="18"/>
      <c r="D890" s="18"/>
      <c r="E890" s="18"/>
      <c r="F890" s="18"/>
      <c r="G890" s="18"/>
      <c r="H890" s="20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spans="1:25" x14ac:dyDescent="0.3">
      <c r="A891" s="22"/>
      <c r="B891" s="18"/>
      <c r="C891" s="18"/>
      <c r="D891" s="18"/>
      <c r="E891" s="18"/>
      <c r="F891" s="18"/>
      <c r="G891" s="18"/>
      <c r="H891" s="20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spans="1:25" x14ac:dyDescent="0.3">
      <c r="A892" s="22"/>
      <c r="B892" s="18"/>
      <c r="C892" s="18"/>
      <c r="D892" s="18"/>
      <c r="E892" s="18"/>
      <c r="F892" s="18"/>
      <c r="G892" s="18"/>
      <c r="H892" s="20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spans="1:25" x14ac:dyDescent="0.3">
      <c r="A893" s="22"/>
      <c r="B893" s="18"/>
      <c r="C893" s="18"/>
      <c r="D893" s="18"/>
      <c r="E893" s="18"/>
      <c r="F893" s="18"/>
      <c r="G893" s="18"/>
      <c r="H893" s="20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spans="1:25" x14ac:dyDescent="0.3">
      <c r="A894" s="22"/>
      <c r="B894" s="18"/>
      <c r="C894" s="18"/>
      <c r="D894" s="18"/>
      <c r="E894" s="18"/>
      <c r="F894" s="18"/>
      <c r="G894" s="18"/>
      <c r="H894" s="20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spans="1:25" x14ac:dyDescent="0.3">
      <c r="A895" s="22"/>
      <c r="B895" s="18"/>
      <c r="C895" s="18"/>
      <c r="D895" s="18"/>
      <c r="E895" s="18"/>
      <c r="F895" s="18"/>
      <c r="G895" s="18"/>
      <c r="H895" s="20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spans="1:25" x14ac:dyDescent="0.3">
      <c r="A896" s="22"/>
      <c r="B896" s="18"/>
      <c r="C896" s="18"/>
      <c r="D896" s="18"/>
      <c r="E896" s="18"/>
      <c r="F896" s="18"/>
      <c r="G896" s="18"/>
      <c r="H896" s="20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spans="1:25" x14ac:dyDescent="0.3">
      <c r="A897" s="22"/>
      <c r="B897" s="18"/>
      <c r="C897" s="18"/>
      <c r="D897" s="18"/>
      <c r="E897" s="18"/>
      <c r="F897" s="18"/>
      <c r="G897" s="18"/>
      <c r="H897" s="20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spans="1:25" x14ac:dyDescent="0.3">
      <c r="A898" s="22"/>
      <c r="B898" s="18"/>
      <c r="C898" s="18"/>
      <c r="D898" s="18"/>
      <c r="E898" s="18"/>
      <c r="F898" s="18"/>
      <c r="G898" s="18"/>
      <c r="H898" s="20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spans="1:25" x14ac:dyDescent="0.3">
      <c r="A899" s="22"/>
      <c r="B899" s="18"/>
      <c r="C899" s="18"/>
      <c r="D899" s="18"/>
      <c r="E899" s="18"/>
      <c r="F899" s="18"/>
      <c r="G899" s="18"/>
      <c r="H899" s="20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spans="1:25" x14ac:dyDescent="0.3">
      <c r="A900" s="22"/>
      <c r="B900" s="18"/>
      <c r="C900" s="18"/>
      <c r="D900" s="18"/>
      <c r="E900" s="18"/>
      <c r="F900" s="18"/>
      <c r="G900" s="18"/>
      <c r="H900" s="20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spans="1:25" x14ac:dyDescent="0.3">
      <c r="A901" s="22"/>
      <c r="B901" s="18"/>
      <c r="C901" s="18"/>
      <c r="D901" s="18"/>
      <c r="E901" s="18"/>
      <c r="F901" s="18"/>
      <c r="G901" s="18"/>
      <c r="H901" s="20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spans="1:25" x14ac:dyDescent="0.3">
      <c r="A902" s="22"/>
      <c r="B902" s="18"/>
      <c r="C902" s="18"/>
      <c r="D902" s="18"/>
      <c r="E902" s="18"/>
      <c r="F902" s="18"/>
      <c r="G902" s="18"/>
      <c r="H902" s="20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spans="1:25" x14ac:dyDescent="0.3">
      <c r="A903" s="22"/>
      <c r="B903" s="18"/>
      <c r="C903" s="18"/>
      <c r="D903" s="18"/>
      <c r="E903" s="18"/>
      <c r="F903" s="18"/>
      <c r="G903" s="18"/>
      <c r="H903" s="20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spans="1:25" x14ac:dyDescent="0.3">
      <c r="A904" s="22"/>
      <c r="B904" s="18"/>
      <c r="C904" s="18"/>
      <c r="D904" s="18"/>
      <c r="E904" s="18"/>
      <c r="F904" s="18"/>
      <c r="G904" s="18"/>
      <c r="H904" s="20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spans="1:25" x14ac:dyDescent="0.3">
      <c r="A905" s="22"/>
      <c r="B905" s="18"/>
      <c r="C905" s="18"/>
      <c r="D905" s="18"/>
      <c r="E905" s="18"/>
      <c r="F905" s="18"/>
      <c r="G905" s="18"/>
      <c r="H905" s="20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spans="1:25" x14ac:dyDescent="0.3">
      <c r="A906" s="22"/>
      <c r="B906" s="18"/>
      <c r="C906" s="18"/>
      <c r="D906" s="18"/>
      <c r="E906" s="18"/>
      <c r="F906" s="18"/>
      <c r="G906" s="18"/>
      <c r="H906" s="20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spans="1:25" x14ac:dyDescent="0.3">
      <c r="A907" s="22"/>
      <c r="B907" s="18"/>
      <c r="C907" s="18"/>
      <c r="D907" s="18"/>
      <c r="E907" s="18"/>
      <c r="F907" s="18"/>
      <c r="G907" s="18"/>
      <c r="H907" s="20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spans="1:25" x14ac:dyDescent="0.3">
      <c r="A908" s="22"/>
      <c r="B908" s="18"/>
      <c r="C908" s="18"/>
      <c r="D908" s="18"/>
      <c r="E908" s="18"/>
      <c r="F908" s="18"/>
      <c r="G908" s="18"/>
      <c r="H908" s="20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spans="1:25" x14ac:dyDescent="0.3">
      <c r="A909" s="22"/>
      <c r="B909" s="18"/>
      <c r="C909" s="18"/>
      <c r="D909" s="18"/>
      <c r="E909" s="18"/>
      <c r="F909" s="18"/>
      <c r="G909" s="18"/>
      <c r="H909" s="20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spans="1:25" x14ac:dyDescent="0.3">
      <c r="A910" s="22"/>
      <c r="B910" s="18"/>
      <c r="C910" s="18"/>
      <c r="D910" s="18"/>
      <c r="E910" s="18"/>
      <c r="F910" s="18"/>
      <c r="G910" s="18"/>
      <c r="H910" s="20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spans="1:25" x14ac:dyDescent="0.3">
      <c r="A911" s="22"/>
      <c r="B911" s="18"/>
      <c r="C911" s="18"/>
      <c r="D911" s="18"/>
      <c r="E911" s="18"/>
      <c r="F911" s="18"/>
      <c r="G911" s="18"/>
      <c r="H911" s="20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spans="1:25" x14ac:dyDescent="0.3">
      <c r="A912" s="22"/>
      <c r="B912" s="18"/>
      <c r="C912" s="18"/>
      <c r="D912" s="18"/>
      <c r="E912" s="18"/>
      <c r="F912" s="18"/>
      <c r="G912" s="18"/>
      <c r="H912" s="20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spans="1:25" x14ac:dyDescent="0.3">
      <c r="A913" s="22"/>
      <c r="B913" s="18"/>
      <c r="C913" s="18"/>
      <c r="D913" s="18"/>
      <c r="E913" s="18"/>
      <c r="F913" s="18"/>
      <c r="G913" s="18"/>
      <c r="H913" s="20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spans="1:25" x14ac:dyDescent="0.3">
      <c r="A914" s="22"/>
      <c r="B914" s="18"/>
      <c r="C914" s="18"/>
      <c r="D914" s="18"/>
      <c r="E914" s="18"/>
      <c r="F914" s="18"/>
      <c r="G914" s="18"/>
      <c r="H914" s="20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spans="1:25" x14ac:dyDescent="0.3">
      <c r="A915" s="22"/>
      <c r="B915" s="18"/>
      <c r="C915" s="18"/>
      <c r="D915" s="18"/>
      <c r="E915" s="18"/>
      <c r="F915" s="18"/>
      <c r="G915" s="18"/>
      <c r="H915" s="20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spans="1:25" x14ac:dyDescent="0.3">
      <c r="A916" s="22"/>
      <c r="B916" s="18"/>
      <c r="C916" s="18"/>
      <c r="D916" s="18"/>
      <c r="E916" s="18"/>
      <c r="F916" s="18"/>
      <c r="G916" s="18"/>
      <c r="H916" s="20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spans="1:25" x14ac:dyDescent="0.3">
      <c r="A917" s="22"/>
      <c r="B917" s="18"/>
      <c r="C917" s="18"/>
      <c r="D917" s="18"/>
      <c r="E917" s="18"/>
      <c r="F917" s="18"/>
      <c r="G917" s="18"/>
      <c r="H917" s="20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spans="1:25" x14ac:dyDescent="0.3">
      <c r="A918" s="22"/>
      <c r="B918" s="18"/>
      <c r="C918" s="18"/>
      <c r="D918" s="18"/>
      <c r="E918" s="18"/>
      <c r="F918" s="18"/>
      <c r="G918" s="18"/>
      <c r="H918" s="20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spans="1:25" x14ac:dyDescent="0.3">
      <c r="A919" s="22"/>
      <c r="B919" s="18"/>
      <c r="C919" s="18"/>
      <c r="D919" s="18"/>
      <c r="E919" s="18"/>
      <c r="F919" s="18"/>
      <c r="G919" s="18"/>
      <c r="H919" s="20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spans="1:25" x14ac:dyDescent="0.3">
      <c r="A920" s="22"/>
      <c r="B920" s="18"/>
      <c r="C920" s="18"/>
      <c r="D920" s="18"/>
      <c r="E920" s="18"/>
      <c r="F920" s="18"/>
      <c r="G920" s="18"/>
      <c r="H920" s="20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spans="1:25" x14ac:dyDescent="0.3">
      <c r="A921" s="22"/>
      <c r="B921" s="18"/>
      <c r="C921" s="18"/>
      <c r="D921" s="18"/>
      <c r="E921" s="18"/>
      <c r="F921" s="18"/>
      <c r="G921" s="18"/>
      <c r="H921" s="20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spans="1:25" x14ac:dyDescent="0.3">
      <c r="A922" s="22"/>
      <c r="B922" s="18"/>
      <c r="C922" s="18"/>
      <c r="D922" s="18"/>
      <c r="E922" s="18"/>
      <c r="F922" s="18"/>
      <c r="G922" s="18"/>
      <c r="H922" s="20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spans="1:25" x14ac:dyDescent="0.3">
      <c r="A923" s="22"/>
      <c r="B923" s="18"/>
      <c r="C923" s="18"/>
      <c r="D923" s="18"/>
      <c r="E923" s="18"/>
      <c r="F923" s="18"/>
      <c r="G923" s="18"/>
      <c r="H923" s="20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spans="1:25" x14ac:dyDescent="0.3">
      <c r="A924" s="22"/>
      <c r="B924" s="18"/>
      <c r="C924" s="18"/>
      <c r="D924" s="18"/>
      <c r="E924" s="18"/>
      <c r="F924" s="18"/>
      <c r="G924" s="18"/>
      <c r="H924" s="20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spans="1:25" x14ac:dyDescent="0.3">
      <c r="A925" s="22"/>
      <c r="B925" s="18"/>
      <c r="C925" s="18"/>
      <c r="D925" s="18"/>
      <c r="E925" s="18"/>
      <c r="F925" s="18"/>
      <c r="G925" s="18"/>
      <c r="H925" s="20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spans="1:25" x14ac:dyDescent="0.3">
      <c r="A926" s="22"/>
      <c r="B926" s="18"/>
      <c r="C926" s="18"/>
      <c r="D926" s="18"/>
      <c r="E926" s="18"/>
      <c r="F926" s="18"/>
      <c r="G926" s="18"/>
      <c r="H926" s="20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spans="1:25" x14ac:dyDescent="0.3">
      <c r="A927" s="22"/>
      <c r="B927" s="18"/>
      <c r="C927" s="18"/>
      <c r="D927" s="18"/>
      <c r="E927" s="18"/>
      <c r="F927" s="18"/>
      <c r="G927" s="18"/>
      <c r="H927" s="20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spans="1:25" x14ac:dyDescent="0.3">
      <c r="A928" s="22"/>
      <c r="B928" s="18"/>
      <c r="C928" s="18"/>
      <c r="D928" s="18"/>
      <c r="E928" s="18"/>
      <c r="F928" s="18"/>
      <c r="G928" s="18"/>
      <c r="H928" s="20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spans="1:25" x14ac:dyDescent="0.3">
      <c r="A929" s="22"/>
      <c r="B929" s="18"/>
      <c r="C929" s="18"/>
      <c r="D929" s="18"/>
      <c r="E929" s="18"/>
      <c r="F929" s="18"/>
      <c r="G929" s="18"/>
      <c r="H929" s="20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spans="1:25" x14ac:dyDescent="0.3">
      <c r="A930" s="22"/>
      <c r="B930" s="18"/>
      <c r="C930" s="18"/>
      <c r="D930" s="18"/>
      <c r="E930" s="18"/>
      <c r="F930" s="18"/>
      <c r="G930" s="18"/>
      <c r="H930" s="20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spans="1:25" x14ac:dyDescent="0.3">
      <c r="A931" s="22"/>
      <c r="B931" s="18"/>
      <c r="C931" s="18"/>
      <c r="D931" s="18"/>
      <c r="E931" s="18"/>
      <c r="F931" s="18"/>
      <c r="G931" s="18"/>
      <c r="H931" s="20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spans="1:25" x14ac:dyDescent="0.3">
      <c r="A932" s="22"/>
      <c r="B932" s="18"/>
      <c r="C932" s="18"/>
      <c r="D932" s="18"/>
      <c r="E932" s="18"/>
      <c r="F932" s="18"/>
      <c r="G932" s="18"/>
      <c r="H932" s="20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spans="1:25" x14ac:dyDescent="0.3">
      <c r="A933" s="22"/>
      <c r="B933" s="18"/>
      <c r="C933" s="18"/>
      <c r="D933" s="18"/>
      <c r="E933" s="18"/>
      <c r="F933" s="18"/>
      <c r="G933" s="18"/>
      <c r="H933" s="20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spans="1:25" x14ac:dyDescent="0.3">
      <c r="A934" s="22"/>
      <c r="B934" s="18"/>
      <c r="C934" s="18"/>
      <c r="D934" s="18"/>
      <c r="E934" s="18"/>
      <c r="F934" s="18"/>
      <c r="G934" s="18"/>
      <c r="H934" s="20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spans="1:25" x14ac:dyDescent="0.3">
      <c r="A935" s="22"/>
      <c r="B935" s="18"/>
      <c r="C935" s="18"/>
      <c r="D935" s="18"/>
      <c r="E935" s="18"/>
      <c r="F935" s="18"/>
      <c r="G935" s="18"/>
      <c r="H935" s="20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spans="1:25" x14ac:dyDescent="0.3">
      <c r="A936" s="22"/>
      <c r="B936" s="18"/>
      <c r="C936" s="18"/>
      <c r="D936" s="18"/>
      <c r="E936" s="18"/>
      <c r="F936" s="18"/>
      <c r="G936" s="18"/>
      <c r="H936" s="20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spans="1:25" x14ac:dyDescent="0.3">
      <c r="A937" s="22"/>
      <c r="B937" s="18"/>
      <c r="C937" s="18"/>
      <c r="D937" s="18"/>
      <c r="E937" s="18"/>
      <c r="F937" s="18"/>
      <c r="G937" s="18"/>
      <c r="H937" s="20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spans="1:25" x14ac:dyDescent="0.3">
      <c r="A938" s="22"/>
      <c r="B938" s="18"/>
      <c r="C938" s="18"/>
      <c r="D938" s="18"/>
      <c r="E938" s="18"/>
      <c r="F938" s="18"/>
      <c r="G938" s="18"/>
      <c r="H938" s="20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spans="1:25" x14ac:dyDescent="0.3">
      <c r="A939" s="22"/>
      <c r="B939" s="18"/>
      <c r="C939" s="18"/>
      <c r="D939" s="18"/>
      <c r="E939" s="18"/>
      <c r="F939" s="18"/>
      <c r="G939" s="18"/>
      <c r="H939" s="20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spans="1:25" x14ac:dyDescent="0.3">
      <c r="A940" s="22"/>
      <c r="B940" s="18"/>
      <c r="C940" s="18"/>
      <c r="D940" s="18"/>
      <c r="E940" s="18"/>
      <c r="F940" s="18"/>
      <c r="G940" s="18"/>
      <c r="H940" s="20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spans="1:25" x14ac:dyDescent="0.3">
      <c r="A941" s="22"/>
      <c r="B941" s="18"/>
      <c r="C941" s="18"/>
      <c r="D941" s="18"/>
      <c r="E941" s="18"/>
      <c r="F941" s="18"/>
      <c r="G941" s="18"/>
      <c r="H941" s="20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spans="1:25" x14ac:dyDescent="0.3">
      <c r="A942" s="22"/>
      <c r="B942" s="18"/>
      <c r="C942" s="18"/>
      <c r="D942" s="18"/>
      <c r="E942" s="18"/>
      <c r="F942" s="18"/>
      <c r="G942" s="18"/>
      <c r="H942" s="20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spans="1:25" x14ac:dyDescent="0.3">
      <c r="A943" s="22"/>
      <c r="B943" s="18"/>
      <c r="C943" s="18"/>
      <c r="D943" s="18"/>
      <c r="E943" s="18"/>
      <c r="F943" s="18"/>
      <c r="G943" s="18"/>
      <c r="H943" s="20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spans="1:25" x14ac:dyDescent="0.3">
      <c r="A944" s="22"/>
      <c r="B944" s="18"/>
      <c r="C944" s="18"/>
      <c r="D944" s="18"/>
      <c r="E944" s="18"/>
      <c r="F944" s="18"/>
      <c r="G944" s="18"/>
      <c r="H944" s="20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spans="1:25" x14ac:dyDescent="0.3">
      <c r="A945" s="22"/>
      <c r="B945" s="18"/>
      <c r="C945" s="18"/>
      <c r="D945" s="18"/>
      <c r="E945" s="18"/>
      <c r="F945" s="18"/>
      <c r="G945" s="18"/>
      <c r="H945" s="20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spans="1:25" x14ac:dyDescent="0.3">
      <c r="A946" s="22"/>
      <c r="B946" s="18"/>
      <c r="C946" s="18"/>
      <c r="D946" s="18"/>
      <c r="E946" s="18"/>
      <c r="F946" s="18"/>
      <c r="G946" s="18"/>
      <c r="H946" s="20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spans="1:25" x14ac:dyDescent="0.3">
      <c r="A947" s="22"/>
      <c r="B947" s="18"/>
      <c r="C947" s="18"/>
      <c r="D947" s="18"/>
      <c r="E947" s="18"/>
      <c r="F947" s="18"/>
      <c r="G947" s="18"/>
      <c r="H947" s="20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spans="1:25" x14ac:dyDescent="0.3">
      <c r="A948" s="22"/>
      <c r="B948" s="18"/>
      <c r="C948" s="18"/>
      <c r="D948" s="18"/>
      <c r="E948" s="18"/>
      <c r="F948" s="18"/>
      <c r="G948" s="18"/>
      <c r="H948" s="20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spans="1:25" x14ac:dyDescent="0.3">
      <c r="A949" s="22"/>
      <c r="B949" s="18"/>
      <c r="C949" s="18"/>
      <c r="D949" s="18"/>
      <c r="E949" s="18"/>
      <c r="F949" s="18"/>
      <c r="G949" s="18"/>
      <c r="H949" s="20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spans="1:25" x14ac:dyDescent="0.3">
      <c r="A950" s="22"/>
      <c r="B950" s="18"/>
      <c r="C950" s="18"/>
      <c r="D950" s="18"/>
      <c r="E950" s="18"/>
      <c r="F950" s="18"/>
      <c r="G950" s="18"/>
      <c r="H950" s="20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spans="1:25" x14ac:dyDescent="0.3">
      <c r="A951" s="22"/>
      <c r="B951" s="18"/>
      <c r="C951" s="18"/>
      <c r="D951" s="18"/>
      <c r="E951" s="18"/>
      <c r="F951" s="18"/>
      <c r="G951" s="18"/>
      <c r="H951" s="20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spans="1:25" x14ac:dyDescent="0.3">
      <c r="A952" s="22"/>
      <c r="B952" s="18"/>
      <c r="C952" s="18"/>
      <c r="D952" s="18"/>
      <c r="E952" s="18"/>
      <c r="F952" s="18"/>
      <c r="G952" s="18"/>
      <c r="H952" s="20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spans="1:25" x14ac:dyDescent="0.3">
      <c r="A953" s="22"/>
      <c r="B953" s="18"/>
      <c r="C953" s="18"/>
      <c r="D953" s="18"/>
      <c r="E953" s="18"/>
      <c r="F953" s="18"/>
      <c r="G953" s="18"/>
      <c r="H953" s="20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spans="1:25" x14ac:dyDescent="0.3">
      <c r="A954" s="22"/>
      <c r="B954" s="18"/>
      <c r="C954" s="18"/>
      <c r="D954" s="18"/>
      <c r="E954" s="18"/>
      <c r="F954" s="18"/>
      <c r="G954" s="18"/>
      <c r="H954" s="20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spans="1:25" x14ac:dyDescent="0.3">
      <c r="A955" s="22"/>
      <c r="B955" s="18"/>
      <c r="C955" s="18"/>
      <c r="D955" s="18"/>
      <c r="E955" s="18"/>
      <c r="F955" s="18"/>
      <c r="G955" s="18"/>
      <c r="H955" s="20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spans="1:25" x14ac:dyDescent="0.3">
      <c r="A956" s="22"/>
      <c r="B956" s="18"/>
      <c r="C956" s="18"/>
      <c r="D956" s="18"/>
      <c r="E956" s="18"/>
      <c r="F956" s="18"/>
      <c r="G956" s="18"/>
      <c r="H956" s="20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spans="1:25" x14ac:dyDescent="0.3">
      <c r="A957" s="22"/>
      <c r="B957" s="18"/>
      <c r="C957" s="18"/>
      <c r="D957" s="18"/>
      <c r="E957" s="18"/>
      <c r="F957" s="18"/>
      <c r="G957" s="18"/>
      <c r="H957" s="20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spans="1:25" x14ac:dyDescent="0.3">
      <c r="A958" s="22"/>
      <c r="B958" s="18"/>
      <c r="C958" s="18"/>
      <c r="D958" s="18"/>
      <c r="E958" s="18"/>
      <c r="F958" s="18"/>
      <c r="G958" s="18"/>
      <c r="H958" s="20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spans="1:25" x14ac:dyDescent="0.3">
      <c r="A959" s="22"/>
      <c r="B959" s="18"/>
      <c r="C959" s="18"/>
      <c r="D959" s="18"/>
      <c r="E959" s="18"/>
      <c r="F959" s="18"/>
      <c r="G959" s="18"/>
      <c r="H959" s="20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spans="1:25" x14ac:dyDescent="0.3">
      <c r="A960" s="22"/>
      <c r="B960" s="18"/>
      <c r="C960" s="18"/>
      <c r="D960" s="18"/>
      <c r="E960" s="18"/>
      <c r="F960" s="18"/>
      <c r="G960" s="18"/>
      <c r="H960" s="20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spans="1:25" x14ac:dyDescent="0.3">
      <c r="A961" s="22"/>
      <c r="B961" s="18"/>
      <c r="C961" s="18"/>
      <c r="D961" s="18"/>
      <c r="E961" s="18"/>
      <c r="F961" s="18"/>
      <c r="G961" s="18"/>
      <c r="H961" s="20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spans="1:25" x14ac:dyDescent="0.3">
      <c r="A962" s="22"/>
      <c r="B962" s="18"/>
      <c r="C962" s="18"/>
      <c r="D962" s="18"/>
      <c r="E962" s="18"/>
      <c r="F962" s="18"/>
      <c r="G962" s="18"/>
      <c r="H962" s="20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spans="1:25" x14ac:dyDescent="0.3">
      <c r="A963" s="22"/>
      <c r="B963" s="18"/>
      <c r="C963" s="18"/>
      <c r="D963" s="18"/>
      <c r="E963" s="18"/>
      <c r="F963" s="18"/>
      <c r="G963" s="18"/>
      <c r="H963" s="20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spans="1:25" x14ac:dyDescent="0.3">
      <c r="A964" s="22"/>
      <c r="B964" s="18"/>
      <c r="C964" s="18"/>
      <c r="D964" s="18"/>
      <c r="E964" s="18"/>
      <c r="F964" s="18"/>
      <c r="G964" s="18"/>
      <c r="H964" s="20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spans="1:25" x14ac:dyDescent="0.3">
      <c r="A965" s="22"/>
      <c r="B965" s="18"/>
      <c r="C965" s="18"/>
      <c r="D965" s="18"/>
      <c r="E965" s="18"/>
      <c r="F965" s="18"/>
      <c r="G965" s="18"/>
      <c r="H965" s="20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spans="1:25" x14ac:dyDescent="0.3">
      <c r="A966" s="22"/>
      <c r="B966" s="18"/>
      <c r="C966" s="18"/>
      <c r="D966" s="18"/>
      <c r="E966" s="18"/>
      <c r="F966" s="18"/>
      <c r="G966" s="18"/>
      <c r="H966" s="20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spans="1:25" x14ac:dyDescent="0.3">
      <c r="A967" s="22"/>
      <c r="B967" s="18"/>
      <c r="C967" s="18"/>
      <c r="D967" s="18"/>
      <c r="E967" s="18"/>
      <c r="F967" s="18"/>
      <c r="G967" s="18"/>
      <c r="H967" s="20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spans="1:25" x14ac:dyDescent="0.3">
      <c r="A968" s="22"/>
      <c r="B968" s="18"/>
      <c r="C968" s="18"/>
      <c r="D968" s="18"/>
      <c r="E968" s="18"/>
      <c r="F968" s="18"/>
      <c r="G968" s="18"/>
      <c r="H968" s="20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spans="1:25" x14ac:dyDescent="0.3">
      <c r="A969" s="22"/>
      <c r="B969" s="18"/>
      <c r="C969" s="18"/>
      <c r="D969" s="18"/>
      <c r="E969" s="18"/>
      <c r="F969" s="18"/>
      <c r="G969" s="18"/>
      <c r="H969" s="20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spans="1:25" x14ac:dyDescent="0.3">
      <c r="A970" s="22"/>
      <c r="B970" s="18"/>
      <c r="C970" s="18"/>
      <c r="D970" s="18"/>
      <c r="E970" s="18"/>
      <c r="F970" s="18"/>
      <c r="G970" s="18"/>
      <c r="H970" s="20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spans="1:25" x14ac:dyDescent="0.3">
      <c r="A971" s="22"/>
      <c r="B971" s="18"/>
      <c r="C971" s="18"/>
      <c r="D971" s="18"/>
      <c r="E971" s="18"/>
      <c r="F971" s="18"/>
      <c r="G971" s="18"/>
      <c r="H971" s="20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spans="1:25" x14ac:dyDescent="0.3">
      <c r="A972" s="22"/>
      <c r="B972" s="18"/>
      <c r="C972" s="18"/>
      <c r="D972" s="18"/>
      <c r="E972" s="18"/>
      <c r="F972" s="18"/>
      <c r="G972" s="18"/>
      <c r="H972" s="20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spans="1:25" x14ac:dyDescent="0.3">
      <c r="A973" s="22"/>
      <c r="B973" s="18"/>
      <c r="C973" s="18"/>
      <c r="D973" s="18"/>
      <c r="E973" s="18"/>
      <c r="F973" s="18"/>
      <c r="G973" s="18"/>
      <c r="H973" s="20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spans="1:25" x14ac:dyDescent="0.3">
      <c r="A974" s="22"/>
      <c r="B974" s="18"/>
      <c r="C974" s="18"/>
      <c r="D974" s="18"/>
      <c r="E974" s="18"/>
      <c r="F974" s="18"/>
      <c r="G974" s="18"/>
      <c r="H974" s="20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spans="1:25" x14ac:dyDescent="0.3">
      <c r="A975" s="22"/>
      <c r="B975" s="18"/>
      <c r="C975" s="18"/>
      <c r="D975" s="18"/>
      <c r="E975" s="18"/>
      <c r="F975" s="18"/>
      <c r="G975" s="18"/>
      <c r="H975" s="20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spans="1:25" x14ac:dyDescent="0.3">
      <c r="A976" s="22"/>
      <c r="B976" s="18"/>
      <c r="C976" s="18"/>
      <c r="D976" s="18"/>
      <c r="E976" s="18"/>
      <c r="F976" s="18"/>
      <c r="G976" s="18"/>
      <c r="H976" s="20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spans="1:25" x14ac:dyDescent="0.3">
      <c r="A977" s="22"/>
      <c r="B977" s="18"/>
      <c r="C977" s="18"/>
      <c r="D977" s="18"/>
      <c r="E977" s="18"/>
      <c r="F977" s="18"/>
      <c r="G977" s="18"/>
      <c r="H977" s="20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spans="1:25" x14ac:dyDescent="0.3">
      <c r="A978" s="22"/>
      <c r="B978" s="18"/>
      <c r="C978" s="18"/>
      <c r="D978" s="18"/>
      <c r="E978" s="18"/>
      <c r="F978" s="18"/>
      <c r="G978" s="18"/>
      <c r="H978" s="20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spans="1:25" x14ac:dyDescent="0.3">
      <c r="A979" s="22"/>
      <c r="B979" s="18"/>
      <c r="C979" s="18"/>
      <c r="D979" s="18"/>
      <c r="E979" s="18"/>
      <c r="F979" s="18"/>
      <c r="G979" s="18"/>
      <c r="H979" s="20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spans="1:25" x14ac:dyDescent="0.3">
      <c r="A980" s="22"/>
      <c r="B980" s="18"/>
      <c r="C980" s="18"/>
      <c r="D980" s="18"/>
      <c r="E980" s="18"/>
      <c r="F980" s="18"/>
      <c r="G980" s="18"/>
      <c r="H980" s="20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spans="1:25" x14ac:dyDescent="0.3">
      <c r="A981" s="22"/>
      <c r="B981" s="18"/>
      <c r="C981" s="18"/>
      <c r="D981" s="18"/>
      <c r="E981" s="18"/>
      <c r="F981" s="18"/>
      <c r="G981" s="18"/>
      <c r="H981" s="20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spans="1:25" x14ac:dyDescent="0.3">
      <c r="A982" s="22"/>
      <c r="B982" s="18"/>
      <c r="C982" s="18"/>
      <c r="D982" s="18"/>
      <c r="E982" s="18"/>
      <c r="F982" s="18"/>
      <c r="G982" s="18"/>
      <c r="H982" s="20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spans="1:25" x14ac:dyDescent="0.3">
      <c r="A983" s="22"/>
      <c r="B983" s="18"/>
      <c r="C983" s="18"/>
      <c r="D983" s="18"/>
      <c r="E983" s="18"/>
      <c r="F983" s="18"/>
      <c r="G983" s="18"/>
      <c r="H983" s="20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spans="1:25" x14ac:dyDescent="0.3">
      <c r="A984" s="22"/>
      <c r="B984" s="18"/>
      <c r="C984" s="18"/>
      <c r="D984" s="18"/>
      <c r="E984" s="18"/>
      <c r="F984" s="18"/>
      <c r="G984" s="18"/>
      <c r="H984" s="20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spans="1:25" x14ac:dyDescent="0.3">
      <c r="A985" s="22"/>
      <c r="B985" s="18"/>
      <c r="C985" s="18"/>
      <c r="D985" s="18"/>
      <c r="E985" s="18"/>
      <c r="F985" s="18"/>
      <c r="G985" s="18"/>
      <c r="H985" s="20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spans="1:25" x14ac:dyDescent="0.3">
      <c r="A986" s="22"/>
      <c r="B986" s="18"/>
      <c r="C986" s="18"/>
      <c r="D986" s="18"/>
      <c r="E986" s="18"/>
      <c r="F986" s="18"/>
      <c r="G986" s="18"/>
      <c r="H986" s="20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spans="1:25" x14ac:dyDescent="0.3">
      <c r="A987" s="22"/>
      <c r="B987" s="18"/>
      <c r="C987" s="18"/>
      <c r="D987" s="18"/>
      <c r="E987" s="18"/>
      <c r="F987" s="18"/>
      <c r="G987" s="18"/>
      <c r="H987" s="20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spans="1:25" x14ac:dyDescent="0.3">
      <c r="A988" s="22"/>
      <c r="B988" s="18"/>
      <c r="C988" s="18"/>
      <c r="D988" s="18"/>
      <c r="E988" s="18"/>
      <c r="F988" s="18"/>
      <c r="G988" s="18"/>
      <c r="H988" s="20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spans="1:25" x14ac:dyDescent="0.3">
      <c r="A989" s="22"/>
      <c r="B989" s="18"/>
      <c r="C989" s="18"/>
      <c r="D989" s="18"/>
      <c r="E989" s="18"/>
      <c r="F989" s="18"/>
      <c r="G989" s="18"/>
      <c r="H989" s="20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spans="1:25" x14ac:dyDescent="0.3">
      <c r="A990" s="22"/>
      <c r="B990" s="18"/>
      <c r="C990" s="18"/>
      <c r="D990" s="18"/>
      <c r="E990" s="18"/>
      <c r="F990" s="18"/>
      <c r="G990" s="18"/>
      <c r="H990" s="20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spans="1:25" x14ac:dyDescent="0.3">
      <c r="A991" s="22"/>
      <c r="B991" s="18"/>
      <c r="C991" s="18"/>
      <c r="D991" s="18"/>
      <c r="E991" s="18"/>
      <c r="F991" s="18"/>
      <c r="G991" s="18"/>
      <c r="H991" s="20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spans="1:25" x14ac:dyDescent="0.3">
      <c r="A992" s="22"/>
      <c r="B992" s="18"/>
      <c r="C992" s="18"/>
      <c r="D992" s="18"/>
      <c r="E992" s="18"/>
      <c r="F992" s="18"/>
      <c r="G992" s="18"/>
      <c r="H992" s="20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spans="1:25" x14ac:dyDescent="0.3">
      <c r="A993" s="22"/>
      <c r="B993" s="18"/>
      <c r="C993" s="18"/>
      <c r="D993" s="18"/>
      <c r="E993" s="18"/>
      <c r="F993" s="18"/>
      <c r="G993" s="18"/>
      <c r="H993" s="20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spans="1:25" x14ac:dyDescent="0.3">
      <c r="A994" s="22"/>
      <c r="B994" s="18"/>
      <c r="C994" s="18"/>
      <c r="D994" s="18"/>
      <c r="E994" s="18"/>
      <c r="F994" s="18"/>
      <c r="G994" s="18"/>
      <c r="H994" s="20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spans="1:25" x14ac:dyDescent="0.3">
      <c r="A995" s="22"/>
      <c r="B995" s="18"/>
      <c r="C995" s="18"/>
      <c r="D995" s="18"/>
      <c r="E995" s="18"/>
      <c r="F995" s="18"/>
      <c r="G995" s="18"/>
      <c r="H995" s="20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spans="1:25" x14ac:dyDescent="0.3">
      <c r="A996" s="22"/>
      <c r="B996" s="18"/>
      <c r="C996" s="18"/>
      <c r="D996" s="18"/>
      <c r="E996" s="18"/>
      <c r="F996" s="18"/>
      <c r="G996" s="18"/>
      <c r="H996" s="20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spans="1:25" x14ac:dyDescent="0.3">
      <c r="A997" s="22"/>
      <c r="B997" s="18"/>
      <c r="C997" s="18"/>
      <c r="D997" s="18"/>
      <c r="E997" s="18"/>
      <c r="F997" s="18"/>
      <c r="G997" s="18"/>
      <c r="H997" s="20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spans="1:25" x14ac:dyDescent="0.3">
      <c r="A998" s="22"/>
      <c r="B998" s="18"/>
      <c r="C998" s="18"/>
      <c r="D998" s="18"/>
      <c r="E998" s="18"/>
      <c r="F998" s="18"/>
      <c r="G998" s="18"/>
      <c r="H998" s="20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 spans="1:25" x14ac:dyDescent="0.3">
      <c r="A999" s="22"/>
      <c r="B999" s="18"/>
      <c r="C999" s="18"/>
      <c r="D999" s="18"/>
      <c r="E999" s="18"/>
      <c r="F999" s="18"/>
      <c r="G999" s="18"/>
      <c r="H999" s="20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 spans="1:25" x14ac:dyDescent="0.3">
      <c r="A1000" s="22"/>
      <c r="B1000" s="18"/>
      <c r="C1000" s="18"/>
      <c r="D1000" s="18"/>
      <c r="E1000" s="18"/>
      <c r="F1000" s="18"/>
      <c r="G1000" s="18"/>
      <c r="H1000" s="20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  <row r="1001" spans="1:25" x14ac:dyDescent="0.3">
      <c r="A1001" s="22"/>
      <c r="B1001" s="18"/>
      <c r="C1001" s="18"/>
      <c r="D1001" s="18"/>
      <c r="E1001" s="18"/>
      <c r="F1001" s="18"/>
      <c r="G1001" s="18"/>
      <c r="H1001" s="20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</row>
  </sheetData>
  <mergeCells count="2">
    <mergeCell ref="A1:G1"/>
    <mergeCell ref="A2:A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CE9F-063E-8C4F-9349-56401BD15F2A}">
  <dimension ref="A1:Y1001"/>
  <sheetViews>
    <sheetView workbookViewId="0">
      <selection activeCell="E6" sqref="E6"/>
    </sheetView>
  </sheetViews>
  <sheetFormatPr defaultColWidth="12.7109375" defaultRowHeight="18.75" x14ac:dyDescent="0.3"/>
  <cols>
    <col min="1" max="1" width="12" style="50" customWidth="1"/>
    <col min="2" max="2" width="25.140625" style="5" customWidth="1"/>
    <col min="3" max="3" width="20.140625" style="5" customWidth="1"/>
    <col min="4" max="4" width="18.42578125" style="5" customWidth="1"/>
    <col min="5" max="5" width="22.85546875" style="5" customWidth="1"/>
    <col min="6" max="7" width="18.42578125" style="5" customWidth="1"/>
    <col min="8" max="8" width="17.28515625" style="41" customWidth="1"/>
    <col min="9" max="16384" width="12.7109375" style="4"/>
  </cols>
  <sheetData>
    <row r="1" spans="1:25" s="11" customFormat="1" ht="35.1" customHeight="1" x14ac:dyDescent="0.2">
      <c r="A1" s="132" t="s">
        <v>214</v>
      </c>
      <c r="B1" s="132"/>
      <c r="C1" s="132"/>
      <c r="D1" s="132"/>
      <c r="E1" s="132"/>
      <c r="F1" s="132"/>
      <c r="G1" s="132"/>
      <c r="H1" s="132"/>
    </row>
    <row r="2" spans="1:25" s="10" customFormat="1" ht="60" customHeight="1" x14ac:dyDescent="0.2">
      <c r="A2" s="133" t="s">
        <v>129</v>
      </c>
      <c r="B2" s="6" t="s">
        <v>151</v>
      </c>
      <c r="C2" s="1" t="s">
        <v>152</v>
      </c>
      <c r="D2" s="1" t="s">
        <v>215</v>
      </c>
      <c r="E2" s="1" t="s">
        <v>216</v>
      </c>
      <c r="F2" s="12" t="s">
        <v>156</v>
      </c>
      <c r="G2" s="1" t="s">
        <v>205</v>
      </c>
      <c r="H2" s="48" t="s">
        <v>207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ht="27.95" customHeight="1" x14ac:dyDescent="0.3">
      <c r="A3" s="134"/>
      <c r="B3" s="49" t="s">
        <v>127</v>
      </c>
      <c r="C3" s="14"/>
      <c r="D3" s="14"/>
      <c r="E3" s="14"/>
      <c r="F3" s="15" t="e">
        <f t="shared" ref="F3" si="0">E3/D3</f>
        <v>#DIV/0!</v>
      </c>
      <c r="G3" s="16">
        <v>0.5</v>
      </c>
      <c r="H3" s="17" t="e">
        <f t="shared" ref="H3" si="1">F3/G3</f>
        <v>#DIV/0!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21" customHeight="1" x14ac:dyDescent="0.3">
      <c r="A4" s="21" cm="1">
        <f t="array" ref="A4">1+COUNT(_xlfn.UNIQUE(_xlfn._xlws.FILTER($H$4:$H$127, $H$4:$H$127 &gt; H4)))</f>
        <v>1</v>
      </c>
      <c r="B4" s="2" t="s">
        <v>24</v>
      </c>
      <c r="C4" s="2"/>
      <c r="D4" s="2"/>
      <c r="E4" s="2"/>
      <c r="F4" s="15" t="e">
        <f t="shared" ref="F4:F35" si="2">E4/D4</f>
        <v>#DIV/0!</v>
      </c>
      <c r="G4" s="19">
        <v>0.5</v>
      </c>
      <c r="H4" s="17" t="e">
        <f t="shared" ref="H4:H35" si="3">F4/G4</f>
        <v>#DIV/0!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21" customHeight="1" x14ac:dyDescent="0.3">
      <c r="A5" s="21" cm="1">
        <f t="array" ref="A5">1+COUNT(_xlfn.UNIQUE(_xlfn._xlws.FILTER($F$4:$F$127, $F$4:$F$127 &gt; F5)))</f>
        <v>1</v>
      </c>
      <c r="B5" s="2" t="s">
        <v>17</v>
      </c>
      <c r="C5" s="2"/>
      <c r="D5" s="2"/>
      <c r="E5" s="2"/>
      <c r="F5" s="15" t="e">
        <f t="shared" si="2"/>
        <v>#DIV/0!</v>
      </c>
      <c r="G5" s="19">
        <v>0.5</v>
      </c>
      <c r="H5" s="17" t="e">
        <f t="shared" si="3"/>
        <v>#DIV/0!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ht="21" customHeight="1" x14ac:dyDescent="0.3">
      <c r="A6" s="21" cm="1">
        <f t="array" ref="A6">1+COUNT(_xlfn.UNIQUE(_xlfn._xlws.FILTER($F$4:$F$127, $F$4:$F$127 &gt; F6)))</f>
        <v>1</v>
      </c>
      <c r="B6" s="2" t="s">
        <v>5</v>
      </c>
      <c r="C6" s="2"/>
      <c r="D6" s="2"/>
      <c r="E6" s="2"/>
      <c r="F6" s="15" t="e">
        <f t="shared" si="2"/>
        <v>#DIV/0!</v>
      </c>
      <c r="G6" s="19">
        <v>0.5</v>
      </c>
      <c r="H6" s="17" t="e">
        <f t="shared" si="3"/>
        <v>#DIV/0!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ht="21" customHeight="1" x14ac:dyDescent="0.3">
      <c r="A7" s="21" cm="1">
        <f t="array" ref="A7">1+COUNT(_xlfn.UNIQUE(_xlfn._xlws.FILTER($F$4:$F$127, $F$4:$F$127 &gt; F7)))</f>
        <v>1</v>
      </c>
      <c r="B7" s="2" t="s">
        <v>2</v>
      </c>
      <c r="C7" s="2"/>
      <c r="D7" s="2"/>
      <c r="E7" s="2"/>
      <c r="F7" s="15" t="e">
        <f t="shared" si="2"/>
        <v>#DIV/0!</v>
      </c>
      <c r="G7" s="19">
        <v>0.5</v>
      </c>
      <c r="H7" s="17" t="e">
        <f t="shared" si="3"/>
        <v>#DIV/0!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ht="21" customHeight="1" x14ac:dyDescent="0.3">
      <c r="A8" s="21" cm="1">
        <f t="array" ref="A8">1+COUNT(_xlfn.UNIQUE(_xlfn._xlws.FILTER($F$4:$F$127, $F$4:$F$127 &gt; F8)))</f>
        <v>1</v>
      </c>
      <c r="B8" s="2" t="s">
        <v>11</v>
      </c>
      <c r="C8" s="2"/>
      <c r="D8" s="2"/>
      <c r="E8" s="2"/>
      <c r="F8" s="15" t="e">
        <f t="shared" si="2"/>
        <v>#DIV/0!</v>
      </c>
      <c r="G8" s="19">
        <v>0.5</v>
      </c>
      <c r="H8" s="17" t="e">
        <f t="shared" si="3"/>
        <v>#DIV/0!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ht="21" customHeight="1" x14ac:dyDescent="0.3">
      <c r="A9" s="21" cm="1">
        <f t="array" ref="A9">1+COUNT(_xlfn.UNIQUE(_xlfn._xlws.FILTER($F$4:$F$127, $F$4:$F$127 &gt; F9)))</f>
        <v>1</v>
      </c>
      <c r="B9" s="2" t="s">
        <v>59</v>
      </c>
      <c r="C9" s="2"/>
      <c r="D9" s="2"/>
      <c r="E9" s="2"/>
      <c r="F9" s="15" t="e">
        <f t="shared" si="2"/>
        <v>#DIV/0!</v>
      </c>
      <c r="G9" s="19">
        <v>0.5</v>
      </c>
      <c r="H9" s="17" t="e">
        <f t="shared" si="3"/>
        <v>#DIV/0!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ht="21" customHeight="1" x14ac:dyDescent="0.3">
      <c r="A10" s="21" cm="1">
        <f t="array" ref="A10">1+COUNT(_xlfn.UNIQUE(_xlfn._xlws.FILTER($F$4:$F$127, $F$4:$F$127 &gt; F10)))</f>
        <v>1</v>
      </c>
      <c r="B10" s="2" t="s">
        <v>37</v>
      </c>
      <c r="C10" s="2"/>
      <c r="D10" s="2"/>
      <c r="E10" s="2"/>
      <c r="F10" s="15" t="e">
        <f t="shared" si="2"/>
        <v>#DIV/0!</v>
      </c>
      <c r="G10" s="19">
        <v>0.5</v>
      </c>
      <c r="H10" s="17" t="e">
        <f t="shared" si="3"/>
        <v>#DIV/0!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ht="21" customHeight="1" x14ac:dyDescent="0.3">
      <c r="A11" s="21" cm="1">
        <f t="array" ref="A11">1+COUNT(_xlfn.UNIQUE(_xlfn._xlws.FILTER($F$4:$F$127, $F$4:$F$127 &gt; F11)))</f>
        <v>1</v>
      </c>
      <c r="B11" s="2" t="s">
        <v>15</v>
      </c>
      <c r="C11" s="2"/>
      <c r="D11" s="2"/>
      <c r="E11" s="2"/>
      <c r="F11" s="15" t="e">
        <f t="shared" si="2"/>
        <v>#DIV/0!</v>
      </c>
      <c r="G11" s="19">
        <v>0.5</v>
      </c>
      <c r="H11" s="17" t="e">
        <f t="shared" si="3"/>
        <v>#DIV/0!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21" customHeight="1" x14ac:dyDescent="0.3">
      <c r="A12" s="21" cm="1">
        <f t="array" ref="A12">1+COUNT(_xlfn.UNIQUE(_xlfn._xlws.FILTER($F$4:$F$127, $F$4:$F$127 &gt; F12)))</f>
        <v>1</v>
      </c>
      <c r="B12" s="2" t="s">
        <v>50</v>
      </c>
      <c r="C12" s="2"/>
      <c r="D12" s="2"/>
      <c r="E12" s="2"/>
      <c r="F12" s="15" t="e">
        <f t="shared" si="2"/>
        <v>#DIV/0!</v>
      </c>
      <c r="G12" s="19">
        <v>0.5</v>
      </c>
      <c r="H12" s="17" t="e">
        <f t="shared" si="3"/>
        <v>#DIV/0!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21" customHeight="1" x14ac:dyDescent="0.3">
      <c r="A13" s="21" cm="1">
        <f t="array" ref="A13">1+COUNT(_xlfn.UNIQUE(_xlfn._xlws.FILTER($F$4:$F$127, $F$4:$F$127 &gt; F13)))</f>
        <v>1</v>
      </c>
      <c r="B13" s="2" t="s">
        <v>57</v>
      </c>
      <c r="C13" s="2"/>
      <c r="D13" s="2"/>
      <c r="E13" s="2"/>
      <c r="F13" s="15" t="e">
        <f t="shared" si="2"/>
        <v>#DIV/0!</v>
      </c>
      <c r="G13" s="19">
        <v>0.5</v>
      </c>
      <c r="H13" s="17" t="e">
        <f t="shared" si="3"/>
        <v>#DIV/0!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21" customHeight="1" x14ac:dyDescent="0.3">
      <c r="A14" s="21" cm="1">
        <f t="array" ref="A14">1+COUNT(_xlfn.UNIQUE(_xlfn._xlws.FILTER($F$4:$F$127, $F$4:$F$127 &gt; F14)))</f>
        <v>1</v>
      </c>
      <c r="B14" s="2" t="s">
        <v>94</v>
      </c>
      <c r="C14" s="2"/>
      <c r="D14" s="2"/>
      <c r="E14" s="2"/>
      <c r="F14" s="15" t="e">
        <f t="shared" si="2"/>
        <v>#DIV/0!</v>
      </c>
      <c r="G14" s="19">
        <v>0.5</v>
      </c>
      <c r="H14" s="17" t="e">
        <f t="shared" si="3"/>
        <v>#DIV/0!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21" customHeight="1" x14ac:dyDescent="0.3">
      <c r="A15" s="21" cm="1">
        <f t="array" ref="A15">1+COUNT(_xlfn.UNIQUE(_xlfn._xlws.FILTER($F$4:$F$127, $F$4:$F$127 &gt; F15)))</f>
        <v>1</v>
      </c>
      <c r="B15" s="2" t="s">
        <v>40</v>
      </c>
      <c r="C15" s="2"/>
      <c r="D15" s="2"/>
      <c r="E15" s="2"/>
      <c r="F15" s="15" t="e">
        <f t="shared" si="2"/>
        <v>#DIV/0!</v>
      </c>
      <c r="G15" s="19">
        <v>0.5</v>
      </c>
      <c r="H15" s="17" t="e">
        <f t="shared" si="3"/>
        <v>#DIV/0!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21" customHeight="1" x14ac:dyDescent="0.3">
      <c r="A16" s="21" cm="1">
        <f t="array" ref="A16">1+COUNT(_xlfn.UNIQUE(_xlfn._xlws.FILTER($F$4:$F$127, $F$4:$F$127 &gt; F16)))</f>
        <v>1</v>
      </c>
      <c r="B16" s="2" t="s">
        <v>111</v>
      </c>
      <c r="C16" s="2"/>
      <c r="D16" s="2"/>
      <c r="E16" s="2"/>
      <c r="F16" s="15" t="e">
        <f t="shared" si="2"/>
        <v>#DIV/0!</v>
      </c>
      <c r="G16" s="19">
        <v>0.5</v>
      </c>
      <c r="H16" s="17" t="e">
        <f t="shared" si="3"/>
        <v>#DIV/0!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21" customHeight="1" x14ac:dyDescent="0.3">
      <c r="A17" s="21" cm="1">
        <f t="array" ref="A17">1+COUNT(_xlfn.UNIQUE(_xlfn._xlws.FILTER($F$4:$F$127, $F$4:$F$127 &gt; F17)))</f>
        <v>1</v>
      </c>
      <c r="B17" s="2" t="s">
        <v>87</v>
      </c>
      <c r="C17" s="2"/>
      <c r="D17" s="2"/>
      <c r="E17" s="2"/>
      <c r="F17" s="15" t="e">
        <f t="shared" si="2"/>
        <v>#DIV/0!</v>
      </c>
      <c r="G17" s="19">
        <v>0.5</v>
      </c>
      <c r="H17" s="17" t="e">
        <f t="shared" si="3"/>
        <v>#DIV/0!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21" customHeight="1" x14ac:dyDescent="0.3">
      <c r="A18" s="21" cm="1">
        <f t="array" ref="A18">1+COUNT(_xlfn.UNIQUE(_xlfn._xlws.FILTER($F$4:$F$127, $F$4:$F$127 &gt; F18)))</f>
        <v>1</v>
      </c>
      <c r="B18" s="2" t="s">
        <v>77</v>
      </c>
      <c r="C18" s="2"/>
      <c r="D18" s="2"/>
      <c r="E18" s="2"/>
      <c r="F18" s="15" t="e">
        <f t="shared" si="2"/>
        <v>#DIV/0!</v>
      </c>
      <c r="G18" s="19">
        <v>0.5</v>
      </c>
      <c r="H18" s="17" t="e">
        <f t="shared" si="3"/>
        <v>#DIV/0!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21" customHeight="1" x14ac:dyDescent="0.3">
      <c r="A19" s="21" cm="1">
        <f t="array" ref="A19">1+COUNT(_xlfn.UNIQUE(_xlfn._xlws.FILTER($F$4:$F$127, $F$4:$F$127 &gt; F19)))</f>
        <v>1</v>
      </c>
      <c r="B19" s="2" t="s">
        <v>46</v>
      </c>
      <c r="C19" s="2"/>
      <c r="D19" s="2"/>
      <c r="E19" s="2"/>
      <c r="F19" s="15" t="e">
        <f t="shared" si="2"/>
        <v>#DIV/0!</v>
      </c>
      <c r="G19" s="19">
        <v>0.5</v>
      </c>
      <c r="H19" s="17" t="e">
        <f t="shared" si="3"/>
        <v>#DIV/0!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ht="21" customHeight="1" x14ac:dyDescent="0.3">
      <c r="A20" s="21" cm="1">
        <f t="array" ref="A20">1+COUNT(_xlfn.UNIQUE(_xlfn._xlws.FILTER($F$4:$F$127, $F$4:$F$127 &gt; F20)))</f>
        <v>1</v>
      </c>
      <c r="B20" s="2" t="s">
        <v>64</v>
      </c>
      <c r="C20" s="2"/>
      <c r="D20" s="2"/>
      <c r="E20" s="2"/>
      <c r="F20" s="15" t="e">
        <f t="shared" si="2"/>
        <v>#DIV/0!</v>
      </c>
      <c r="G20" s="19">
        <v>0.5</v>
      </c>
      <c r="H20" s="17" t="e">
        <f t="shared" si="3"/>
        <v>#DIV/0!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ht="21" customHeight="1" x14ac:dyDescent="0.3">
      <c r="A21" s="21" cm="1">
        <f t="array" ref="A21">1+COUNT(_xlfn.UNIQUE(_xlfn._xlws.FILTER($F$4:$F$127, $F$4:$F$127 &gt; F21)))</f>
        <v>1</v>
      </c>
      <c r="B21" s="2" t="s">
        <v>27</v>
      </c>
      <c r="C21" s="2"/>
      <c r="D21" s="2"/>
      <c r="E21" s="2"/>
      <c r="F21" s="15" t="e">
        <f t="shared" si="2"/>
        <v>#DIV/0!</v>
      </c>
      <c r="G21" s="19">
        <v>0.5</v>
      </c>
      <c r="H21" s="17" t="e">
        <f t="shared" si="3"/>
        <v>#DIV/0!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ht="21" customHeight="1" x14ac:dyDescent="0.3">
      <c r="A22" s="21" cm="1">
        <f t="array" ref="A22">1+COUNT(_xlfn.UNIQUE(_xlfn._xlws.FILTER($F$4:$F$127, $F$4:$F$127 &gt; F22)))</f>
        <v>1</v>
      </c>
      <c r="B22" s="2" t="s">
        <v>110</v>
      </c>
      <c r="C22" s="2"/>
      <c r="D22" s="2"/>
      <c r="E22" s="2"/>
      <c r="F22" s="15" t="e">
        <f t="shared" si="2"/>
        <v>#DIV/0!</v>
      </c>
      <c r="G22" s="19">
        <v>0.5</v>
      </c>
      <c r="H22" s="17" t="e">
        <f t="shared" si="3"/>
        <v>#DIV/0!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21" customHeight="1" x14ac:dyDescent="0.3">
      <c r="A23" s="21" cm="1">
        <f t="array" ref="A23">1+COUNT(_xlfn.UNIQUE(_xlfn._xlws.FILTER($F$4:$F$127, $F$4:$F$127 &gt; F23)))</f>
        <v>1</v>
      </c>
      <c r="B23" s="2" t="s">
        <v>92</v>
      </c>
      <c r="C23" s="2"/>
      <c r="D23" s="2"/>
      <c r="E23" s="2"/>
      <c r="F23" s="15" t="e">
        <f t="shared" si="2"/>
        <v>#DIV/0!</v>
      </c>
      <c r="G23" s="19">
        <v>0.5</v>
      </c>
      <c r="H23" s="17" t="e">
        <f t="shared" si="3"/>
        <v>#DIV/0!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21" customHeight="1" x14ac:dyDescent="0.3">
      <c r="A24" s="21" cm="1">
        <f t="array" ref="A24">1+COUNT(_xlfn.UNIQUE(_xlfn._xlws.FILTER($F$4:$F$127, $F$4:$F$127 &gt; F24)))</f>
        <v>1</v>
      </c>
      <c r="B24" s="2" t="s">
        <v>22</v>
      </c>
      <c r="C24" s="2"/>
      <c r="D24" s="2"/>
      <c r="E24" s="2"/>
      <c r="F24" s="15" t="e">
        <f t="shared" si="2"/>
        <v>#DIV/0!</v>
      </c>
      <c r="G24" s="19">
        <v>0.5</v>
      </c>
      <c r="H24" s="17" t="e">
        <f t="shared" si="3"/>
        <v>#DIV/0!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21" customHeight="1" x14ac:dyDescent="0.3">
      <c r="A25" s="21" cm="1">
        <f t="array" ref="A25">1+COUNT(_xlfn.UNIQUE(_xlfn._xlws.FILTER($F$4:$F$127, $F$4:$F$127 &gt; F25)))</f>
        <v>1</v>
      </c>
      <c r="B25" s="2" t="s">
        <v>70</v>
      </c>
      <c r="C25" s="2"/>
      <c r="D25" s="2"/>
      <c r="E25" s="2"/>
      <c r="F25" s="15" t="e">
        <f t="shared" si="2"/>
        <v>#DIV/0!</v>
      </c>
      <c r="G25" s="19">
        <v>0.5</v>
      </c>
      <c r="H25" s="17" t="e">
        <f t="shared" si="3"/>
        <v>#DIV/0!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21" customHeight="1" x14ac:dyDescent="0.3">
      <c r="A26" s="21" cm="1">
        <f t="array" ref="A26">1+COUNT(_xlfn.UNIQUE(_xlfn._xlws.FILTER($F$4:$F$127, $F$4:$F$127 &gt; F26)))</f>
        <v>1</v>
      </c>
      <c r="B26" s="2" t="s">
        <v>116</v>
      </c>
      <c r="C26" s="2"/>
      <c r="D26" s="2"/>
      <c r="E26" s="2"/>
      <c r="F26" s="15" t="e">
        <f t="shared" si="2"/>
        <v>#DIV/0!</v>
      </c>
      <c r="G26" s="19">
        <v>0.5</v>
      </c>
      <c r="H26" s="17" t="e">
        <f t="shared" si="3"/>
        <v>#DIV/0!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ht="21" customHeight="1" x14ac:dyDescent="0.3">
      <c r="A27" s="21" cm="1">
        <f t="array" ref="A27">1+COUNT(_xlfn.UNIQUE(_xlfn._xlws.FILTER($F$4:$F$127, $F$4:$F$127 &gt; F27)))</f>
        <v>1</v>
      </c>
      <c r="B27" s="2" t="s">
        <v>4</v>
      </c>
      <c r="C27" s="2"/>
      <c r="D27" s="2"/>
      <c r="E27" s="2"/>
      <c r="F27" s="15" t="e">
        <f t="shared" si="2"/>
        <v>#DIV/0!</v>
      </c>
      <c r="G27" s="19">
        <v>0.5</v>
      </c>
      <c r="H27" s="17" t="e">
        <f t="shared" si="3"/>
        <v>#DIV/0!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ht="21" customHeight="1" x14ac:dyDescent="0.3">
      <c r="A28" s="21" cm="1">
        <f t="array" ref="A28">1+COUNT(_xlfn.UNIQUE(_xlfn._xlws.FILTER($F$4:$F$127, $F$4:$F$127 &gt; F28)))</f>
        <v>1</v>
      </c>
      <c r="B28" s="2" t="s">
        <v>58</v>
      </c>
      <c r="C28" s="2"/>
      <c r="D28" s="2"/>
      <c r="E28" s="2"/>
      <c r="F28" s="15" t="e">
        <f t="shared" si="2"/>
        <v>#DIV/0!</v>
      </c>
      <c r="G28" s="19">
        <v>0.5</v>
      </c>
      <c r="H28" s="17" t="e">
        <f t="shared" si="3"/>
        <v>#DIV/0!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21" customHeight="1" x14ac:dyDescent="0.3">
      <c r="A29" s="21" cm="1">
        <f t="array" ref="A29">1+COUNT(_xlfn.UNIQUE(_xlfn._xlws.FILTER($F$4:$F$127, $F$4:$F$127 &gt; F29)))</f>
        <v>1</v>
      </c>
      <c r="B29" s="2" t="s">
        <v>36</v>
      </c>
      <c r="C29" s="2"/>
      <c r="D29" s="2"/>
      <c r="E29" s="2"/>
      <c r="F29" s="15" t="e">
        <f t="shared" si="2"/>
        <v>#DIV/0!</v>
      </c>
      <c r="G29" s="19">
        <v>0.5</v>
      </c>
      <c r="H29" s="17" t="e">
        <f t="shared" si="3"/>
        <v>#DIV/0!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ht="21" customHeight="1" x14ac:dyDescent="0.3">
      <c r="A30" s="21" cm="1">
        <f t="array" ref="A30">1+COUNT(_xlfn.UNIQUE(_xlfn._xlws.FILTER($F$4:$F$127, $F$4:$F$127 &gt; F30)))</f>
        <v>1</v>
      </c>
      <c r="B30" s="2" t="s">
        <v>78</v>
      </c>
      <c r="C30" s="2"/>
      <c r="D30" s="2"/>
      <c r="E30" s="2"/>
      <c r="F30" s="15" t="e">
        <f t="shared" si="2"/>
        <v>#DIV/0!</v>
      </c>
      <c r="G30" s="19">
        <v>0.5</v>
      </c>
      <c r="H30" s="17" t="e">
        <f t="shared" si="3"/>
        <v>#DIV/0!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ht="21" customHeight="1" x14ac:dyDescent="0.3">
      <c r="A31" s="21" cm="1">
        <f t="array" ref="A31">1+COUNT(_xlfn.UNIQUE(_xlfn._xlws.FILTER($F$4:$F$127, $F$4:$F$127 &gt; F31)))</f>
        <v>1</v>
      </c>
      <c r="B31" s="2" t="s">
        <v>119</v>
      </c>
      <c r="C31" s="2"/>
      <c r="D31" s="2"/>
      <c r="E31" s="2"/>
      <c r="F31" s="15" t="e">
        <f t="shared" si="2"/>
        <v>#DIV/0!</v>
      </c>
      <c r="G31" s="19">
        <v>0.5</v>
      </c>
      <c r="H31" s="17" t="e">
        <f t="shared" si="3"/>
        <v>#DIV/0!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ht="21" customHeight="1" x14ac:dyDescent="0.3">
      <c r="A32" s="21" cm="1">
        <f t="array" ref="A32">1+COUNT(_xlfn.UNIQUE(_xlfn._xlws.FILTER($F$4:$F$127, $F$4:$F$127 &gt; F32)))</f>
        <v>1</v>
      </c>
      <c r="B32" s="2" t="s">
        <v>68</v>
      </c>
      <c r="C32" s="2"/>
      <c r="D32" s="2"/>
      <c r="E32" s="2"/>
      <c r="F32" s="15" t="e">
        <f t="shared" si="2"/>
        <v>#DIV/0!</v>
      </c>
      <c r="G32" s="19">
        <v>0.5</v>
      </c>
      <c r="H32" s="17" t="e">
        <f t="shared" si="3"/>
        <v>#DIV/0!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ht="21" customHeight="1" x14ac:dyDescent="0.3">
      <c r="A33" s="21" cm="1">
        <f t="array" ref="A33">1+COUNT(_xlfn.UNIQUE(_xlfn._xlws.FILTER($F$4:$F$127, $F$4:$F$127 &gt; F33)))</f>
        <v>1</v>
      </c>
      <c r="B33" s="2" t="s">
        <v>0</v>
      </c>
      <c r="C33" s="2"/>
      <c r="D33" s="2"/>
      <c r="E33" s="2"/>
      <c r="F33" s="15" t="e">
        <f t="shared" si="2"/>
        <v>#DIV/0!</v>
      </c>
      <c r="G33" s="19">
        <v>0.5</v>
      </c>
      <c r="H33" s="17" t="e">
        <f t="shared" si="3"/>
        <v>#DIV/0!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21" customHeight="1" x14ac:dyDescent="0.3">
      <c r="A34" s="21" cm="1">
        <f t="array" ref="A34">1+COUNT(_xlfn.UNIQUE(_xlfn._xlws.FILTER($F$4:$F$127, $F$4:$F$127 &gt; F34)))</f>
        <v>1</v>
      </c>
      <c r="B34" s="2" t="s">
        <v>21</v>
      </c>
      <c r="C34" s="2"/>
      <c r="D34" s="2"/>
      <c r="E34" s="2"/>
      <c r="F34" s="15" t="e">
        <f t="shared" si="2"/>
        <v>#DIV/0!</v>
      </c>
      <c r="G34" s="19">
        <v>0.5</v>
      </c>
      <c r="H34" s="17" t="e">
        <f t="shared" si="3"/>
        <v>#DIV/0!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21" customHeight="1" x14ac:dyDescent="0.3">
      <c r="A35" s="21" cm="1">
        <f t="array" ref="A35">1+COUNT(_xlfn.UNIQUE(_xlfn._xlws.FILTER($F$4:$F$127, $F$4:$F$127 &gt; F35)))</f>
        <v>1</v>
      </c>
      <c r="B35" s="2" t="s">
        <v>102</v>
      </c>
      <c r="C35" s="2"/>
      <c r="D35" s="2"/>
      <c r="E35" s="2"/>
      <c r="F35" s="15" t="e">
        <f t="shared" si="2"/>
        <v>#DIV/0!</v>
      </c>
      <c r="G35" s="19">
        <v>0.5</v>
      </c>
      <c r="H35" s="17" t="e">
        <f t="shared" si="3"/>
        <v>#DIV/0!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21" customHeight="1" x14ac:dyDescent="0.3">
      <c r="A36" s="21" cm="1">
        <f t="array" ref="A36">1+COUNT(_xlfn.UNIQUE(_xlfn._xlws.FILTER($F$4:$F$127, $F$4:$F$127 &gt; F36)))</f>
        <v>1</v>
      </c>
      <c r="B36" s="2" t="s">
        <v>29</v>
      </c>
      <c r="C36" s="2"/>
      <c r="D36" s="2"/>
      <c r="E36" s="2"/>
      <c r="F36" s="15" t="e">
        <f t="shared" ref="F36:F67" si="4">E36/D36</f>
        <v>#DIV/0!</v>
      </c>
      <c r="G36" s="19">
        <v>0.5</v>
      </c>
      <c r="H36" s="17" t="e">
        <f t="shared" ref="H36:H67" si="5">F36/G36</f>
        <v>#DIV/0!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ht="21" customHeight="1" x14ac:dyDescent="0.3">
      <c r="A37" s="21" cm="1">
        <f t="array" ref="A37">1+COUNT(_xlfn.UNIQUE(_xlfn._xlws.FILTER($F$4:$F$127, $F$4:$F$127 &gt; F37)))</f>
        <v>1</v>
      </c>
      <c r="B37" s="2" t="s">
        <v>38</v>
      </c>
      <c r="C37" s="2"/>
      <c r="D37" s="2"/>
      <c r="E37" s="2"/>
      <c r="F37" s="15" t="e">
        <f t="shared" si="4"/>
        <v>#DIV/0!</v>
      </c>
      <c r="G37" s="19">
        <v>0.5</v>
      </c>
      <c r="H37" s="17" t="e">
        <f t="shared" si="5"/>
        <v>#DIV/0!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21" customHeight="1" x14ac:dyDescent="0.3">
      <c r="A38" s="21" cm="1">
        <f t="array" ref="A38">1+COUNT(_xlfn.UNIQUE(_xlfn._xlws.FILTER($F$4:$F$127, $F$4:$F$127 &gt; F38)))</f>
        <v>1</v>
      </c>
      <c r="B38" s="2" t="s">
        <v>69</v>
      </c>
      <c r="C38" s="2"/>
      <c r="D38" s="2"/>
      <c r="E38" s="2"/>
      <c r="F38" s="15" t="e">
        <f t="shared" si="4"/>
        <v>#DIV/0!</v>
      </c>
      <c r="G38" s="19">
        <v>0.5</v>
      </c>
      <c r="H38" s="17" t="e">
        <f t="shared" si="5"/>
        <v>#DIV/0!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21" customHeight="1" x14ac:dyDescent="0.3">
      <c r="A39" s="21" cm="1">
        <f t="array" ref="A39">1+COUNT(_xlfn.UNIQUE(_xlfn._xlws.FILTER($F$4:$F$127, $F$4:$F$127 &gt; F39)))</f>
        <v>1</v>
      </c>
      <c r="B39" s="2" t="s">
        <v>93</v>
      </c>
      <c r="C39" s="2"/>
      <c r="D39" s="2"/>
      <c r="E39" s="2"/>
      <c r="F39" s="15" t="e">
        <f t="shared" si="4"/>
        <v>#DIV/0!</v>
      </c>
      <c r="G39" s="19">
        <v>0.5</v>
      </c>
      <c r="H39" s="17" t="e">
        <f t="shared" si="5"/>
        <v>#DIV/0!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21" customHeight="1" x14ac:dyDescent="0.3">
      <c r="A40" s="21" cm="1">
        <f t="array" ref="A40">1+COUNT(_xlfn.UNIQUE(_xlfn._xlws.FILTER($F$4:$F$127, $F$4:$F$127 &gt; F40)))</f>
        <v>1</v>
      </c>
      <c r="B40" s="2" t="s">
        <v>65</v>
      </c>
      <c r="C40" s="2"/>
      <c r="D40" s="2"/>
      <c r="E40" s="2"/>
      <c r="F40" s="15" t="e">
        <f t="shared" si="4"/>
        <v>#DIV/0!</v>
      </c>
      <c r="G40" s="19">
        <v>0.5</v>
      </c>
      <c r="H40" s="17" t="e">
        <f t="shared" si="5"/>
        <v>#DIV/0!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21" customHeight="1" x14ac:dyDescent="0.3">
      <c r="A41" s="21" cm="1">
        <f t="array" ref="A41">1+COUNT(_xlfn.UNIQUE(_xlfn._xlws.FILTER($F$4:$F$127, $F$4:$F$127 &gt; F41)))</f>
        <v>1</v>
      </c>
      <c r="B41" s="2" t="s">
        <v>35</v>
      </c>
      <c r="C41" s="2"/>
      <c r="D41" s="2"/>
      <c r="E41" s="2"/>
      <c r="F41" s="15" t="e">
        <f t="shared" si="4"/>
        <v>#DIV/0!</v>
      </c>
      <c r="G41" s="19">
        <v>0.5</v>
      </c>
      <c r="H41" s="17" t="e">
        <f t="shared" si="5"/>
        <v>#DIV/0!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21" customHeight="1" x14ac:dyDescent="0.3">
      <c r="A42" s="21" cm="1">
        <f t="array" ref="A42">1+COUNT(_xlfn.UNIQUE(_xlfn._xlws.FILTER($F$4:$F$127, $F$4:$F$127 &gt; F42)))</f>
        <v>1</v>
      </c>
      <c r="B42" s="2" t="s">
        <v>39</v>
      </c>
      <c r="C42" s="2"/>
      <c r="D42" s="2"/>
      <c r="E42" s="2"/>
      <c r="F42" s="15" t="e">
        <f t="shared" si="4"/>
        <v>#DIV/0!</v>
      </c>
      <c r="G42" s="19">
        <v>0.5</v>
      </c>
      <c r="H42" s="17" t="e">
        <f t="shared" si="5"/>
        <v>#DIV/0!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21" customHeight="1" x14ac:dyDescent="0.3">
      <c r="A43" s="21" cm="1">
        <f t="array" ref="A43">1+COUNT(_xlfn.UNIQUE(_xlfn._xlws.FILTER($F$4:$F$127, $F$4:$F$127 &gt; F43)))</f>
        <v>1</v>
      </c>
      <c r="B43" s="2" t="s">
        <v>49</v>
      </c>
      <c r="C43" s="2"/>
      <c r="D43" s="2"/>
      <c r="E43" s="2"/>
      <c r="F43" s="15" t="e">
        <f t="shared" si="4"/>
        <v>#DIV/0!</v>
      </c>
      <c r="G43" s="19">
        <v>0.5</v>
      </c>
      <c r="H43" s="17" t="e">
        <f t="shared" si="5"/>
        <v>#DIV/0!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21" customHeight="1" x14ac:dyDescent="0.3">
      <c r="A44" s="21" cm="1">
        <f t="array" ref="A44">1+COUNT(_xlfn.UNIQUE(_xlfn._xlws.FILTER($F$4:$F$127, $F$4:$F$127 &gt; F44)))</f>
        <v>1</v>
      </c>
      <c r="B44" s="2" t="s">
        <v>71</v>
      </c>
      <c r="C44" s="2"/>
      <c r="D44" s="2"/>
      <c r="E44" s="2"/>
      <c r="F44" s="15" t="e">
        <f t="shared" si="4"/>
        <v>#DIV/0!</v>
      </c>
      <c r="G44" s="19">
        <v>0.5</v>
      </c>
      <c r="H44" s="17" t="e">
        <f t="shared" si="5"/>
        <v>#DIV/0!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21" customHeight="1" x14ac:dyDescent="0.3">
      <c r="A45" s="21" cm="1">
        <f t="array" ref="A45">1+COUNT(_xlfn.UNIQUE(_xlfn._xlws.FILTER($F$4:$F$127, $F$4:$F$127 &gt; F45)))</f>
        <v>1</v>
      </c>
      <c r="B45" s="2" t="s">
        <v>3</v>
      </c>
      <c r="C45" s="2"/>
      <c r="D45" s="2"/>
      <c r="E45" s="2"/>
      <c r="F45" s="15" t="e">
        <f t="shared" si="4"/>
        <v>#DIV/0!</v>
      </c>
      <c r="G45" s="19">
        <v>0.5</v>
      </c>
      <c r="H45" s="17" t="e">
        <f t="shared" si="5"/>
        <v>#DIV/0!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21" customHeight="1" x14ac:dyDescent="0.3">
      <c r="A46" s="21" cm="1">
        <f t="array" ref="A46">1+COUNT(_xlfn.UNIQUE(_xlfn._xlws.FILTER($F$4:$F$127, $F$4:$F$127 &gt; F46)))</f>
        <v>1</v>
      </c>
      <c r="B46" s="2" t="s">
        <v>56</v>
      </c>
      <c r="C46" s="2"/>
      <c r="D46" s="2"/>
      <c r="E46" s="2"/>
      <c r="F46" s="15" t="e">
        <f t="shared" si="4"/>
        <v>#DIV/0!</v>
      </c>
      <c r="G46" s="19">
        <v>0.5</v>
      </c>
      <c r="H46" s="17" t="e">
        <f t="shared" si="5"/>
        <v>#DIV/0!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21" customHeight="1" x14ac:dyDescent="0.3">
      <c r="A47" s="21" cm="1">
        <f t="array" ref="A47">1+COUNT(_xlfn.UNIQUE(_xlfn._xlws.FILTER($F$4:$F$127, $F$4:$F$127 &gt; F47)))</f>
        <v>1</v>
      </c>
      <c r="B47" s="2" t="s">
        <v>26</v>
      </c>
      <c r="C47" s="2"/>
      <c r="D47" s="2"/>
      <c r="E47" s="2"/>
      <c r="F47" s="15" t="e">
        <f t="shared" si="4"/>
        <v>#DIV/0!</v>
      </c>
      <c r="G47" s="19">
        <v>0.5</v>
      </c>
      <c r="H47" s="17" t="e">
        <f t="shared" si="5"/>
        <v>#DIV/0!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ht="21" customHeight="1" x14ac:dyDescent="0.3">
      <c r="A48" s="21" cm="1">
        <f t="array" ref="A48">1+COUNT(_xlfn.UNIQUE(_xlfn._xlws.FILTER($F$4:$F$127, $F$4:$F$127 &gt; F48)))</f>
        <v>1</v>
      </c>
      <c r="B48" s="2" t="s">
        <v>33</v>
      </c>
      <c r="C48" s="2"/>
      <c r="D48" s="2"/>
      <c r="E48" s="2"/>
      <c r="F48" s="15" t="e">
        <f t="shared" si="4"/>
        <v>#DIV/0!</v>
      </c>
      <c r="G48" s="19">
        <v>0.5</v>
      </c>
      <c r="H48" s="17" t="e">
        <f t="shared" si="5"/>
        <v>#DIV/0!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21" customHeight="1" x14ac:dyDescent="0.3">
      <c r="A49" s="21" cm="1">
        <f t="array" ref="A49">1+COUNT(_xlfn.UNIQUE(_xlfn._xlws.FILTER($F$4:$F$127, $F$4:$F$127 &gt; F49)))</f>
        <v>1</v>
      </c>
      <c r="B49" s="2" t="s">
        <v>89</v>
      </c>
      <c r="C49" s="2"/>
      <c r="D49" s="2"/>
      <c r="E49" s="2"/>
      <c r="F49" s="15" t="e">
        <f t="shared" si="4"/>
        <v>#DIV/0!</v>
      </c>
      <c r="G49" s="19">
        <v>0.5</v>
      </c>
      <c r="H49" s="17" t="e">
        <f t="shared" si="5"/>
        <v>#DIV/0!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21" customHeight="1" x14ac:dyDescent="0.3">
      <c r="A50" s="21" cm="1">
        <f t="array" ref="A50">1+COUNT(_xlfn.UNIQUE(_xlfn._xlws.FILTER($F$4:$F$127, $F$4:$F$127 &gt; F50)))</f>
        <v>1</v>
      </c>
      <c r="B50" s="2" t="s">
        <v>112</v>
      </c>
      <c r="C50" s="2"/>
      <c r="D50" s="2"/>
      <c r="E50" s="2"/>
      <c r="F50" s="15" t="e">
        <f t="shared" si="4"/>
        <v>#DIV/0!</v>
      </c>
      <c r="G50" s="19">
        <v>0.5</v>
      </c>
      <c r="H50" s="17" t="e">
        <f t="shared" si="5"/>
        <v>#DIV/0!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21" customHeight="1" x14ac:dyDescent="0.3">
      <c r="A51" s="21" cm="1">
        <f t="array" ref="A51">1+COUNT(_xlfn.UNIQUE(_xlfn._xlws.FILTER($F$4:$F$127, $F$4:$F$127 &gt; F51)))</f>
        <v>1</v>
      </c>
      <c r="B51" s="2" t="s">
        <v>123</v>
      </c>
      <c r="C51" s="2"/>
      <c r="D51" s="2"/>
      <c r="E51" s="2"/>
      <c r="F51" s="15" t="e">
        <f t="shared" si="4"/>
        <v>#DIV/0!</v>
      </c>
      <c r="G51" s="19">
        <v>0.5</v>
      </c>
      <c r="H51" s="17" t="e">
        <f t="shared" si="5"/>
        <v>#DIV/0!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21" customHeight="1" x14ac:dyDescent="0.3">
      <c r="A52" s="21" cm="1">
        <f t="array" ref="A52">1+COUNT(_xlfn.UNIQUE(_xlfn._xlws.FILTER($F$4:$F$127, $F$4:$F$127 &gt; F52)))</f>
        <v>1</v>
      </c>
      <c r="B52" s="2" t="s">
        <v>79</v>
      </c>
      <c r="C52" s="2"/>
      <c r="D52" s="2"/>
      <c r="E52" s="2"/>
      <c r="F52" s="15" t="e">
        <f t="shared" si="4"/>
        <v>#DIV/0!</v>
      </c>
      <c r="G52" s="19">
        <v>0.5</v>
      </c>
      <c r="H52" s="17" t="e">
        <f t="shared" si="5"/>
        <v>#DIV/0!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ht="21" customHeight="1" x14ac:dyDescent="0.3">
      <c r="A53" s="21" cm="1">
        <f t="array" ref="A53">1+COUNT(_xlfn.UNIQUE(_xlfn._xlws.FILTER($F$4:$F$127, $F$4:$F$127 &gt; F53)))</f>
        <v>1</v>
      </c>
      <c r="B53" s="2" t="s">
        <v>96</v>
      </c>
      <c r="C53" s="2"/>
      <c r="D53" s="2"/>
      <c r="E53" s="2"/>
      <c r="F53" s="15" t="e">
        <f t="shared" si="4"/>
        <v>#DIV/0!</v>
      </c>
      <c r="G53" s="19">
        <v>0.5</v>
      </c>
      <c r="H53" s="17" t="e">
        <f t="shared" si="5"/>
        <v>#DIV/0!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ht="21" customHeight="1" x14ac:dyDescent="0.3">
      <c r="A54" s="21" cm="1">
        <f t="array" ref="A54">1+COUNT(_xlfn.UNIQUE(_xlfn._xlws.FILTER($F$4:$F$127, $F$4:$F$127 &gt; F54)))</f>
        <v>1</v>
      </c>
      <c r="B54" s="2" t="s">
        <v>148</v>
      </c>
      <c r="C54" s="2"/>
      <c r="D54" s="2"/>
      <c r="E54" s="2"/>
      <c r="F54" s="15" t="e">
        <f t="shared" si="4"/>
        <v>#DIV/0!</v>
      </c>
      <c r="G54" s="19">
        <v>0.5</v>
      </c>
      <c r="H54" s="17" t="e">
        <f t="shared" si="5"/>
        <v>#DIV/0!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ht="21" customHeight="1" x14ac:dyDescent="0.3">
      <c r="A55" s="21" cm="1">
        <f t="array" ref="A55">1+COUNT(_xlfn.UNIQUE(_xlfn._xlws.FILTER($F$4:$F$127, $F$4:$F$127 &gt; F55)))</f>
        <v>1</v>
      </c>
      <c r="B55" s="2" t="s">
        <v>104</v>
      </c>
      <c r="C55" s="2"/>
      <c r="D55" s="2"/>
      <c r="E55" s="2"/>
      <c r="F55" s="15" t="e">
        <f t="shared" si="4"/>
        <v>#DIV/0!</v>
      </c>
      <c r="G55" s="19">
        <v>0.5</v>
      </c>
      <c r="H55" s="17" t="e">
        <f t="shared" si="5"/>
        <v>#DIV/0!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ht="21" customHeight="1" x14ac:dyDescent="0.3">
      <c r="A56" s="21" cm="1">
        <f t="array" ref="A56">1+COUNT(_xlfn.UNIQUE(_xlfn._xlws.FILTER($F$4:$F$127, $F$4:$F$127 &gt; F56)))</f>
        <v>1</v>
      </c>
      <c r="B56" s="2" t="s">
        <v>106</v>
      </c>
      <c r="C56" s="2"/>
      <c r="D56" s="2"/>
      <c r="E56" s="2"/>
      <c r="F56" s="15" t="e">
        <f t="shared" si="4"/>
        <v>#DIV/0!</v>
      </c>
      <c r="G56" s="19">
        <v>0.5</v>
      </c>
      <c r="H56" s="17" t="e">
        <f t="shared" si="5"/>
        <v>#DIV/0!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ht="21" customHeight="1" x14ac:dyDescent="0.3">
      <c r="A57" s="21" cm="1">
        <f t="array" ref="A57">1+COUNT(_xlfn.UNIQUE(_xlfn._xlws.FILTER($F$4:$F$127, $F$4:$F$127 &gt; F57)))</f>
        <v>1</v>
      </c>
      <c r="B57" s="2" t="s">
        <v>7</v>
      </c>
      <c r="C57" s="2"/>
      <c r="D57" s="2"/>
      <c r="E57" s="2"/>
      <c r="F57" s="15" t="e">
        <f t="shared" si="4"/>
        <v>#DIV/0!</v>
      </c>
      <c r="G57" s="19">
        <v>0.5</v>
      </c>
      <c r="H57" s="17" t="e">
        <f t="shared" si="5"/>
        <v>#DIV/0!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 ht="21" customHeight="1" x14ac:dyDescent="0.3">
      <c r="A58" s="21" cm="1">
        <f t="array" ref="A58">1+COUNT(_xlfn.UNIQUE(_xlfn._xlws.FILTER($F$4:$F$127, $F$4:$F$127 &gt; F58)))</f>
        <v>1</v>
      </c>
      <c r="B58" s="2" t="s">
        <v>95</v>
      </c>
      <c r="C58" s="2"/>
      <c r="D58" s="2"/>
      <c r="E58" s="2"/>
      <c r="F58" s="15" t="e">
        <f t="shared" si="4"/>
        <v>#DIV/0!</v>
      </c>
      <c r="G58" s="19">
        <v>0.5</v>
      </c>
      <c r="H58" s="17" t="e">
        <f t="shared" si="5"/>
        <v>#DIV/0!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 ht="21" customHeight="1" x14ac:dyDescent="0.3">
      <c r="A59" s="21" cm="1">
        <f t="array" ref="A59">1+COUNT(_xlfn.UNIQUE(_xlfn._xlws.FILTER($F$4:$F$127, $F$4:$F$127 &gt; F59)))</f>
        <v>1</v>
      </c>
      <c r="B59" s="2" t="s">
        <v>30</v>
      </c>
      <c r="C59" s="2"/>
      <c r="D59" s="2"/>
      <c r="E59" s="2"/>
      <c r="F59" s="15" t="e">
        <f t="shared" si="4"/>
        <v>#DIV/0!</v>
      </c>
      <c r="G59" s="19">
        <v>0.5</v>
      </c>
      <c r="H59" s="17" t="e">
        <f t="shared" si="5"/>
        <v>#DIV/0!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 ht="21" customHeight="1" x14ac:dyDescent="0.3">
      <c r="A60" s="21" cm="1">
        <f t="array" ref="A60">1+COUNT(_xlfn.UNIQUE(_xlfn._xlws.FILTER($F$4:$F$127, $F$4:$F$127 &gt; F60)))</f>
        <v>1</v>
      </c>
      <c r="B60" s="2" t="s">
        <v>80</v>
      </c>
      <c r="C60" s="2"/>
      <c r="D60" s="2"/>
      <c r="E60" s="2"/>
      <c r="F60" s="15" t="e">
        <f t="shared" si="4"/>
        <v>#DIV/0!</v>
      </c>
      <c r="G60" s="19">
        <v>0.5</v>
      </c>
      <c r="H60" s="17" t="e">
        <f t="shared" si="5"/>
        <v>#DIV/0!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 ht="21" customHeight="1" x14ac:dyDescent="0.3">
      <c r="A61" s="21" cm="1">
        <f t="array" ref="A61">1+COUNT(_xlfn.UNIQUE(_xlfn._xlws.FILTER($F$4:$F$127, $F$4:$F$127 &gt; F61)))</f>
        <v>1</v>
      </c>
      <c r="B61" s="2" t="s">
        <v>82</v>
      </c>
      <c r="C61" s="2"/>
      <c r="D61" s="2"/>
      <c r="E61" s="2"/>
      <c r="F61" s="15" t="e">
        <f t="shared" si="4"/>
        <v>#DIV/0!</v>
      </c>
      <c r="G61" s="19">
        <v>0.5</v>
      </c>
      <c r="H61" s="17" t="e">
        <f t="shared" si="5"/>
        <v>#DIV/0!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ht="21" customHeight="1" x14ac:dyDescent="0.3">
      <c r="A62" s="21" cm="1">
        <f t="array" ref="A62">1+COUNT(_xlfn.UNIQUE(_xlfn._xlws.FILTER($F$4:$F$127, $F$4:$F$127 &gt; F62)))</f>
        <v>1</v>
      </c>
      <c r="B62" s="2" t="s">
        <v>47</v>
      </c>
      <c r="C62" s="2"/>
      <c r="D62" s="2"/>
      <c r="E62" s="2"/>
      <c r="F62" s="15" t="e">
        <f t="shared" si="4"/>
        <v>#DIV/0!</v>
      </c>
      <c r="G62" s="19">
        <v>0.5</v>
      </c>
      <c r="H62" s="17" t="e">
        <f t="shared" si="5"/>
        <v>#DIV/0!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 ht="21" customHeight="1" x14ac:dyDescent="0.3">
      <c r="A63" s="21" cm="1">
        <f t="array" ref="A63">1+COUNT(_xlfn.UNIQUE(_xlfn._xlws.FILTER($F$4:$F$127, $F$4:$F$127 &gt; F63)))</f>
        <v>1</v>
      </c>
      <c r="B63" s="2" t="s">
        <v>28</v>
      </c>
      <c r="C63" s="2"/>
      <c r="D63" s="2"/>
      <c r="E63" s="2"/>
      <c r="F63" s="15" t="e">
        <f t="shared" si="4"/>
        <v>#DIV/0!</v>
      </c>
      <c r="G63" s="19">
        <v>0.5</v>
      </c>
      <c r="H63" s="17" t="e">
        <f t="shared" si="5"/>
        <v>#DIV/0!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 ht="21" customHeight="1" x14ac:dyDescent="0.3">
      <c r="A64" s="21" cm="1">
        <f t="array" ref="A64">1+COUNT(_xlfn.UNIQUE(_xlfn._xlws.FILTER($F$4:$F$127, $F$4:$F$127 &gt; F64)))</f>
        <v>1</v>
      </c>
      <c r="B64" s="2" t="s">
        <v>107</v>
      </c>
      <c r="C64" s="2"/>
      <c r="D64" s="2"/>
      <c r="E64" s="2"/>
      <c r="F64" s="15" t="e">
        <f t="shared" si="4"/>
        <v>#DIV/0!</v>
      </c>
      <c r="G64" s="19">
        <v>0.5</v>
      </c>
      <c r="H64" s="17" t="e">
        <f t="shared" si="5"/>
        <v>#DIV/0!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 ht="21" customHeight="1" x14ac:dyDescent="0.3">
      <c r="A65" s="21" cm="1">
        <f t="array" ref="A65">1+COUNT(_xlfn.UNIQUE(_xlfn._xlws.FILTER($F$4:$F$127, $F$4:$F$127 &gt; F65)))</f>
        <v>1</v>
      </c>
      <c r="B65" s="2" t="s">
        <v>105</v>
      </c>
      <c r="C65" s="2"/>
      <c r="D65" s="2"/>
      <c r="E65" s="2"/>
      <c r="F65" s="15" t="e">
        <f t="shared" si="4"/>
        <v>#DIV/0!</v>
      </c>
      <c r="G65" s="19">
        <v>0.5</v>
      </c>
      <c r="H65" s="17" t="e">
        <f t="shared" si="5"/>
        <v>#DIV/0!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ht="21" customHeight="1" x14ac:dyDescent="0.3">
      <c r="A66" s="21" cm="1">
        <f t="array" ref="A66">1+COUNT(_xlfn.UNIQUE(_xlfn._xlws.FILTER($F$4:$F$127, $F$4:$F$127 &gt; F66)))</f>
        <v>1</v>
      </c>
      <c r="B66" s="2" t="s">
        <v>97</v>
      </c>
      <c r="C66" s="2"/>
      <c r="D66" s="2"/>
      <c r="E66" s="2"/>
      <c r="F66" s="15" t="e">
        <f t="shared" si="4"/>
        <v>#DIV/0!</v>
      </c>
      <c r="G66" s="19">
        <v>0.5</v>
      </c>
      <c r="H66" s="17" t="e">
        <f t="shared" si="5"/>
        <v>#DIV/0!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 ht="21" customHeight="1" x14ac:dyDescent="0.3">
      <c r="A67" s="21" cm="1">
        <f t="array" ref="A67">1+COUNT(_xlfn.UNIQUE(_xlfn._xlws.FILTER($F$4:$F$127, $F$4:$F$127 &gt; F67)))</f>
        <v>1</v>
      </c>
      <c r="B67" s="2" t="s">
        <v>76</v>
      </c>
      <c r="C67" s="2"/>
      <c r="D67" s="2"/>
      <c r="E67" s="2"/>
      <c r="F67" s="15" t="e">
        <f t="shared" si="4"/>
        <v>#DIV/0!</v>
      </c>
      <c r="G67" s="19">
        <v>0.5</v>
      </c>
      <c r="H67" s="17" t="e">
        <f t="shared" si="5"/>
        <v>#DIV/0!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ht="21" customHeight="1" x14ac:dyDescent="0.3">
      <c r="A68" s="21" cm="1">
        <f t="array" ref="A68">1+COUNT(_xlfn.UNIQUE(_xlfn._xlws.FILTER($F$4:$F$127, $F$4:$F$127 &gt; F68)))</f>
        <v>1</v>
      </c>
      <c r="B68" s="2" t="s">
        <v>118</v>
      </c>
      <c r="C68" s="2"/>
      <c r="D68" s="2"/>
      <c r="E68" s="2"/>
      <c r="F68" s="15" t="e">
        <f t="shared" ref="F68:F99" si="6">E68/D68</f>
        <v>#DIV/0!</v>
      </c>
      <c r="G68" s="19">
        <v>0.5</v>
      </c>
      <c r="H68" s="17" t="e">
        <f t="shared" ref="H68:H99" si="7">F68/G68</f>
        <v>#DIV/0!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 ht="21" customHeight="1" x14ac:dyDescent="0.3">
      <c r="A69" s="21" cm="1">
        <f t="array" ref="A69">1+COUNT(_xlfn.UNIQUE(_xlfn._xlws.FILTER($F$4:$F$127, $F$4:$F$127 &gt; F69)))</f>
        <v>1</v>
      </c>
      <c r="B69" s="2" t="s">
        <v>43</v>
      </c>
      <c r="C69" s="2"/>
      <c r="D69" s="2"/>
      <c r="E69" s="2"/>
      <c r="F69" s="15" t="e">
        <f t="shared" si="6"/>
        <v>#DIV/0!</v>
      </c>
      <c r="G69" s="19">
        <v>0.5</v>
      </c>
      <c r="H69" s="17" t="e">
        <f t="shared" si="7"/>
        <v>#DIV/0!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 ht="21" customHeight="1" x14ac:dyDescent="0.3">
      <c r="A70" s="21" cm="1">
        <f t="array" ref="A70">1+COUNT(_xlfn.UNIQUE(_xlfn._xlws.FILTER($F$4:$F$127, $F$4:$F$127 &gt; F70)))</f>
        <v>1</v>
      </c>
      <c r="B70" s="2" t="s">
        <v>73</v>
      </c>
      <c r="C70" s="2"/>
      <c r="D70" s="2"/>
      <c r="E70" s="2"/>
      <c r="F70" s="15" t="e">
        <f t="shared" si="6"/>
        <v>#DIV/0!</v>
      </c>
      <c r="G70" s="19">
        <v>0.5</v>
      </c>
      <c r="H70" s="17" t="e">
        <f t="shared" si="7"/>
        <v>#DIV/0!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 ht="21" customHeight="1" x14ac:dyDescent="0.3">
      <c r="A71" s="21" cm="1">
        <f t="array" ref="A71">1+COUNT(_xlfn.UNIQUE(_xlfn._xlws.FILTER($F$4:$F$127, $F$4:$F$127 &gt; F71)))</f>
        <v>1</v>
      </c>
      <c r="B71" s="2" t="s">
        <v>23</v>
      </c>
      <c r="C71" s="2"/>
      <c r="D71" s="2"/>
      <c r="E71" s="2"/>
      <c r="F71" s="15" t="e">
        <f t="shared" si="6"/>
        <v>#DIV/0!</v>
      </c>
      <c r="G71" s="19">
        <v>0.5</v>
      </c>
      <c r="H71" s="17" t="e">
        <f t="shared" si="7"/>
        <v>#DIV/0!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 ht="21" customHeight="1" x14ac:dyDescent="0.3">
      <c r="A72" s="21" cm="1">
        <f t="array" ref="A72">1+COUNT(_xlfn.UNIQUE(_xlfn._xlws.FILTER($F$4:$F$127, $F$4:$F$127 &gt; F72)))</f>
        <v>1</v>
      </c>
      <c r="B72" s="2" t="s">
        <v>149</v>
      </c>
      <c r="C72" s="2"/>
      <c r="D72" s="2"/>
      <c r="E72" s="2"/>
      <c r="F72" s="15" t="e">
        <f t="shared" si="6"/>
        <v>#DIV/0!</v>
      </c>
      <c r="G72" s="19">
        <v>0.5</v>
      </c>
      <c r="H72" s="17" t="e">
        <f t="shared" si="7"/>
        <v>#DIV/0!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 ht="21" customHeight="1" x14ac:dyDescent="0.3">
      <c r="A73" s="21" cm="1">
        <f t="array" ref="A73">1+COUNT(_xlfn.UNIQUE(_xlfn._xlws.FILTER($F$4:$F$127, $F$4:$F$127 &gt; F73)))</f>
        <v>1</v>
      </c>
      <c r="B73" s="2" t="s">
        <v>85</v>
      </c>
      <c r="C73" s="2"/>
      <c r="D73" s="2"/>
      <c r="E73" s="2"/>
      <c r="F73" s="15" t="e">
        <f t="shared" si="6"/>
        <v>#DIV/0!</v>
      </c>
      <c r="G73" s="19">
        <v>0.5</v>
      </c>
      <c r="H73" s="17" t="e">
        <f t="shared" si="7"/>
        <v>#DIV/0!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 ht="21" customHeight="1" x14ac:dyDescent="0.3">
      <c r="A74" s="21" cm="1">
        <f t="array" ref="A74">1+COUNT(_xlfn.UNIQUE(_xlfn._xlws.FILTER($F$4:$F$127, $F$4:$F$127 &gt; F74)))</f>
        <v>1</v>
      </c>
      <c r="B74" s="2" t="s">
        <v>60</v>
      </c>
      <c r="C74" s="2"/>
      <c r="D74" s="2"/>
      <c r="E74" s="2"/>
      <c r="F74" s="15" t="e">
        <f t="shared" si="6"/>
        <v>#DIV/0!</v>
      </c>
      <c r="G74" s="19">
        <v>0.5</v>
      </c>
      <c r="H74" s="17" t="e">
        <f t="shared" si="7"/>
        <v>#DIV/0!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 ht="21" customHeight="1" x14ac:dyDescent="0.3">
      <c r="A75" s="21" cm="1">
        <f t="array" ref="A75">1+COUNT(_xlfn.UNIQUE(_xlfn._xlws.FILTER($F$4:$F$127, $F$4:$F$127 &gt; F75)))</f>
        <v>1</v>
      </c>
      <c r="B75" s="2" t="s">
        <v>44</v>
      </c>
      <c r="C75" s="2"/>
      <c r="D75" s="2"/>
      <c r="E75" s="2"/>
      <c r="F75" s="15" t="e">
        <f t="shared" si="6"/>
        <v>#DIV/0!</v>
      </c>
      <c r="G75" s="19">
        <v>0.5</v>
      </c>
      <c r="H75" s="17" t="e">
        <f t="shared" si="7"/>
        <v>#DIV/0!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 ht="21" customHeight="1" x14ac:dyDescent="0.3">
      <c r="A76" s="21" cm="1">
        <f t="array" ref="A76">1+COUNT(_xlfn.UNIQUE(_xlfn._xlws.FILTER($F$4:$F$127, $F$4:$F$127 &gt; F76)))</f>
        <v>1</v>
      </c>
      <c r="B76" s="2" t="s">
        <v>91</v>
      </c>
      <c r="C76" s="2"/>
      <c r="D76" s="2"/>
      <c r="E76" s="2"/>
      <c r="F76" s="15" t="e">
        <f t="shared" si="6"/>
        <v>#DIV/0!</v>
      </c>
      <c r="G76" s="19">
        <v>0.5</v>
      </c>
      <c r="H76" s="17" t="e">
        <f t="shared" si="7"/>
        <v>#DIV/0!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 ht="21" customHeight="1" x14ac:dyDescent="0.3">
      <c r="A77" s="21" cm="1">
        <f t="array" ref="A77">1+COUNT(_xlfn.UNIQUE(_xlfn._xlws.FILTER($F$4:$F$127, $F$4:$F$127 &gt; F77)))</f>
        <v>1</v>
      </c>
      <c r="B77" s="2" t="s">
        <v>10</v>
      </c>
      <c r="C77" s="2"/>
      <c r="D77" s="2"/>
      <c r="E77" s="2"/>
      <c r="F77" s="15" t="e">
        <f t="shared" si="6"/>
        <v>#DIV/0!</v>
      </c>
      <c r="G77" s="19">
        <v>0.5</v>
      </c>
      <c r="H77" s="17" t="e">
        <f t="shared" si="7"/>
        <v>#DIV/0!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 ht="21" customHeight="1" x14ac:dyDescent="0.3">
      <c r="A78" s="21" cm="1">
        <f t="array" ref="A78">1+COUNT(_xlfn.UNIQUE(_xlfn._xlws.FILTER($F$4:$F$127, $F$4:$F$127 &gt; F78)))</f>
        <v>1</v>
      </c>
      <c r="B78" s="2" t="s">
        <v>6</v>
      </c>
      <c r="C78" s="2"/>
      <c r="D78" s="2"/>
      <c r="E78" s="2"/>
      <c r="F78" s="15" t="e">
        <f t="shared" si="6"/>
        <v>#DIV/0!</v>
      </c>
      <c r="G78" s="19">
        <v>0.5</v>
      </c>
      <c r="H78" s="17" t="e">
        <f t="shared" si="7"/>
        <v>#DIV/0!</v>
      </c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 ht="21" customHeight="1" x14ac:dyDescent="0.3">
      <c r="A79" s="21" cm="1">
        <f t="array" ref="A79">1+COUNT(_xlfn.UNIQUE(_xlfn._xlws.FILTER($F$4:$F$127, $F$4:$F$127 &gt; F79)))</f>
        <v>1</v>
      </c>
      <c r="B79" s="2" t="s">
        <v>67</v>
      </c>
      <c r="C79" s="2"/>
      <c r="D79" s="2"/>
      <c r="E79" s="2"/>
      <c r="F79" s="15" t="e">
        <f t="shared" si="6"/>
        <v>#DIV/0!</v>
      </c>
      <c r="G79" s="19">
        <v>0.5</v>
      </c>
      <c r="H79" s="17" t="e">
        <f t="shared" si="7"/>
        <v>#DIV/0!</v>
      </c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ht="21" customHeight="1" x14ac:dyDescent="0.3">
      <c r="A80" s="21" cm="1">
        <f t="array" ref="A80">1+COUNT(_xlfn.UNIQUE(_xlfn._xlws.FILTER($F$4:$F$127, $F$4:$F$127 &gt; F80)))</f>
        <v>1</v>
      </c>
      <c r="B80" s="2" t="s">
        <v>150</v>
      </c>
      <c r="C80" s="2"/>
      <c r="D80" s="2"/>
      <c r="E80" s="2"/>
      <c r="F80" s="15" t="e">
        <f t="shared" si="6"/>
        <v>#DIV/0!</v>
      </c>
      <c r="G80" s="19">
        <v>0.5</v>
      </c>
      <c r="H80" s="17" t="e">
        <f t="shared" si="7"/>
        <v>#DIV/0!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 ht="21" customHeight="1" x14ac:dyDescent="0.3">
      <c r="A81" s="21" cm="1">
        <f t="array" ref="A81">1+COUNT(_xlfn.UNIQUE(_xlfn._xlws.FILTER($F$4:$F$127, $F$4:$F$127 &gt; F81)))</f>
        <v>1</v>
      </c>
      <c r="B81" s="2" t="s">
        <v>32</v>
      </c>
      <c r="C81" s="2"/>
      <c r="D81" s="2"/>
      <c r="E81" s="2"/>
      <c r="F81" s="15" t="e">
        <f t="shared" si="6"/>
        <v>#DIV/0!</v>
      </c>
      <c r="G81" s="19">
        <v>0.5</v>
      </c>
      <c r="H81" s="17" t="e">
        <f t="shared" si="7"/>
        <v>#DIV/0!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 ht="21" customHeight="1" x14ac:dyDescent="0.3">
      <c r="A82" s="21" cm="1">
        <f t="array" ref="A82">1+COUNT(_xlfn.UNIQUE(_xlfn._xlws.FILTER($F$4:$F$127, $F$4:$F$127 &gt; F82)))</f>
        <v>1</v>
      </c>
      <c r="B82" s="2" t="s">
        <v>54</v>
      </c>
      <c r="C82" s="2"/>
      <c r="D82" s="2"/>
      <c r="E82" s="2"/>
      <c r="F82" s="15" t="e">
        <f t="shared" si="6"/>
        <v>#DIV/0!</v>
      </c>
      <c r="G82" s="19">
        <v>0.5</v>
      </c>
      <c r="H82" s="17" t="e">
        <f t="shared" si="7"/>
        <v>#DIV/0!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 ht="21" customHeight="1" x14ac:dyDescent="0.3">
      <c r="A83" s="21" cm="1">
        <f t="array" ref="A83">1+COUNT(_xlfn.UNIQUE(_xlfn._xlws.FILTER($F$4:$F$127, $F$4:$F$127 &gt; F83)))</f>
        <v>1</v>
      </c>
      <c r="B83" s="2" t="s">
        <v>62</v>
      </c>
      <c r="C83" s="2"/>
      <c r="D83" s="2"/>
      <c r="E83" s="2"/>
      <c r="F83" s="15" t="e">
        <f t="shared" si="6"/>
        <v>#DIV/0!</v>
      </c>
      <c r="G83" s="19">
        <v>0.5</v>
      </c>
      <c r="H83" s="17" t="e">
        <f t="shared" si="7"/>
        <v>#DIV/0!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 ht="21" customHeight="1" x14ac:dyDescent="0.3">
      <c r="A84" s="21" cm="1">
        <f t="array" ref="A84">1+COUNT(_xlfn.UNIQUE(_xlfn._xlws.FILTER($F$4:$F$127, $F$4:$F$127 &gt; F84)))</f>
        <v>1</v>
      </c>
      <c r="B84" s="2" t="s">
        <v>74</v>
      </c>
      <c r="C84" s="2"/>
      <c r="D84" s="2"/>
      <c r="E84" s="2"/>
      <c r="F84" s="15" t="e">
        <f t="shared" si="6"/>
        <v>#DIV/0!</v>
      </c>
      <c r="G84" s="19">
        <v>0.5</v>
      </c>
      <c r="H84" s="17" t="e">
        <f t="shared" si="7"/>
        <v>#DIV/0!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1:25" ht="21" customHeight="1" x14ac:dyDescent="0.3">
      <c r="A85" s="21" cm="1">
        <f t="array" ref="A85">1+COUNT(_xlfn.UNIQUE(_xlfn._xlws.FILTER($F$4:$F$127, $F$4:$F$127 &gt; F85)))</f>
        <v>1</v>
      </c>
      <c r="B85" s="2" t="s">
        <v>42</v>
      </c>
      <c r="C85" s="2"/>
      <c r="D85" s="2"/>
      <c r="E85" s="2"/>
      <c r="F85" s="15" t="e">
        <f t="shared" si="6"/>
        <v>#DIV/0!</v>
      </c>
      <c r="G85" s="19">
        <v>0.5</v>
      </c>
      <c r="H85" s="17" t="e">
        <f t="shared" si="7"/>
        <v>#DIV/0!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 ht="21" customHeight="1" x14ac:dyDescent="0.3">
      <c r="A86" s="21" cm="1">
        <f t="array" ref="A86">1+COUNT(_xlfn.UNIQUE(_xlfn._xlws.FILTER($F$4:$F$127, $F$4:$F$127 &gt; F86)))</f>
        <v>1</v>
      </c>
      <c r="B86" s="2" t="s">
        <v>31</v>
      </c>
      <c r="C86" s="2"/>
      <c r="D86" s="2"/>
      <c r="E86" s="2"/>
      <c r="F86" s="15" t="e">
        <f t="shared" si="6"/>
        <v>#DIV/0!</v>
      </c>
      <c r="G86" s="19">
        <v>0.5</v>
      </c>
      <c r="H86" s="17" t="e">
        <f t="shared" si="7"/>
        <v>#DIV/0!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 ht="21" customHeight="1" x14ac:dyDescent="0.3">
      <c r="A87" s="21" cm="1">
        <f t="array" ref="A87">1+COUNT(_xlfn.UNIQUE(_xlfn._xlws.FILTER($F$4:$F$127, $F$4:$F$127 &gt; F87)))</f>
        <v>1</v>
      </c>
      <c r="B87" s="2" t="s">
        <v>16</v>
      </c>
      <c r="C87" s="2"/>
      <c r="D87" s="2"/>
      <c r="E87" s="2"/>
      <c r="F87" s="15" t="e">
        <f t="shared" si="6"/>
        <v>#DIV/0!</v>
      </c>
      <c r="G87" s="19">
        <v>0.5</v>
      </c>
      <c r="H87" s="17" t="e">
        <f t="shared" si="7"/>
        <v>#DIV/0!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 ht="21" customHeight="1" x14ac:dyDescent="0.3">
      <c r="A88" s="21" cm="1">
        <f t="array" ref="A88">1+COUNT(_xlfn.UNIQUE(_xlfn._xlws.FILTER($F$4:$F$127, $F$4:$F$127 &gt; F88)))</f>
        <v>1</v>
      </c>
      <c r="B88" s="2" t="s">
        <v>72</v>
      </c>
      <c r="C88" s="2"/>
      <c r="D88" s="2"/>
      <c r="E88" s="2"/>
      <c r="F88" s="15" t="e">
        <f t="shared" si="6"/>
        <v>#DIV/0!</v>
      </c>
      <c r="G88" s="19">
        <v>0.5</v>
      </c>
      <c r="H88" s="17" t="e">
        <f t="shared" si="7"/>
        <v>#DIV/0!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ht="21" customHeight="1" x14ac:dyDescent="0.3">
      <c r="A89" s="21" cm="1">
        <f t="array" ref="A89">1+COUNT(_xlfn.UNIQUE(_xlfn._xlws.FILTER($F$4:$F$127, $F$4:$F$127 &gt; F89)))</f>
        <v>1</v>
      </c>
      <c r="B89" s="2" t="s">
        <v>63</v>
      </c>
      <c r="C89" s="2"/>
      <c r="D89" s="2"/>
      <c r="E89" s="2"/>
      <c r="F89" s="15" t="e">
        <f t="shared" si="6"/>
        <v>#DIV/0!</v>
      </c>
      <c r="G89" s="19">
        <v>0.5</v>
      </c>
      <c r="H89" s="17" t="e">
        <f t="shared" si="7"/>
        <v>#DIV/0!</v>
      </c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ht="21" customHeight="1" x14ac:dyDescent="0.3">
      <c r="A90" s="21" cm="1">
        <f t="array" ref="A90">1+COUNT(_xlfn.UNIQUE(_xlfn._xlws.FILTER($F$4:$F$127, $F$4:$F$127 &gt; F90)))</f>
        <v>1</v>
      </c>
      <c r="B90" s="2" t="s">
        <v>52</v>
      </c>
      <c r="C90" s="2"/>
      <c r="D90" s="2"/>
      <c r="E90" s="2"/>
      <c r="F90" s="15" t="e">
        <f t="shared" si="6"/>
        <v>#DIV/0!</v>
      </c>
      <c r="G90" s="19">
        <v>0.5</v>
      </c>
      <c r="H90" s="17" t="e">
        <f t="shared" si="7"/>
        <v>#DIV/0!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5" ht="21" customHeight="1" x14ac:dyDescent="0.3">
      <c r="A91" s="21" cm="1">
        <f t="array" ref="A91">1+COUNT(_xlfn.UNIQUE(_xlfn._xlws.FILTER($F$4:$F$127, $F$4:$F$127 &gt; F91)))</f>
        <v>1</v>
      </c>
      <c r="B91" s="2" t="s">
        <v>9</v>
      </c>
      <c r="C91" s="2"/>
      <c r="D91" s="2"/>
      <c r="E91" s="2"/>
      <c r="F91" s="15" t="e">
        <f t="shared" si="6"/>
        <v>#DIV/0!</v>
      </c>
      <c r="G91" s="19">
        <v>0.5</v>
      </c>
      <c r="H91" s="17" t="e">
        <f t="shared" si="7"/>
        <v>#DIV/0!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spans="1:25" ht="21" customHeight="1" x14ac:dyDescent="0.3">
      <c r="A92" s="21" cm="1">
        <f t="array" ref="A92">1+COUNT(_xlfn.UNIQUE(_xlfn._xlws.FILTER($F$4:$F$127, $F$4:$F$127 &gt; F92)))</f>
        <v>1</v>
      </c>
      <c r="B92" s="2" t="s">
        <v>83</v>
      </c>
      <c r="C92" s="2"/>
      <c r="D92" s="2"/>
      <c r="E92" s="2"/>
      <c r="F92" s="15" t="e">
        <f t="shared" si="6"/>
        <v>#DIV/0!</v>
      </c>
      <c r="G92" s="19">
        <v>0.5</v>
      </c>
      <c r="H92" s="17" t="e">
        <f t="shared" si="7"/>
        <v>#DIV/0!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 ht="21" customHeight="1" x14ac:dyDescent="0.3">
      <c r="A93" s="21" cm="1">
        <f t="array" ref="A93">1+COUNT(_xlfn.UNIQUE(_xlfn._xlws.FILTER($F$4:$F$127, $F$4:$F$127 &gt; F93)))</f>
        <v>1</v>
      </c>
      <c r="B93" s="2" t="s">
        <v>117</v>
      </c>
      <c r="C93" s="2"/>
      <c r="D93" s="2"/>
      <c r="E93" s="2"/>
      <c r="F93" s="15" t="e">
        <f t="shared" si="6"/>
        <v>#DIV/0!</v>
      </c>
      <c r="G93" s="19">
        <v>0.5</v>
      </c>
      <c r="H93" s="17" t="e">
        <f t="shared" si="7"/>
        <v>#DIV/0!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 ht="21" customHeight="1" x14ac:dyDescent="0.3">
      <c r="A94" s="21" cm="1">
        <f t="array" ref="A94">1+COUNT(_xlfn.UNIQUE(_xlfn._xlws.FILTER($F$4:$F$127, $F$4:$F$127 &gt; F94)))</f>
        <v>1</v>
      </c>
      <c r="B94" s="2" t="s">
        <v>45</v>
      </c>
      <c r="C94" s="2"/>
      <c r="D94" s="2"/>
      <c r="E94" s="2"/>
      <c r="F94" s="15" t="e">
        <f t="shared" si="6"/>
        <v>#DIV/0!</v>
      </c>
      <c r="G94" s="19">
        <v>0.5</v>
      </c>
      <c r="H94" s="17" t="e">
        <f t="shared" si="7"/>
        <v>#DIV/0!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1:25" ht="21" customHeight="1" x14ac:dyDescent="0.3">
      <c r="A95" s="21" cm="1">
        <f t="array" ref="A95">1+COUNT(_xlfn.UNIQUE(_xlfn._xlws.FILTER($F$4:$F$127, $F$4:$F$127 &gt; F95)))</f>
        <v>1</v>
      </c>
      <c r="B95" s="2" t="s">
        <v>51</v>
      </c>
      <c r="C95" s="2"/>
      <c r="D95" s="2"/>
      <c r="E95" s="2"/>
      <c r="F95" s="15" t="e">
        <f t="shared" si="6"/>
        <v>#DIV/0!</v>
      </c>
      <c r="G95" s="19">
        <v>0.5</v>
      </c>
      <c r="H95" s="17" t="e">
        <f t="shared" si="7"/>
        <v>#DIV/0!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 ht="21" customHeight="1" x14ac:dyDescent="0.3">
      <c r="A96" s="21" cm="1">
        <f t="array" ref="A96">1+COUNT(_xlfn.UNIQUE(_xlfn._xlws.FILTER($F$4:$F$127, $F$4:$F$127 &gt; F96)))</f>
        <v>1</v>
      </c>
      <c r="B96" s="2" t="s">
        <v>8</v>
      </c>
      <c r="C96" s="2"/>
      <c r="D96" s="2"/>
      <c r="E96" s="2"/>
      <c r="F96" s="15" t="e">
        <f t="shared" si="6"/>
        <v>#DIV/0!</v>
      </c>
      <c r="G96" s="19">
        <v>0.5</v>
      </c>
      <c r="H96" s="17" t="e">
        <f t="shared" si="7"/>
        <v>#DIV/0!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spans="1:25" ht="21" customHeight="1" x14ac:dyDescent="0.3">
      <c r="A97" s="21" cm="1">
        <f t="array" ref="A97">1+COUNT(_xlfn.UNIQUE(_xlfn._xlws.FILTER($F$4:$F$127, $F$4:$F$127 &gt; F97)))</f>
        <v>1</v>
      </c>
      <c r="B97" s="2" t="s">
        <v>86</v>
      </c>
      <c r="C97" s="2"/>
      <c r="D97" s="2"/>
      <c r="E97" s="2"/>
      <c r="F97" s="15" t="e">
        <f t="shared" si="6"/>
        <v>#DIV/0!</v>
      </c>
      <c r="G97" s="19">
        <v>0.5</v>
      </c>
      <c r="H97" s="17" t="e">
        <f t="shared" si="7"/>
        <v>#DIV/0!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1:25" ht="21" customHeight="1" x14ac:dyDescent="0.3">
      <c r="A98" s="21" cm="1">
        <f t="array" ref="A98">1+COUNT(_xlfn.UNIQUE(_xlfn._xlws.FILTER($F$4:$F$127, $F$4:$F$127 &gt; F98)))</f>
        <v>1</v>
      </c>
      <c r="B98" s="2" t="s">
        <v>100</v>
      </c>
      <c r="C98" s="2"/>
      <c r="D98" s="2"/>
      <c r="E98" s="2"/>
      <c r="F98" s="15" t="e">
        <f t="shared" si="6"/>
        <v>#DIV/0!</v>
      </c>
      <c r="G98" s="19">
        <v>0.5</v>
      </c>
      <c r="H98" s="17" t="e">
        <f t="shared" si="7"/>
        <v>#DIV/0!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 ht="21" customHeight="1" x14ac:dyDescent="0.3">
      <c r="A99" s="21" cm="1">
        <f t="array" ref="A99">1+COUNT(_xlfn.UNIQUE(_xlfn._xlws.FILTER($F$4:$F$127, $F$4:$F$127 &gt; F99)))</f>
        <v>1</v>
      </c>
      <c r="B99" s="2" t="s">
        <v>122</v>
      </c>
      <c r="C99" s="2"/>
      <c r="D99" s="2"/>
      <c r="E99" s="2"/>
      <c r="F99" s="15" t="e">
        <f t="shared" si="6"/>
        <v>#DIV/0!</v>
      </c>
      <c r="G99" s="19">
        <v>0.5</v>
      </c>
      <c r="H99" s="17" t="e">
        <f t="shared" si="7"/>
        <v>#DIV/0!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 ht="21" customHeight="1" x14ac:dyDescent="0.3">
      <c r="A100" s="21" cm="1">
        <f t="array" ref="A100">1+COUNT(_xlfn.UNIQUE(_xlfn._xlws.FILTER($F$4:$F$127, $F$4:$F$127 &gt; F100)))</f>
        <v>1</v>
      </c>
      <c r="B100" s="2" t="s">
        <v>103</v>
      </c>
      <c r="C100" s="2"/>
      <c r="D100" s="2"/>
      <c r="E100" s="2"/>
      <c r="F100" s="15" t="e">
        <f t="shared" ref="F100:F131" si="8">E100/D100</f>
        <v>#DIV/0!</v>
      </c>
      <c r="G100" s="19">
        <v>0.5</v>
      </c>
      <c r="H100" s="17" t="e">
        <f t="shared" ref="H100:H131" si="9">F100/G100</f>
        <v>#DIV/0!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 ht="21" customHeight="1" x14ac:dyDescent="0.3">
      <c r="A101" s="21" cm="1">
        <f t="array" ref="A101">1+COUNT(_xlfn.UNIQUE(_xlfn._xlws.FILTER($F$4:$F$127, $F$4:$F$127 &gt; F101)))</f>
        <v>1</v>
      </c>
      <c r="B101" s="2" t="s">
        <v>115</v>
      </c>
      <c r="C101" s="2"/>
      <c r="D101" s="2"/>
      <c r="E101" s="2"/>
      <c r="F101" s="15" t="e">
        <f t="shared" si="8"/>
        <v>#DIV/0!</v>
      </c>
      <c r="G101" s="19">
        <v>0.5</v>
      </c>
      <c r="H101" s="17" t="e">
        <f t="shared" si="9"/>
        <v>#DIV/0!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 ht="21" customHeight="1" x14ac:dyDescent="0.3">
      <c r="A102" s="21" cm="1">
        <f t="array" ref="A102">1+COUNT(_xlfn.UNIQUE(_xlfn._xlws.FILTER($F$4:$F$127, $F$4:$F$127 &gt; F102)))</f>
        <v>1</v>
      </c>
      <c r="B102" s="2" t="s">
        <v>14</v>
      </c>
      <c r="C102" s="2"/>
      <c r="D102" s="2"/>
      <c r="E102" s="2"/>
      <c r="F102" s="15" t="e">
        <f t="shared" si="8"/>
        <v>#DIV/0!</v>
      </c>
      <c r="G102" s="19">
        <v>0.5</v>
      </c>
      <c r="H102" s="17" t="e">
        <f t="shared" si="9"/>
        <v>#DIV/0!</v>
      </c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ht="21" customHeight="1" x14ac:dyDescent="0.3">
      <c r="A103" s="21" cm="1">
        <f t="array" ref="A103">1+COUNT(_xlfn.UNIQUE(_xlfn._xlws.FILTER($F$4:$F$127, $F$4:$F$127 &gt; F103)))</f>
        <v>1</v>
      </c>
      <c r="B103" s="2" t="s">
        <v>90</v>
      </c>
      <c r="C103" s="2"/>
      <c r="D103" s="2"/>
      <c r="E103" s="2"/>
      <c r="F103" s="15" t="e">
        <f t="shared" si="8"/>
        <v>#DIV/0!</v>
      </c>
      <c r="G103" s="19">
        <v>0.5</v>
      </c>
      <c r="H103" s="17" t="e">
        <f t="shared" si="9"/>
        <v>#DIV/0!</v>
      </c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 ht="21" customHeight="1" x14ac:dyDescent="0.3">
      <c r="A104" s="21" cm="1">
        <f t="array" ref="A104">1+COUNT(_xlfn.UNIQUE(_xlfn._xlws.FILTER($F$4:$F$127, $F$4:$F$127 &gt; F104)))</f>
        <v>1</v>
      </c>
      <c r="B104" s="2" t="s">
        <v>84</v>
      </c>
      <c r="C104" s="2"/>
      <c r="D104" s="2"/>
      <c r="E104" s="2"/>
      <c r="F104" s="15" t="e">
        <f t="shared" si="8"/>
        <v>#DIV/0!</v>
      </c>
      <c r="G104" s="19">
        <v>0.5</v>
      </c>
      <c r="H104" s="17" t="e">
        <f t="shared" si="9"/>
        <v>#DIV/0!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ht="21" customHeight="1" x14ac:dyDescent="0.3">
      <c r="A105" s="21" cm="1">
        <f t="array" ref="A105">1+COUNT(_xlfn.UNIQUE(_xlfn._xlws.FILTER($F$4:$F$127, $F$4:$F$127 &gt; F105)))</f>
        <v>1</v>
      </c>
      <c r="B105" s="2" t="s">
        <v>101</v>
      </c>
      <c r="C105" s="2"/>
      <c r="D105" s="2"/>
      <c r="E105" s="2"/>
      <c r="F105" s="15" t="e">
        <f t="shared" si="8"/>
        <v>#DIV/0!</v>
      </c>
      <c r="G105" s="19">
        <v>0.5</v>
      </c>
      <c r="H105" s="17" t="e">
        <f t="shared" si="9"/>
        <v>#DIV/0!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 ht="21" customHeight="1" x14ac:dyDescent="0.3">
      <c r="A106" s="21" cm="1">
        <f t="array" ref="A106">1+COUNT(_xlfn.UNIQUE(_xlfn._xlws.FILTER($F$4:$F$127, $F$4:$F$127 &gt; F106)))</f>
        <v>1</v>
      </c>
      <c r="B106" s="2" t="s">
        <v>55</v>
      </c>
      <c r="C106" s="2"/>
      <c r="D106" s="2"/>
      <c r="E106" s="2"/>
      <c r="F106" s="15" t="e">
        <f t="shared" si="8"/>
        <v>#DIV/0!</v>
      </c>
      <c r="G106" s="19">
        <v>0.5</v>
      </c>
      <c r="H106" s="17" t="e">
        <f t="shared" si="9"/>
        <v>#DIV/0!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 ht="21" customHeight="1" x14ac:dyDescent="0.3">
      <c r="A107" s="21" cm="1">
        <f t="array" ref="A107">1+COUNT(_xlfn.UNIQUE(_xlfn._xlws.FILTER($F$4:$F$127, $F$4:$F$127 &gt; F107)))</f>
        <v>1</v>
      </c>
      <c r="B107" s="2" t="s">
        <v>48</v>
      </c>
      <c r="C107" s="2"/>
      <c r="D107" s="2"/>
      <c r="E107" s="2"/>
      <c r="F107" s="15" t="e">
        <f t="shared" si="8"/>
        <v>#DIV/0!</v>
      </c>
      <c r="G107" s="19">
        <v>0.5</v>
      </c>
      <c r="H107" s="17" t="e">
        <f t="shared" si="9"/>
        <v>#DIV/0!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 ht="21" customHeight="1" x14ac:dyDescent="0.3">
      <c r="A108" s="21" cm="1">
        <f t="array" ref="A108">1+COUNT(_xlfn.UNIQUE(_xlfn._xlws.FILTER($F$4:$F$127, $F$4:$F$127 &gt; F108)))</f>
        <v>1</v>
      </c>
      <c r="B108" s="2" t="s">
        <v>12</v>
      </c>
      <c r="C108" s="2"/>
      <c r="D108" s="2"/>
      <c r="E108" s="2"/>
      <c r="F108" s="15" t="e">
        <f t="shared" si="8"/>
        <v>#DIV/0!</v>
      </c>
      <c r="G108" s="19">
        <v>0.5</v>
      </c>
      <c r="H108" s="17" t="e">
        <f t="shared" si="9"/>
        <v>#DIV/0!</v>
      </c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ht="21" customHeight="1" x14ac:dyDescent="0.3">
      <c r="A109" s="21" cm="1">
        <f t="array" ref="A109">1+COUNT(_xlfn.UNIQUE(_xlfn._xlws.FILTER($F$4:$F$127, $F$4:$F$127 &gt; F109)))</f>
        <v>1</v>
      </c>
      <c r="B109" s="2" t="s">
        <v>34</v>
      </c>
      <c r="C109" s="2"/>
      <c r="D109" s="2"/>
      <c r="E109" s="2"/>
      <c r="F109" s="15" t="e">
        <f t="shared" si="8"/>
        <v>#DIV/0!</v>
      </c>
      <c r="G109" s="19">
        <v>0.5</v>
      </c>
      <c r="H109" s="17" t="e">
        <f t="shared" si="9"/>
        <v>#DIV/0!</v>
      </c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ht="21" customHeight="1" x14ac:dyDescent="0.3">
      <c r="A110" s="21" cm="1">
        <f t="array" ref="A110">1+COUNT(_xlfn.UNIQUE(_xlfn._xlws.FILTER($F$4:$F$127, $F$4:$F$127 &gt; F110)))</f>
        <v>1</v>
      </c>
      <c r="B110" s="2" t="s">
        <v>120</v>
      </c>
      <c r="C110" s="2"/>
      <c r="D110" s="2"/>
      <c r="E110" s="2"/>
      <c r="F110" s="15" t="e">
        <f t="shared" si="8"/>
        <v>#DIV/0!</v>
      </c>
      <c r="G110" s="19">
        <v>0.5</v>
      </c>
      <c r="H110" s="17" t="e">
        <f t="shared" si="9"/>
        <v>#DIV/0!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 ht="21" customHeight="1" x14ac:dyDescent="0.3">
      <c r="A111" s="21" cm="1">
        <f t="array" ref="A111">1+COUNT(_xlfn.UNIQUE(_xlfn._xlws.FILTER($F$4:$F$127, $F$4:$F$127 &gt; F111)))</f>
        <v>1</v>
      </c>
      <c r="B111" s="2" t="s">
        <v>61</v>
      </c>
      <c r="C111" s="2"/>
      <c r="D111" s="2"/>
      <c r="E111" s="2"/>
      <c r="F111" s="15" t="e">
        <f t="shared" si="8"/>
        <v>#DIV/0!</v>
      </c>
      <c r="G111" s="19">
        <v>0.5</v>
      </c>
      <c r="H111" s="17" t="e">
        <f t="shared" si="9"/>
        <v>#DIV/0!</v>
      </c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ht="21" customHeight="1" x14ac:dyDescent="0.3">
      <c r="A112" s="21" cm="1">
        <f t="array" ref="A112">1+COUNT(_xlfn.UNIQUE(_xlfn._xlws.FILTER($F$4:$F$127, $F$4:$F$127 &gt; F112)))</f>
        <v>1</v>
      </c>
      <c r="B112" s="2" t="s">
        <v>20</v>
      </c>
      <c r="C112" s="2"/>
      <c r="D112" s="2"/>
      <c r="E112" s="2"/>
      <c r="F112" s="15" t="e">
        <f t="shared" si="8"/>
        <v>#DIV/0!</v>
      </c>
      <c r="G112" s="19">
        <v>0.5</v>
      </c>
      <c r="H112" s="17" t="e">
        <f t="shared" si="9"/>
        <v>#DIV/0!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 ht="21" customHeight="1" x14ac:dyDescent="0.3">
      <c r="A113" s="21" cm="1">
        <f t="array" ref="A113">1+COUNT(_xlfn.UNIQUE(_xlfn._xlws.FILTER($F$4:$F$127, $F$4:$F$127 &gt; F113)))</f>
        <v>1</v>
      </c>
      <c r="B113" s="2" t="s">
        <v>113</v>
      </c>
      <c r="C113" s="2"/>
      <c r="D113" s="2"/>
      <c r="E113" s="2"/>
      <c r="F113" s="15" t="e">
        <f t="shared" si="8"/>
        <v>#DIV/0!</v>
      </c>
      <c r="G113" s="19">
        <v>0.5</v>
      </c>
      <c r="H113" s="17" t="e">
        <f t="shared" si="9"/>
        <v>#DIV/0!</v>
      </c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ht="21" customHeight="1" x14ac:dyDescent="0.3">
      <c r="A114" s="21" cm="1">
        <f t="array" ref="A114">1+COUNT(_xlfn.UNIQUE(_xlfn._xlws.FILTER($F$4:$F$127, $F$4:$F$127 &gt; F114)))</f>
        <v>1</v>
      </c>
      <c r="B114" s="2" t="s">
        <v>13</v>
      </c>
      <c r="C114" s="2"/>
      <c r="D114" s="2"/>
      <c r="E114" s="2"/>
      <c r="F114" s="15" t="e">
        <f t="shared" si="8"/>
        <v>#DIV/0!</v>
      </c>
      <c r="G114" s="19">
        <v>0.5</v>
      </c>
      <c r="H114" s="17" t="e">
        <f t="shared" si="9"/>
        <v>#DIV/0!</v>
      </c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 ht="21" customHeight="1" x14ac:dyDescent="0.3">
      <c r="A115" s="21" cm="1">
        <f t="array" ref="A115">1+COUNT(_xlfn.UNIQUE(_xlfn._xlws.FILTER($F$4:$F$127, $F$4:$F$127 &gt; F115)))</f>
        <v>1</v>
      </c>
      <c r="B115" s="2" t="s">
        <v>18</v>
      </c>
      <c r="C115" s="2"/>
      <c r="D115" s="2"/>
      <c r="E115" s="2"/>
      <c r="F115" s="15" t="e">
        <f t="shared" si="8"/>
        <v>#DIV/0!</v>
      </c>
      <c r="G115" s="19">
        <v>0.5</v>
      </c>
      <c r="H115" s="17" t="e">
        <f t="shared" si="9"/>
        <v>#DIV/0!</v>
      </c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 ht="21" customHeight="1" x14ac:dyDescent="0.3">
      <c r="A116" s="21" cm="1">
        <f t="array" ref="A116">1+COUNT(_xlfn.UNIQUE(_xlfn._xlws.FILTER($F$4:$F$127, $F$4:$F$127 &gt; F116)))</f>
        <v>1</v>
      </c>
      <c r="B116" s="2" t="s">
        <v>66</v>
      </c>
      <c r="C116" s="2"/>
      <c r="D116" s="2"/>
      <c r="E116" s="2"/>
      <c r="F116" s="15" t="e">
        <f t="shared" si="8"/>
        <v>#DIV/0!</v>
      </c>
      <c r="G116" s="19">
        <v>0.5</v>
      </c>
      <c r="H116" s="17" t="e">
        <f t="shared" si="9"/>
        <v>#DIV/0!</v>
      </c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 ht="21" customHeight="1" x14ac:dyDescent="0.3">
      <c r="A117" s="21" cm="1">
        <f t="array" ref="A117">1+COUNT(_xlfn.UNIQUE(_xlfn._xlws.FILTER($F$4:$F$127, $F$4:$F$127 &gt; F117)))</f>
        <v>1</v>
      </c>
      <c r="B117" s="2" t="s">
        <v>98</v>
      </c>
      <c r="C117" s="2"/>
      <c r="D117" s="2"/>
      <c r="E117" s="2"/>
      <c r="F117" s="15" t="e">
        <f t="shared" si="8"/>
        <v>#DIV/0!</v>
      </c>
      <c r="G117" s="19">
        <v>0.5</v>
      </c>
      <c r="H117" s="17" t="e">
        <f t="shared" si="9"/>
        <v>#DIV/0!</v>
      </c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ht="21" customHeight="1" x14ac:dyDescent="0.3">
      <c r="A118" s="21" cm="1">
        <f t="array" ref="A118">1+COUNT(_xlfn.UNIQUE(_xlfn._xlws.FILTER($F$4:$F$127, $F$4:$F$127 &gt; F118)))</f>
        <v>1</v>
      </c>
      <c r="B118" s="2" t="s">
        <v>75</v>
      </c>
      <c r="C118" s="2"/>
      <c r="D118" s="2"/>
      <c r="E118" s="2"/>
      <c r="F118" s="15" t="e">
        <f t="shared" si="8"/>
        <v>#DIV/0!</v>
      </c>
      <c r="G118" s="19">
        <v>0.5</v>
      </c>
      <c r="H118" s="17" t="e">
        <f t="shared" si="9"/>
        <v>#DIV/0!</v>
      </c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ht="21" customHeight="1" x14ac:dyDescent="0.3">
      <c r="A119" s="21" cm="1">
        <f t="array" ref="A119">1+COUNT(_xlfn.UNIQUE(_xlfn._xlws.FILTER($F$4:$F$127, $F$4:$F$127 &gt; F119)))</f>
        <v>1</v>
      </c>
      <c r="B119" s="2" t="s">
        <v>19</v>
      </c>
      <c r="C119" s="2"/>
      <c r="D119" s="2"/>
      <c r="E119" s="2"/>
      <c r="F119" s="15" t="e">
        <f t="shared" si="8"/>
        <v>#DIV/0!</v>
      </c>
      <c r="G119" s="19">
        <v>0.5</v>
      </c>
      <c r="H119" s="17" t="e">
        <f t="shared" si="9"/>
        <v>#DIV/0!</v>
      </c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ht="21" customHeight="1" x14ac:dyDescent="0.3">
      <c r="A120" s="21" cm="1">
        <f t="array" ref="A120">1+COUNT(_xlfn.UNIQUE(_xlfn._xlws.FILTER($F$4:$F$127, $F$4:$F$127 &gt; F120)))</f>
        <v>1</v>
      </c>
      <c r="B120" s="2" t="s">
        <v>81</v>
      </c>
      <c r="C120" s="2"/>
      <c r="D120" s="2"/>
      <c r="E120" s="2"/>
      <c r="F120" s="15" t="e">
        <f t="shared" si="8"/>
        <v>#DIV/0!</v>
      </c>
      <c r="G120" s="19">
        <v>0.5</v>
      </c>
      <c r="H120" s="17" t="e">
        <f t="shared" si="9"/>
        <v>#DIV/0!</v>
      </c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 ht="21" customHeight="1" x14ac:dyDescent="0.3">
      <c r="A121" s="21" cm="1">
        <f t="array" ref="A121">1+COUNT(_xlfn.UNIQUE(_xlfn._xlws.FILTER($F$4:$F$127, $F$4:$F$127 &gt; F121)))</f>
        <v>1</v>
      </c>
      <c r="B121" s="2" t="s">
        <v>88</v>
      </c>
      <c r="C121" s="2"/>
      <c r="D121" s="2"/>
      <c r="E121" s="2"/>
      <c r="F121" s="15" t="e">
        <f t="shared" si="8"/>
        <v>#DIV/0!</v>
      </c>
      <c r="G121" s="19">
        <v>0.5</v>
      </c>
      <c r="H121" s="17" t="e">
        <f t="shared" si="9"/>
        <v>#DIV/0!</v>
      </c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 ht="21" customHeight="1" x14ac:dyDescent="0.3">
      <c r="A122" s="21" cm="1">
        <f t="array" ref="A122">1+COUNT(_xlfn.UNIQUE(_xlfn._xlws.FILTER($F$4:$F$127, $F$4:$F$127 &gt; F122)))</f>
        <v>1</v>
      </c>
      <c r="B122" s="2" t="s">
        <v>41</v>
      </c>
      <c r="C122" s="2"/>
      <c r="D122" s="2"/>
      <c r="E122" s="2"/>
      <c r="F122" s="15" t="e">
        <f t="shared" si="8"/>
        <v>#DIV/0!</v>
      </c>
      <c r="G122" s="19">
        <v>0.5</v>
      </c>
      <c r="H122" s="17" t="e">
        <f t="shared" si="9"/>
        <v>#DIV/0!</v>
      </c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 ht="21" customHeight="1" x14ac:dyDescent="0.3">
      <c r="A123" s="21" cm="1">
        <f t="array" ref="A123">1+COUNT(_xlfn.UNIQUE(_xlfn._xlws.FILTER($F$4:$F$127, $F$4:$F$127 &gt; F123)))</f>
        <v>1</v>
      </c>
      <c r="B123" s="2" t="s">
        <v>53</v>
      </c>
      <c r="C123" s="2"/>
      <c r="D123" s="2"/>
      <c r="E123" s="2"/>
      <c r="F123" s="15" t="e">
        <f t="shared" si="8"/>
        <v>#DIV/0!</v>
      </c>
      <c r="G123" s="19">
        <v>0.5</v>
      </c>
      <c r="H123" s="17" t="e">
        <f t="shared" si="9"/>
        <v>#DIV/0!</v>
      </c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ht="21" customHeight="1" x14ac:dyDescent="0.3">
      <c r="A124" s="21" cm="1">
        <f t="array" ref="A124">1+COUNT(_xlfn.UNIQUE(_xlfn._xlws.FILTER($F$4:$F$127, $F$4:$F$127 &gt; F124)))</f>
        <v>1</v>
      </c>
      <c r="B124" s="2" t="s">
        <v>1</v>
      </c>
      <c r="C124" s="2"/>
      <c r="D124" s="2"/>
      <c r="E124" s="2"/>
      <c r="F124" s="15" t="e">
        <f t="shared" si="8"/>
        <v>#DIV/0!</v>
      </c>
      <c r="G124" s="19">
        <v>0.5</v>
      </c>
      <c r="H124" s="17" t="e">
        <f t="shared" si="9"/>
        <v>#DIV/0!</v>
      </c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 ht="21" customHeight="1" x14ac:dyDescent="0.3">
      <c r="A125" s="21" cm="1">
        <f t="array" ref="A125">1+COUNT(_xlfn.UNIQUE(_xlfn._xlws.FILTER($F$4:$F$127, $F$4:$F$127 &gt; F125)))</f>
        <v>1</v>
      </c>
      <c r="B125" s="2" t="s">
        <v>99</v>
      </c>
      <c r="C125" s="2"/>
      <c r="D125" s="2"/>
      <c r="E125" s="2"/>
      <c r="F125" s="15" t="e">
        <f t="shared" si="8"/>
        <v>#DIV/0!</v>
      </c>
      <c r="G125" s="19">
        <v>0.5</v>
      </c>
      <c r="H125" s="17" t="e">
        <f t="shared" si="9"/>
        <v>#DIV/0!</v>
      </c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 ht="21" customHeight="1" x14ac:dyDescent="0.3">
      <c r="A126" s="21" cm="1">
        <f t="array" ref="A126">1+COUNT(_xlfn.UNIQUE(_xlfn._xlws.FILTER($F$4:$F$127, $F$4:$F$127 &gt; F126)))</f>
        <v>1</v>
      </c>
      <c r="B126" s="2" t="s">
        <v>25</v>
      </c>
      <c r="C126" s="2"/>
      <c r="D126" s="2"/>
      <c r="E126" s="2"/>
      <c r="F126" s="15" t="e">
        <f t="shared" si="8"/>
        <v>#DIV/0!</v>
      </c>
      <c r="G126" s="19">
        <v>0.5</v>
      </c>
      <c r="H126" s="17" t="e">
        <f t="shared" si="9"/>
        <v>#DIV/0!</v>
      </c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 ht="21" customHeight="1" x14ac:dyDescent="0.3">
      <c r="A127" s="21" cm="1">
        <f t="array" ref="A127">1+COUNT(_xlfn.UNIQUE(_xlfn._xlws.FILTER($F$4:$F$127, $F$4:$F$127 &gt; F127)))</f>
        <v>1</v>
      </c>
      <c r="B127" s="2" t="s">
        <v>121</v>
      </c>
      <c r="C127" s="2"/>
      <c r="D127" s="2"/>
      <c r="E127" s="2"/>
      <c r="F127" s="15" t="e">
        <f t="shared" si="8"/>
        <v>#DIV/0!</v>
      </c>
      <c r="G127" s="19">
        <v>0.5</v>
      </c>
      <c r="H127" s="17" t="e">
        <f t="shared" si="9"/>
        <v>#DIV/0!</v>
      </c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ht="21" customHeight="1" x14ac:dyDescent="0.3">
      <c r="A128" s="22"/>
      <c r="B128" s="18"/>
      <c r="C128" s="18"/>
      <c r="D128" s="18"/>
      <c r="E128" s="18"/>
      <c r="F128" s="18"/>
      <c r="G128" s="18"/>
      <c r="H128" s="20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ht="21" customHeight="1" x14ac:dyDescent="0.3">
      <c r="A129" s="22"/>
      <c r="B129" s="18"/>
      <c r="C129" s="18"/>
      <c r="D129" s="18"/>
      <c r="E129" s="18"/>
      <c r="F129" s="18"/>
      <c r="G129" s="18"/>
      <c r="H129" s="20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ht="21" customHeight="1" x14ac:dyDescent="0.3">
      <c r="A130" s="22"/>
      <c r="B130" s="18"/>
      <c r="C130" s="18"/>
      <c r="D130" s="18"/>
      <c r="E130" s="18"/>
      <c r="F130" s="18"/>
      <c r="G130" s="18"/>
      <c r="H130" s="20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ht="21" customHeight="1" x14ac:dyDescent="0.3">
      <c r="A131" s="22"/>
      <c r="B131" s="18"/>
      <c r="C131" s="18"/>
      <c r="D131" s="18"/>
      <c r="E131" s="18"/>
      <c r="F131" s="18"/>
      <c r="G131" s="18"/>
      <c r="H131" s="20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 ht="21" customHeight="1" x14ac:dyDescent="0.3">
      <c r="A132" s="22"/>
      <c r="B132" s="18"/>
      <c r="C132" s="18"/>
      <c r="D132" s="18"/>
      <c r="E132" s="18"/>
      <c r="F132" s="18"/>
      <c r="G132" s="18"/>
      <c r="H132" s="20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ht="21" customHeight="1" x14ac:dyDescent="0.3">
      <c r="A133" s="22"/>
      <c r="B133" s="18"/>
      <c r="C133" s="18"/>
      <c r="D133" s="18"/>
      <c r="E133" s="18"/>
      <c r="F133" s="18"/>
      <c r="G133" s="18"/>
      <c r="H133" s="20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 ht="21" customHeight="1" x14ac:dyDescent="0.3">
      <c r="A134" s="22"/>
      <c r="B134" s="18"/>
      <c r="C134" s="18"/>
      <c r="D134" s="18"/>
      <c r="E134" s="18"/>
      <c r="F134" s="18"/>
      <c r="G134" s="18"/>
      <c r="H134" s="20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 ht="21" customHeight="1" x14ac:dyDescent="0.3">
      <c r="A135" s="22"/>
      <c r="B135" s="18"/>
      <c r="C135" s="18"/>
      <c r="D135" s="18"/>
      <c r="E135" s="18"/>
      <c r="F135" s="18"/>
      <c r="G135" s="18"/>
      <c r="H135" s="20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 ht="21" customHeight="1" x14ac:dyDescent="0.3">
      <c r="A136" s="22"/>
      <c r="B136" s="18"/>
      <c r="C136" s="18"/>
      <c r="D136" s="18"/>
      <c r="E136" s="18"/>
      <c r="F136" s="18"/>
      <c r="G136" s="18"/>
      <c r="H136" s="20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 ht="21" customHeight="1" x14ac:dyDescent="0.3">
      <c r="A137" s="22"/>
      <c r="B137" s="18"/>
      <c r="C137" s="18"/>
      <c r="D137" s="18"/>
      <c r="E137" s="18"/>
      <c r="F137" s="18"/>
      <c r="G137" s="18"/>
      <c r="H137" s="20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ht="21" customHeight="1" x14ac:dyDescent="0.3">
      <c r="A138" s="22"/>
      <c r="B138" s="18"/>
      <c r="C138" s="18"/>
      <c r="D138" s="18"/>
      <c r="E138" s="18"/>
      <c r="F138" s="18"/>
      <c r="G138" s="18"/>
      <c r="H138" s="20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 ht="21" customHeight="1" x14ac:dyDescent="0.3">
      <c r="A139" s="22"/>
      <c r="B139" s="18"/>
      <c r="C139" s="18"/>
      <c r="D139" s="18"/>
      <c r="E139" s="18"/>
      <c r="F139" s="18"/>
      <c r="G139" s="18"/>
      <c r="H139" s="20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 ht="21" customHeight="1" x14ac:dyDescent="0.3">
      <c r="A140" s="22"/>
      <c r="B140" s="18"/>
      <c r="C140" s="18"/>
      <c r="D140" s="18"/>
      <c r="E140" s="18"/>
      <c r="F140" s="18"/>
      <c r="G140" s="18"/>
      <c r="H140" s="20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21" customHeight="1" x14ac:dyDescent="0.3">
      <c r="A141" s="22"/>
      <c r="B141" s="18"/>
      <c r="C141" s="18"/>
      <c r="D141" s="18"/>
      <c r="E141" s="18"/>
      <c r="F141" s="18"/>
      <c r="G141" s="18"/>
      <c r="H141" s="20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 ht="21" customHeight="1" x14ac:dyDescent="0.3">
      <c r="A142" s="22"/>
      <c r="B142" s="18"/>
      <c r="C142" s="18"/>
      <c r="D142" s="18"/>
      <c r="E142" s="18"/>
      <c r="F142" s="18"/>
      <c r="G142" s="18"/>
      <c r="H142" s="20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ht="21" customHeight="1" x14ac:dyDescent="0.3">
      <c r="A143" s="22"/>
      <c r="B143" s="18"/>
      <c r="C143" s="18"/>
      <c r="D143" s="18"/>
      <c r="E143" s="18"/>
      <c r="F143" s="18"/>
      <c r="G143" s="18"/>
      <c r="H143" s="20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 ht="21" customHeight="1" x14ac:dyDescent="0.3">
      <c r="A144" s="22"/>
      <c r="B144" s="18"/>
      <c r="C144" s="18"/>
      <c r="D144" s="18"/>
      <c r="E144" s="18"/>
      <c r="F144" s="18"/>
      <c r="G144" s="18"/>
      <c r="H144" s="20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ht="21" customHeight="1" x14ac:dyDescent="0.3">
      <c r="A145" s="22"/>
      <c r="B145" s="18"/>
      <c r="C145" s="18"/>
      <c r="D145" s="18"/>
      <c r="E145" s="18"/>
      <c r="F145" s="18"/>
      <c r="G145" s="18"/>
      <c r="H145" s="20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 ht="21" customHeight="1" x14ac:dyDescent="0.3">
      <c r="A146" s="22"/>
      <c r="B146" s="18"/>
      <c r="C146" s="18"/>
      <c r="D146" s="18"/>
      <c r="E146" s="18"/>
      <c r="F146" s="18"/>
      <c r="G146" s="18"/>
      <c r="H146" s="20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 ht="21" customHeight="1" x14ac:dyDescent="0.3">
      <c r="A147" s="22"/>
      <c r="B147" s="18"/>
      <c r="C147" s="18"/>
      <c r="D147" s="18"/>
      <c r="E147" s="18"/>
      <c r="F147" s="18"/>
      <c r="G147" s="18"/>
      <c r="H147" s="20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ht="21" customHeight="1" x14ac:dyDescent="0.3">
      <c r="A148" s="22"/>
      <c r="B148" s="18"/>
      <c r="C148" s="18"/>
      <c r="D148" s="18"/>
      <c r="E148" s="18"/>
      <c r="F148" s="18"/>
      <c r="G148" s="18"/>
      <c r="H148" s="20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ht="21" customHeight="1" x14ac:dyDescent="0.3">
      <c r="A149" s="22"/>
      <c r="B149" s="18"/>
      <c r="C149" s="18"/>
      <c r="D149" s="18"/>
      <c r="E149" s="18"/>
      <c r="F149" s="18"/>
      <c r="G149" s="18"/>
      <c r="H149" s="20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 ht="21" customHeight="1" x14ac:dyDescent="0.3">
      <c r="A150" s="22"/>
      <c r="B150" s="18"/>
      <c r="C150" s="18"/>
      <c r="D150" s="18"/>
      <c r="E150" s="18"/>
      <c r="F150" s="18"/>
      <c r="G150" s="18"/>
      <c r="H150" s="20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ht="21" customHeight="1" x14ac:dyDescent="0.3">
      <c r="A151" s="22"/>
      <c r="B151" s="18"/>
      <c r="C151" s="18"/>
      <c r="D151" s="18"/>
      <c r="E151" s="18"/>
      <c r="F151" s="18"/>
      <c r="G151" s="18"/>
      <c r="H151" s="20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 ht="21" customHeight="1" x14ac:dyDescent="0.3">
      <c r="A152" s="22"/>
      <c r="B152" s="18"/>
      <c r="C152" s="18"/>
      <c r="D152" s="18"/>
      <c r="E152" s="18"/>
      <c r="F152" s="18"/>
      <c r="G152" s="18"/>
      <c r="H152" s="20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 ht="21" customHeight="1" x14ac:dyDescent="0.3">
      <c r="A153" s="22"/>
      <c r="B153" s="18"/>
      <c r="C153" s="18"/>
      <c r="D153" s="18"/>
      <c r="E153" s="18"/>
      <c r="F153" s="18"/>
      <c r="G153" s="18"/>
      <c r="H153" s="20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 ht="21" customHeight="1" x14ac:dyDescent="0.3">
      <c r="A154" s="22"/>
      <c r="B154" s="18"/>
      <c r="C154" s="18"/>
      <c r="D154" s="18"/>
      <c r="E154" s="18"/>
      <c r="F154" s="18"/>
      <c r="G154" s="18"/>
      <c r="H154" s="20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 ht="21" customHeight="1" x14ac:dyDescent="0.3">
      <c r="A155" s="22"/>
      <c r="B155" s="18"/>
      <c r="C155" s="18"/>
      <c r="D155" s="18"/>
      <c r="E155" s="18"/>
      <c r="F155" s="18"/>
      <c r="G155" s="18"/>
      <c r="H155" s="20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 ht="21" customHeight="1" x14ac:dyDescent="0.3">
      <c r="A156" s="22"/>
      <c r="B156" s="18"/>
      <c r="C156" s="18"/>
      <c r="D156" s="18"/>
      <c r="E156" s="18"/>
      <c r="F156" s="18"/>
      <c r="G156" s="18"/>
      <c r="H156" s="20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 ht="21" customHeight="1" x14ac:dyDescent="0.3">
      <c r="A157" s="22"/>
      <c r="B157" s="18"/>
      <c r="C157" s="18"/>
      <c r="D157" s="18"/>
      <c r="E157" s="18"/>
      <c r="F157" s="18"/>
      <c r="G157" s="18"/>
      <c r="H157" s="20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 ht="21" customHeight="1" x14ac:dyDescent="0.3">
      <c r="A158" s="22"/>
      <c r="B158" s="18"/>
      <c r="C158" s="18"/>
      <c r="D158" s="18"/>
      <c r="E158" s="18"/>
      <c r="F158" s="18"/>
      <c r="G158" s="18"/>
      <c r="H158" s="20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 ht="21" customHeight="1" x14ac:dyDescent="0.3">
      <c r="A159" s="22"/>
      <c r="B159" s="18"/>
      <c r="C159" s="18"/>
      <c r="D159" s="18"/>
      <c r="E159" s="18"/>
      <c r="F159" s="18"/>
      <c r="G159" s="18"/>
      <c r="H159" s="20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ht="21" customHeight="1" x14ac:dyDescent="0.3">
      <c r="A160" s="22"/>
      <c r="B160" s="18"/>
      <c r="C160" s="18"/>
      <c r="D160" s="18"/>
      <c r="E160" s="18"/>
      <c r="F160" s="18"/>
      <c r="G160" s="18"/>
      <c r="H160" s="20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 ht="21" customHeight="1" x14ac:dyDescent="0.3">
      <c r="A161" s="22"/>
      <c r="B161" s="18"/>
      <c r="C161" s="18"/>
      <c r="D161" s="18"/>
      <c r="E161" s="18"/>
      <c r="F161" s="18"/>
      <c r="G161" s="18"/>
      <c r="H161" s="20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 ht="21" customHeight="1" x14ac:dyDescent="0.3">
      <c r="A162" s="22"/>
      <c r="B162" s="18"/>
      <c r="C162" s="18"/>
      <c r="D162" s="18"/>
      <c r="E162" s="18"/>
      <c r="F162" s="18"/>
      <c r="G162" s="18"/>
      <c r="H162" s="20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 ht="21" customHeight="1" x14ac:dyDescent="0.3">
      <c r="A163" s="22"/>
      <c r="B163" s="18"/>
      <c r="C163" s="18"/>
      <c r="D163" s="18"/>
      <c r="E163" s="18"/>
      <c r="F163" s="18"/>
      <c r="G163" s="18"/>
      <c r="H163" s="20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ht="21" customHeight="1" x14ac:dyDescent="0.3">
      <c r="A164" s="22"/>
      <c r="B164" s="18"/>
      <c r="C164" s="18"/>
      <c r="D164" s="18"/>
      <c r="E164" s="18"/>
      <c r="F164" s="18"/>
      <c r="G164" s="18"/>
      <c r="H164" s="20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21" customHeight="1" x14ac:dyDescent="0.3">
      <c r="A165" s="22"/>
      <c r="B165" s="18"/>
      <c r="C165" s="18"/>
      <c r="D165" s="18"/>
      <c r="E165" s="18"/>
      <c r="F165" s="18"/>
      <c r="G165" s="18"/>
      <c r="H165" s="20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 ht="21" customHeight="1" x14ac:dyDescent="0.3">
      <c r="A166" s="22"/>
      <c r="B166" s="18"/>
      <c r="C166" s="18"/>
      <c r="D166" s="18"/>
      <c r="E166" s="18"/>
      <c r="F166" s="18"/>
      <c r="G166" s="18"/>
      <c r="H166" s="20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 x14ac:dyDescent="0.3">
      <c r="A167" s="22"/>
      <c r="B167" s="18"/>
      <c r="C167" s="18"/>
      <c r="D167" s="18"/>
      <c r="E167" s="18"/>
      <c r="F167" s="18"/>
      <c r="G167" s="18"/>
      <c r="H167" s="20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 x14ac:dyDescent="0.3">
      <c r="A168" s="22"/>
      <c r="B168" s="18"/>
      <c r="C168" s="18"/>
      <c r="D168" s="18"/>
      <c r="E168" s="18"/>
      <c r="F168" s="18"/>
      <c r="G168" s="18"/>
      <c r="H168" s="20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 x14ac:dyDescent="0.3">
      <c r="A169" s="22"/>
      <c r="B169" s="18"/>
      <c r="C169" s="18"/>
      <c r="D169" s="18"/>
      <c r="E169" s="18"/>
      <c r="F169" s="18"/>
      <c r="G169" s="18"/>
      <c r="H169" s="20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x14ac:dyDescent="0.3">
      <c r="A170" s="22"/>
      <c r="B170" s="18"/>
      <c r="C170" s="18"/>
      <c r="D170" s="18"/>
      <c r="E170" s="18"/>
      <c r="F170" s="18"/>
      <c r="G170" s="18"/>
      <c r="H170" s="20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x14ac:dyDescent="0.3">
      <c r="A171" s="22"/>
      <c r="B171" s="18"/>
      <c r="C171" s="18"/>
      <c r="D171" s="18"/>
      <c r="E171" s="18"/>
      <c r="F171" s="18"/>
      <c r="G171" s="18"/>
      <c r="H171" s="20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x14ac:dyDescent="0.3">
      <c r="A172" s="22"/>
      <c r="B172" s="18"/>
      <c r="C172" s="18"/>
      <c r="D172" s="18"/>
      <c r="E172" s="18"/>
      <c r="F172" s="18"/>
      <c r="G172" s="18"/>
      <c r="H172" s="20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 x14ac:dyDescent="0.3">
      <c r="A173" s="22"/>
      <c r="B173" s="18"/>
      <c r="C173" s="18"/>
      <c r="D173" s="18"/>
      <c r="E173" s="18"/>
      <c r="F173" s="18"/>
      <c r="G173" s="18"/>
      <c r="H173" s="20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x14ac:dyDescent="0.3">
      <c r="A174" s="22"/>
      <c r="B174" s="18"/>
      <c r="C174" s="18"/>
      <c r="D174" s="18"/>
      <c r="E174" s="18"/>
      <c r="F174" s="18"/>
      <c r="G174" s="18"/>
      <c r="H174" s="20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x14ac:dyDescent="0.3">
      <c r="A175" s="22"/>
      <c r="B175" s="18"/>
      <c r="C175" s="18"/>
      <c r="D175" s="18"/>
      <c r="E175" s="18"/>
      <c r="F175" s="18"/>
      <c r="G175" s="18"/>
      <c r="H175" s="20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x14ac:dyDescent="0.3">
      <c r="A176" s="22"/>
      <c r="B176" s="18"/>
      <c r="C176" s="18"/>
      <c r="D176" s="18"/>
      <c r="E176" s="18"/>
      <c r="F176" s="18"/>
      <c r="G176" s="18"/>
      <c r="H176" s="20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x14ac:dyDescent="0.3">
      <c r="A177" s="22"/>
      <c r="B177" s="18"/>
      <c r="C177" s="18"/>
      <c r="D177" s="18"/>
      <c r="E177" s="18"/>
      <c r="F177" s="18"/>
      <c r="G177" s="18"/>
      <c r="H177" s="20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 x14ac:dyDescent="0.3">
      <c r="A178" s="22"/>
      <c r="B178" s="18"/>
      <c r="C178" s="18"/>
      <c r="D178" s="18"/>
      <c r="E178" s="18"/>
      <c r="F178" s="18"/>
      <c r="G178" s="18"/>
      <c r="H178" s="20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 x14ac:dyDescent="0.3">
      <c r="A179" s="22"/>
      <c r="B179" s="18"/>
      <c r="C179" s="18"/>
      <c r="D179" s="18"/>
      <c r="E179" s="18"/>
      <c r="F179" s="18"/>
      <c r="G179" s="18"/>
      <c r="H179" s="20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 x14ac:dyDescent="0.3">
      <c r="A180" s="22"/>
      <c r="B180" s="18"/>
      <c r="C180" s="18"/>
      <c r="D180" s="18"/>
      <c r="E180" s="18"/>
      <c r="F180" s="18"/>
      <c r="G180" s="18"/>
      <c r="H180" s="20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x14ac:dyDescent="0.3">
      <c r="A181" s="22"/>
      <c r="B181" s="18"/>
      <c r="C181" s="18"/>
      <c r="D181" s="18"/>
      <c r="E181" s="18"/>
      <c r="F181" s="18"/>
      <c r="G181" s="18"/>
      <c r="H181" s="20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 x14ac:dyDescent="0.3">
      <c r="A182" s="22"/>
      <c r="B182" s="18"/>
      <c r="C182" s="18"/>
      <c r="D182" s="18"/>
      <c r="E182" s="18"/>
      <c r="F182" s="18"/>
      <c r="G182" s="18"/>
      <c r="H182" s="20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 x14ac:dyDescent="0.3">
      <c r="A183" s="22"/>
      <c r="B183" s="18"/>
      <c r="C183" s="18"/>
      <c r="D183" s="18"/>
      <c r="E183" s="18"/>
      <c r="F183" s="18"/>
      <c r="G183" s="18"/>
      <c r="H183" s="20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 x14ac:dyDescent="0.3">
      <c r="A184" s="22"/>
      <c r="B184" s="18"/>
      <c r="C184" s="18"/>
      <c r="D184" s="18"/>
      <c r="E184" s="18"/>
      <c r="F184" s="18"/>
      <c r="G184" s="18"/>
      <c r="H184" s="20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 x14ac:dyDescent="0.3">
      <c r="A185" s="22"/>
      <c r="B185" s="18"/>
      <c r="C185" s="18"/>
      <c r="D185" s="18"/>
      <c r="E185" s="18"/>
      <c r="F185" s="18"/>
      <c r="G185" s="18"/>
      <c r="H185" s="20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 x14ac:dyDescent="0.3">
      <c r="A186" s="22"/>
      <c r="B186" s="18"/>
      <c r="C186" s="18"/>
      <c r="D186" s="18"/>
      <c r="E186" s="18"/>
      <c r="F186" s="18"/>
      <c r="G186" s="18"/>
      <c r="H186" s="20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 x14ac:dyDescent="0.3">
      <c r="A187" s="22"/>
      <c r="B187" s="18"/>
      <c r="C187" s="18"/>
      <c r="D187" s="18"/>
      <c r="E187" s="18"/>
      <c r="F187" s="18"/>
      <c r="G187" s="18"/>
      <c r="H187" s="20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1:25" x14ac:dyDescent="0.3">
      <c r="A188" s="22"/>
      <c r="B188" s="18"/>
      <c r="C188" s="18"/>
      <c r="D188" s="18"/>
      <c r="E188" s="18"/>
      <c r="F188" s="18"/>
      <c r="G188" s="18"/>
      <c r="H188" s="20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1:25" x14ac:dyDescent="0.3">
      <c r="A189" s="22"/>
      <c r="B189" s="18"/>
      <c r="C189" s="18"/>
      <c r="D189" s="18"/>
      <c r="E189" s="18"/>
      <c r="F189" s="18"/>
      <c r="G189" s="18"/>
      <c r="H189" s="20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1:25" x14ac:dyDescent="0.3">
      <c r="A190" s="22"/>
      <c r="B190" s="18"/>
      <c r="C190" s="18"/>
      <c r="D190" s="18"/>
      <c r="E190" s="18"/>
      <c r="F190" s="18"/>
      <c r="G190" s="18"/>
      <c r="H190" s="20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spans="1:25" x14ac:dyDescent="0.3">
      <c r="A191" s="22"/>
      <c r="B191" s="18"/>
      <c r="C191" s="18"/>
      <c r="D191" s="18"/>
      <c r="E191" s="18"/>
      <c r="F191" s="18"/>
      <c r="G191" s="18"/>
      <c r="H191" s="20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25" x14ac:dyDescent="0.3">
      <c r="A192" s="22"/>
      <c r="B192" s="18"/>
      <c r="C192" s="18"/>
      <c r="D192" s="18"/>
      <c r="E192" s="18"/>
      <c r="F192" s="18"/>
      <c r="G192" s="18"/>
      <c r="H192" s="20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 x14ac:dyDescent="0.3">
      <c r="A193" s="22"/>
      <c r="B193" s="18"/>
      <c r="C193" s="18"/>
      <c r="D193" s="18"/>
      <c r="E193" s="18"/>
      <c r="F193" s="18"/>
      <c r="G193" s="18"/>
      <c r="H193" s="20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 x14ac:dyDescent="0.3">
      <c r="A194" s="22"/>
      <c r="B194" s="18"/>
      <c r="C194" s="18"/>
      <c r="D194" s="18"/>
      <c r="E194" s="18"/>
      <c r="F194" s="18"/>
      <c r="G194" s="18"/>
      <c r="H194" s="20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 x14ac:dyDescent="0.3">
      <c r="A195" s="22"/>
      <c r="B195" s="18"/>
      <c r="C195" s="18"/>
      <c r="D195" s="18"/>
      <c r="E195" s="18"/>
      <c r="F195" s="18"/>
      <c r="G195" s="18"/>
      <c r="H195" s="20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 x14ac:dyDescent="0.3">
      <c r="A196" s="22"/>
      <c r="B196" s="18"/>
      <c r="C196" s="18"/>
      <c r="D196" s="18"/>
      <c r="E196" s="18"/>
      <c r="F196" s="18"/>
      <c r="G196" s="18"/>
      <c r="H196" s="20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 x14ac:dyDescent="0.3">
      <c r="A197" s="22"/>
      <c r="B197" s="18"/>
      <c r="C197" s="18"/>
      <c r="D197" s="18"/>
      <c r="E197" s="18"/>
      <c r="F197" s="18"/>
      <c r="G197" s="18"/>
      <c r="H197" s="20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 x14ac:dyDescent="0.3">
      <c r="A198" s="22"/>
      <c r="B198" s="18"/>
      <c r="C198" s="18"/>
      <c r="D198" s="18"/>
      <c r="E198" s="18"/>
      <c r="F198" s="18"/>
      <c r="G198" s="18"/>
      <c r="H198" s="20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 x14ac:dyDescent="0.3">
      <c r="A199" s="22"/>
      <c r="B199" s="18"/>
      <c r="C199" s="18"/>
      <c r="D199" s="18"/>
      <c r="E199" s="18"/>
      <c r="F199" s="18"/>
      <c r="G199" s="18"/>
      <c r="H199" s="20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 x14ac:dyDescent="0.3">
      <c r="A200" s="22"/>
      <c r="B200" s="18"/>
      <c r="C200" s="18"/>
      <c r="D200" s="18"/>
      <c r="E200" s="18"/>
      <c r="F200" s="18"/>
      <c r="G200" s="18"/>
      <c r="H200" s="20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x14ac:dyDescent="0.3">
      <c r="A201" s="22"/>
      <c r="B201" s="18"/>
      <c r="C201" s="18"/>
      <c r="D201" s="18"/>
      <c r="E201" s="18"/>
      <c r="F201" s="18"/>
      <c r="G201" s="18"/>
      <c r="H201" s="20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 x14ac:dyDescent="0.3">
      <c r="A202" s="22"/>
      <c r="B202" s="18"/>
      <c r="C202" s="18"/>
      <c r="D202" s="18"/>
      <c r="E202" s="18"/>
      <c r="F202" s="18"/>
      <c r="G202" s="18"/>
      <c r="H202" s="20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x14ac:dyDescent="0.3">
      <c r="A203" s="22"/>
      <c r="B203" s="18"/>
      <c r="C203" s="18"/>
      <c r="D203" s="18"/>
      <c r="E203" s="18"/>
      <c r="F203" s="18"/>
      <c r="G203" s="18"/>
      <c r="H203" s="20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 x14ac:dyDescent="0.3">
      <c r="A204" s="22"/>
      <c r="B204" s="18"/>
      <c r="C204" s="18"/>
      <c r="D204" s="18"/>
      <c r="E204" s="18"/>
      <c r="F204" s="18"/>
      <c r="G204" s="18"/>
      <c r="H204" s="20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 x14ac:dyDescent="0.3">
      <c r="A205" s="22"/>
      <c r="B205" s="18"/>
      <c r="C205" s="18"/>
      <c r="D205" s="18"/>
      <c r="E205" s="18"/>
      <c r="F205" s="18"/>
      <c r="G205" s="18"/>
      <c r="H205" s="20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 x14ac:dyDescent="0.3">
      <c r="A206" s="22"/>
      <c r="B206" s="18"/>
      <c r="C206" s="18"/>
      <c r="D206" s="18"/>
      <c r="E206" s="18"/>
      <c r="F206" s="18"/>
      <c r="G206" s="18"/>
      <c r="H206" s="20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 x14ac:dyDescent="0.3">
      <c r="A207" s="22"/>
      <c r="B207" s="18"/>
      <c r="C207" s="18"/>
      <c r="D207" s="18"/>
      <c r="E207" s="18"/>
      <c r="F207" s="18"/>
      <c r="G207" s="18"/>
      <c r="H207" s="20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 x14ac:dyDescent="0.3">
      <c r="A208" s="22"/>
      <c r="B208" s="18"/>
      <c r="C208" s="18"/>
      <c r="D208" s="18"/>
      <c r="E208" s="18"/>
      <c r="F208" s="18"/>
      <c r="G208" s="18"/>
      <c r="H208" s="20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 x14ac:dyDescent="0.3">
      <c r="A209" s="22"/>
      <c r="B209" s="18"/>
      <c r="C209" s="18"/>
      <c r="D209" s="18"/>
      <c r="E209" s="18"/>
      <c r="F209" s="18"/>
      <c r="G209" s="18"/>
      <c r="H209" s="20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 x14ac:dyDescent="0.3">
      <c r="A210" s="22"/>
      <c r="B210" s="18"/>
      <c r="C210" s="18"/>
      <c r="D210" s="18"/>
      <c r="E210" s="18"/>
      <c r="F210" s="18"/>
      <c r="G210" s="18"/>
      <c r="H210" s="20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 x14ac:dyDescent="0.3">
      <c r="A211" s="22"/>
      <c r="B211" s="18"/>
      <c r="C211" s="18"/>
      <c r="D211" s="18"/>
      <c r="E211" s="18"/>
      <c r="F211" s="18"/>
      <c r="G211" s="18"/>
      <c r="H211" s="20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 x14ac:dyDescent="0.3">
      <c r="A212" s="22"/>
      <c r="B212" s="18"/>
      <c r="C212" s="18"/>
      <c r="D212" s="18"/>
      <c r="E212" s="18"/>
      <c r="F212" s="18"/>
      <c r="G212" s="18"/>
      <c r="H212" s="20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x14ac:dyDescent="0.3">
      <c r="A213" s="22"/>
      <c r="B213" s="18"/>
      <c r="C213" s="18"/>
      <c r="D213" s="18"/>
      <c r="E213" s="18"/>
      <c r="F213" s="18"/>
      <c r="G213" s="18"/>
      <c r="H213" s="20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 x14ac:dyDescent="0.3">
      <c r="A214" s="22"/>
      <c r="B214" s="18"/>
      <c r="C214" s="18"/>
      <c r="D214" s="18"/>
      <c r="E214" s="18"/>
      <c r="F214" s="18"/>
      <c r="G214" s="18"/>
      <c r="H214" s="20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 x14ac:dyDescent="0.3">
      <c r="A215" s="22"/>
      <c r="B215" s="18"/>
      <c r="C215" s="18"/>
      <c r="D215" s="18"/>
      <c r="E215" s="18"/>
      <c r="F215" s="18"/>
      <c r="G215" s="18"/>
      <c r="H215" s="20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 x14ac:dyDescent="0.3">
      <c r="A216" s="22"/>
      <c r="B216" s="18"/>
      <c r="C216" s="18"/>
      <c r="D216" s="18"/>
      <c r="E216" s="18"/>
      <c r="F216" s="18"/>
      <c r="G216" s="18"/>
      <c r="H216" s="20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 x14ac:dyDescent="0.3">
      <c r="A217" s="22"/>
      <c r="B217" s="18"/>
      <c r="C217" s="18"/>
      <c r="D217" s="18"/>
      <c r="E217" s="18"/>
      <c r="F217" s="18"/>
      <c r="G217" s="18"/>
      <c r="H217" s="20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 x14ac:dyDescent="0.3">
      <c r="A218" s="22"/>
      <c r="B218" s="18"/>
      <c r="C218" s="18"/>
      <c r="D218" s="18"/>
      <c r="E218" s="18"/>
      <c r="F218" s="18"/>
      <c r="G218" s="18"/>
      <c r="H218" s="20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x14ac:dyDescent="0.3">
      <c r="A219" s="22"/>
      <c r="B219" s="18"/>
      <c r="C219" s="18"/>
      <c r="D219" s="18"/>
      <c r="E219" s="18"/>
      <c r="F219" s="18"/>
      <c r="G219" s="18"/>
      <c r="H219" s="20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 x14ac:dyDescent="0.3">
      <c r="A220" s="22"/>
      <c r="B220" s="18"/>
      <c r="C220" s="18"/>
      <c r="D220" s="18"/>
      <c r="E220" s="18"/>
      <c r="F220" s="18"/>
      <c r="G220" s="18"/>
      <c r="H220" s="20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 x14ac:dyDescent="0.3">
      <c r="A221" s="22"/>
      <c r="B221" s="18"/>
      <c r="C221" s="18"/>
      <c r="D221" s="18"/>
      <c r="E221" s="18"/>
      <c r="F221" s="18"/>
      <c r="G221" s="18"/>
      <c r="H221" s="20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x14ac:dyDescent="0.3">
      <c r="A222" s="22"/>
      <c r="B222" s="18"/>
      <c r="C222" s="18"/>
      <c r="D222" s="18"/>
      <c r="E222" s="18"/>
      <c r="F222" s="18"/>
      <c r="G222" s="18"/>
      <c r="H222" s="20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x14ac:dyDescent="0.3">
      <c r="A223" s="22"/>
      <c r="B223" s="18"/>
      <c r="C223" s="18"/>
      <c r="D223" s="18"/>
      <c r="E223" s="18"/>
      <c r="F223" s="18"/>
      <c r="G223" s="18"/>
      <c r="H223" s="20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x14ac:dyDescent="0.3">
      <c r="A224" s="22"/>
      <c r="B224" s="18"/>
      <c r="C224" s="18"/>
      <c r="D224" s="18"/>
      <c r="E224" s="18"/>
      <c r="F224" s="18"/>
      <c r="G224" s="18"/>
      <c r="H224" s="20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x14ac:dyDescent="0.3">
      <c r="A225" s="22"/>
      <c r="B225" s="18"/>
      <c r="C225" s="18"/>
      <c r="D225" s="18"/>
      <c r="E225" s="18"/>
      <c r="F225" s="18"/>
      <c r="G225" s="18"/>
      <c r="H225" s="20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x14ac:dyDescent="0.3">
      <c r="A226" s="22"/>
      <c r="B226" s="18"/>
      <c r="C226" s="18"/>
      <c r="D226" s="18"/>
      <c r="E226" s="18"/>
      <c r="F226" s="18"/>
      <c r="G226" s="18"/>
      <c r="H226" s="20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x14ac:dyDescent="0.3">
      <c r="A227" s="22"/>
      <c r="B227" s="18"/>
      <c r="C227" s="18"/>
      <c r="D227" s="18"/>
      <c r="E227" s="18"/>
      <c r="F227" s="18"/>
      <c r="G227" s="18"/>
      <c r="H227" s="20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x14ac:dyDescent="0.3">
      <c r="A228" s="22"/>
      <c r="B228" s="18"/>
      <c r="C228" s="18"/>
      <c r="D228" s="18"/>
      <c r="E228" s="18"/>
      <c r="F228" s="18"/>
      <c r="G228" s="18"/>
      <c r="H228" s="20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x14ac:dyDescent="0.3">
      <c r="A229" s="22"/>
      <c r="B229" s="18"/>
      <c r="C229" s="18"/>
      <c r="D229" s="18"/>
      <c r="E229" s="18"/>
      <c r="F229" s="18"/>
      <c r="G229" s="18"/>
      <c r="H229" s="20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x14ac:dyDescent="0.3">
      <c r="A230" s="22"/>
      <c r="B230" s="18"/>
      <c r="C230" s="18"/>
      <c r="D230" s="18"/>
      <c r="E230" s="18"/>
      <c r="F230" s="18"/>
      <c r="G230" s="18"/>
      <c r="H230" s="20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x14ac:dyDescent="0.3">
      <c r="A231" s="22"/>
      <c r="B231" s="18"/>
      <c r="C231" s="18"/>
      <c r="D231" s="18"/>
      <c r="E231" s="18"/>
      <c r="F231" s="18"/>
      <c r="G231" s="18"/>
      <c r="H231" s="20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x14ac:dyDescent="0.3">
      <c r="A232" s="22"/>
      <c r="B232" s="18"/>
      <c r="C232" s="18"/>
      <c r="D232" s="18"/>
      <c r="E232" s="18"/>
      <c r="F232" s="18"/>
      <c r="G232" s="18"/>
      <c r="H232" s="20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x14ac:dyDescent="0.3">
      <c r="A233" s="22"/>
      <c r="B233" s="18"/>
      <c r="C233" s="18"/>
      <c r="D233" s="18"/>
      <c r="E233" s="18"/>
      <c r="F233" s="18"/>
      <c r="G233" s="18"/>
      <c r="H233" s="20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x14ac:dyDescent="0.3">
      <c r="A234" s="22"/>
      <c r="B234" s="18"/>
      <c r="C234" s="18"/>
      <c r="D234" s="18"/>
      <c r="E234" s="18"/>
      <c r="F234" s="18"/>
      <c r="G234" s="18"/>
      <c r="H234" s="20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 x14ac:dyDescent="0.3">
      <c r="A235" s="22"/>
      <c r="B235" s="18"/>
      <c r="C235" s="18"/>
      <c r="D235" s="18"/>
      <c r="E235" s="18"/>
      <c r="F235" s="18"/>
      <c r="G235" s="18"/>
      <c r="H235" s="20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x14ac:dyDescent="0.3">
      <c r="A236" s="22"/>
      <c r="B236" s="18"/>
      <c r="C236" s="18"/>
      <c r="D236" s="18"/>
      <c r="E236" s="18"/>
      <c r="F236" s="18"/>
      <c r="G236" s="18"/>
      <c r="H236" s="20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x14ac:dyDescent="0.3">
      <c r="A237" s="22"/>
      <c r="B237" s="18"/>
      <c r="C237" s="18"/>
      <c r="D237" s="18"/>
      <c r="E237" s="18"/>
      <c r="F237" s="18"/>
      <c r="G237" s="18"/>
      <c r="H237" s="20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x14ac:dyDescent="0.3">
      <c r="A238" s="22"/>
      <c r="B238" s="18"/>
      <c r="C238" s="18"/>
      <c r="D238" s="18"/>
      <c r="E238" s="18"/>
      <c r="F238" s="18"/>
      <c r="G238" s="18"/>
      <c r="H238" s="20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x14ac:dyDescent="0.3">
      <c r="A239" s="22"/>
      <c r="B239" s="18"/>
      <c r="C239" s="18"/>
      <c r="D239" s="18"/>
      <c r="E239" s="18"/>
      <c r="F239" s="18"/>
      <c r="G239" s="18"/>
      <c r="H239" s="20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x14ac:dyDescent="0.3">
      <c r="A240" s="22"/>
      <c r="B240" s="18"/>
      <c r="C240" s="18"/>
      <c r="D240" s="18"/>
      <c r="E240" s="18"/>
      <c r="F240" s="18"/>
      <c r="G240" s="18"/>
      <c r="H240" s="20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x14ac:dyDescent="0.3">
      <c r="A241" s="22"/>
      <c r="B241" s="18"/>
      <c r="C241" s="18"/>
      <c r="D241" s="18"/>
      <c r="E241" s="18"/>
      <c r="F241" s="18"/>
      <c r="G241" s="18"/>
      <c r="H241" s="20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x14ac:dyDescent="0.3">
      <c r="A242" s="22"/>
      <c r="B242" s="18"/>
      <c r="C242" s="18"/>
      <c r="D242" s="18"/>
      <c r="E242" s="18"/>
      <c r="F242" s="18"/>
      <c r="G242" s="18"/>
      <c r="H242" s="20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x14ac:dyDescent="0.3">
      <c r="A243" s="22"/>
      <c r="B243" s="18"/>
      <c r="C243" s="18"/>
      <c r="D243" s="18"/>
      <c r="E243" s="18"/>
      <c r="F243" s="18"/>
      <c r="G243" s="18"/>
      <c r="H243" s="20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x14ac:dyDescent="0.3">
      <c r="A244" s="22"/>
      <c r="B244" s="18"/>
      <c r="C244" s="18"/>
      <c r="D244" s="18"/>
      <c r="E244" s="18"/>
      <c r="F244" s="18"/>
      <c r="G244" s="18"/>
      <c r="H244" s="20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x14ac:dyDescent="0.3">
      <c r="A245" s="22"/>
      <c r="B245" s="18"/>
      <c r="C245" s="18"/>
      <c r="D245" s="18"/>
      <c r="E245" s="18"/>
      <c r="F245" s="18"/>
      <c r="G245" s="18"/>
      <c r="H245" s="20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x14ac:dyDescent="0.3">
      <c r="A246" s="22"/>
      <c r="B246" s="18"/>
      <c r="C246" s="18"/>
      <c r="D246" s="18"/>
      <c r="E246" s="18"/>
      <c r="F246" s="18"/>
      <c r="G246" s="18"/>
      <c r="H246" s="20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x14ac:dyDescent="0.3">
      <c r="A247" s="22"/>
      <c r="B247" s="18"/>
      <c r="C247" s="18"/>
      <c r="D247" s="18"/>
      <c r="E247" s="18"/>
      <c r="F247" s="18"/>
      <c r="G247" s="18"/>
      <c r="H247" s="20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x14ac:dyDescent="0.3">
      <c r="A248" s="22"/>
      <c r="B248" s="18"/>
      <c r="C248" s="18"/>
      <c r="D248" s="18"/>
      <c r="E248" s="18"/>
      <c r="F248" s="18"/>
      <c r="G248" s="18"/>
      <c r="H248" s="20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x14ac:dyDescent="0.3">
      <c r="A249" s="22"/>
      <c r="B249" s="18"/>
      <c r="C249" s="18"/>
      <c r="D249" s="18"/>
      <c r="E249" s="18"/>
      <c r="F249" s="18"/>
      <c r="G249" s="18"/>
      <c r="H249" s="20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x14ac:dyDescent="0.3">
      <c r="A250" s="22"/>
      <c r="B250" s="18"/>
      <c r="C250" s="18"/>
      <c r="D250" s="18"/>
      <c r="E250" s="18"/>
      <c r="F250" s="18"/>
      <c r="G250" s="18"/>
      <c r="H250" s="20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x14ac:dyDescent="0.3">
      <c r="A251" s="22"/>
      <c r="B251" s="18"/>
      <c r="C251" s="18"/>
      <c r="D251" s="18"/>
      <c r="E251" s="18"/>
      <c r="F251" s="18"/>
      <c r="G251" s="18"/>
      <c r="H251" s="20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x14ac:dyDescent="0.3">
      <c r="A252" s="22"/>
      <c r="B252" s="18"/>
      <c r="C252" s="18"/>
      <c r="D252" s="18"/>
      <c r="E252" s="18"/>
      <c r="F252" s="18"/>
      <c r="G252" s="18"/>
      <c r="H252" s="20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x14ac:dyDescent="0.3">
      <c r="A253" s="22"/>
      <c r="B253" s="18"/>
      <c r="C253" s="18"/>
      <c r="D253" s="18"/>
      <c r="E253" s="18"/>
      <c r="F253" s="18"/>
      <c r="G253" s="18"/>
      <c r="H253" s="20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x14ac:dyDescent="0.3">
      <c r="A254" s="22"/>
      <c r="B254" s="18"/>
      <c r="C254" s="18"/>
      <c r="D254" s="18"/>
      <c r="E254" s="18"/>
      <c r="F254" s="18"/>
      <c r="G254" s="18"/>
      <c r="H254" s="20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x14ac:dyDescent="0.3">
      <c r="A255" s="22"/>
      <c r="B255" s="18"/>
      <c r="C255" s="18"/>
      <c r="D255" s="18"/>
      <c r="E255" s="18"/>
      <c r="F255" s="18"/>
      <c r="G255" s="18"/>
      <c r="H255" s="20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x14ac:dyDescent="0.3">
      <c r="A256" s="22"/>
      <c r="B256" s="18"/>
      <c r="C256" s="18"/>
      <c r="D256" s="18"/>
      <c r="E256" s="18"/>
      <c r="F256" s="18"/>
      <c r="G256" s="18"/>
      <c r="H256" s="20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x14ac:dyDescent="0.3">
      <c r="A257" s="22"/>
      <c r="B257" s="18"/>
      <c r="C257" s="18"/>
      <c r="D257" s="18"/>
      <c r="E257" s="18"/>
      <c r="F257" s="18"/>
      <c r="G257" s="18"/>
      <c r="H257" s="20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x14ac:dyDescent="0.3">
      <c r="A258" s="22"/>
      <c r="B258" s="18"/>
      <c r="C258" s="18"/>
      <c r="D258" s="18"/>
      <c r="E258" s="18"/>
      <c r="F258" s="18"/>
      <c r="G258" s="18"/>
      <c r="H258" s="20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x14ac:dyDescent="0.3">
      <c r="A259" s="22"/>
      <c r="B259" s="18"/>
      <c r="C259" s="18"/>
      <c r="D259" s="18"/>
      <c r="E259" s="18"/>
      <c r="F259" s="18"/>
      <c r="G259" s="18"/>
      <c r="H259" s="20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x14ac:dyDescent="0.3">
      <c r="A260" s="22"/>
      <c r="B260" s="18"/>
      <c r="C260" s="18"/>
      <c r="D260" s="18"/>
      <c r="E260" s="18"/>
      <c r="F260" s="18"/>
      <c r="G260" s="18"/>
      <c r="H260" s="20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x14ac:dyDescent="0.3">
      <c r="A261" s="22"/>
      <c r="B261" s="18"/>
      <c r="C261" s="18"/>
      <c r="D261" s="18"/>
      <c r="E261" s="18"/>
      <c r="F261" s="18"/>
      <c r="G261" s="18"/>
      <c r="H261" s="20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x14ac:dyDescent="0.3">
      <c r="A262" s="22"/>
      <c r="B262" s="18"/>
      <c r="C262" s="18"/>
      <c r="D262" s="18"/>
      <c r="E262" s="18"/>
      <c r="F262" s="18"/>
      <c r="G262" s="18"/>
      <c r="H262" s="20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x14ac:dyDescent="0.3">
      <c r="A263" s="22"/>
      <c r="B263" s="18"/>
      <c r="C263" s="18"/>
      <c r="D263" s="18"/>
      <c r="E263" s="18"/>
      <c r="F263" s="18"/>
      <c r="G263" s="18"/>
      <c r="H263" s="20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x14ac:dyDescent="0.3">
      <c r="A264" s="22"/>
      <c r="B264" s="18"/>
      <c r="C264" s="18"/>
      <c r="D264" s="18"/>
      <c r="E264" s="18"/>
      <c r="F264" s="18"/>
      <c r="G264" s="18"/>
      <c r="H264" s="20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x14ac:dyDescent="0.3">
      <c r="A265" s="22"/>
      <c r="B265" s="18"/>
      <c r="C265" s="18"/>
      <c r="D265" s="18"/>
      <c r="E265" s="18"/>
      <c r="F265" s="18"/>
      <c r="G265" s="18"/>
      <c r="H265" s="20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x14ac:dyDescent="0.3">
      <c r="A266" s="22"/>
      <c r="B266" s="18"/>
      <c r="C266" s="18"/>
      <c r="D266" s="18"/>
      <c r="E266" s="18"/>
      <c r="F266" s="18"/>
      <c r="G266" s="18"/>
      <c r="H266" s="20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x14ac:dyDescent="0.3">
      <c r="A267" s="22"/>
      <c r="B267" s="18"/>
      <c r="C267" s="18"/>
      <c r="D267" s="18"/>
      <c r="E267" s="18"/>
      <c r="F267" s="18"/>
      <c r="G267" s="18"/>
      <c r="H267" s="20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x14ac:dyDescent="0.3">
      <c r="A268" s="22"/>
      <c r="B268" s="18"/>
      <c r="C268" s="18"/>
      <c r="D268" s="18"/>
      <c r="E268" s="18"/>
      <c r="F268" s="18"/>
      <c r="G268" s="18"/>
      <c r="H268" s="20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x14ac:dyDescent="0.3">
      <c r="A269" s="22"/>
      <c r="B269" s="18"/>
      <c r="C269" s="18"/>
      <c r="D269" s="18"/>
      <c r="E269" s="18"/>
      <c r="F269" s="18"/>
      <c r="G269" s="18"/>
      <c r="H269" s="20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x14ac:dyDescent="0.3">
      <c r="A270" s="22"/>
      <c r="B270" s="18"/>
      <c r="C270" s="18"/>
      <c r="D270" s="18"/>
      <c r="E270" s="18"/>
      <c r="F270" s="18"/>
      <c r="G270" s="18"/>
      <c r="H270" s="20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x14ac:dyDescent="0.3">
      <c r="A271" s="22"/>
      <c r="B271" s="18"/>
      <c r="C271" s="18"/>
      <c r="D271" s="18"/>
      <c r="E271" s="18"/>
      <c r="F271" s="18"/>
      <c r="G271" s="18"/>
      <c r="H271" s="20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x14ac:dyDescent="0.3">
      <c r="A272" s="22"/>
      <c r="B272" s="18"/>
      <c r="C272" s="18"/>
      <c r="D272" s="18"/>
      <c r="E272" s="18"/>
      <c r="F272" s="18"/>
      <c r="G272" s="18"/>
      <c r="H272" s="20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x14ac:dyDescent="0.3">
      <c r="A273" s="22"/>
      <c r="B273" s="18"/>
      <c r="C273" s="18"/>
      <c r="D273" s="18"/>
      <c r="E273" s="18"/>
      <c r="F273" s="18"/>
      <c r="G273" s="18"/>
      <c r="H273" s="20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x14ac:dyDescent="0.3">
      <c r="A274" s="22"/>
      <c r="B274" s="18"/>
      <c r="C274" s="18"/>
      <c r="D274" s="18"/>
      <c r="E274" s="18"/>
      <c r="F274" s="18"/>
      <c r="G274" s="18"/>
      <c r="H274" s="20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x14ac:dyDescent="0.3">
      <c r="A275" s="22"/>
      <c r="B275" s="18"/>
      <c r="C275" s="18"/>
      <c r="D275" s="18"/>
      <c r="E275" s="18"/>
      <c r="F275" s="18"/>
      <c r="G275" s="18"/>
      <c r="H275" s="20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x14ac:dyDescent="0.3">
      <c r="A276" s="22"/>
      <c r="B276" s="18"/>
      <c r="C276" s="18"/>
      <c r="D276" s="18"/>
      <c r="E276" s="18"/>
      <c r="F276" s="18"/>
      <c r="G276" s="18"/>
      <c r="H276" s="20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x14ac:dyDescent="0.3">
      <c r="A277" s="22"/>
      <c r="B277" s="18"/>
      <c r="C277" s="18"/>
      <c r="D277" s="18"/>
      <c r="E277" s="18"/>
      <c r="F277" s="18"/>
      <c r="G277" s="18"/>
      <c r="H277" s="20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x14ac:dyDescent="0.3">
      <c r="A278" s="22"/>
      <c r="B278" s="18"/>
      <c r="C278" s="18"/>
      <c r="D278" s="18"/>
      <c r="E278" s="18"/>
      <c r="F278" s="18"/>
      <c r="G278" s="18"/>
      <c r="H278" s="20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x14ac:dyDescent="0.3">
      <c r="A279" s="22"/>
      <c r="B279" s="18"/>
      <c r="C279" s="18"/>
      <c r="D279" s="18"/>
      <c r="E279" s="18"/>
      <c r="F279" s="18"/>
      <c r="G279" s="18"/>
      <c r="H279" s="20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x14ac:dyDescent="0.3">
      <c r="A280" s="22"/>
      <c r="B280" s="18"/>
      <c r="C280" s="18"/>
      <c r="D280" s="18"/>
      <c r="E280" s="18"/>
      <c r="F280" s="18"/>
      <c r="G280" s="18"/>
      <c r="H280" s="20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x14ac:dyDescent="0.3">
      <c r="A281" s="22"/>
      <c r="B281" s="18"/>
      <c r="C281" s="18"/>
      <c r="D281" s="18"/>
      <c r="E281" s="18"/>
      <c r="F281" s="18"/>
      <c r="G281" s="18"/>
      <c r="H281" s="20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x14ac:dyDescent="0.3">
      <c r="A282" s="22"/>
      <c r="B282" s="18"/>
      <c r="C282" s="18"/>
      <c r="D282" s="18"/>
      <c r="E282" s="18"/>
      <c r="F282" s="18"/>
      <c r="G282" s="18"/>
      <c r="H282" s="20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x14ac:dyDescent="0.3">
      <c r="A283" s="22"/>
      <c r="B283" s="18"/>
      <c r="C283" s="18"/>
      <c r="D283" s="18"/>
      <c r="E283" s="18"/>
      <c r="F283" s="18"/>
      <c r="G283" s="18"/>
      <c r="H283" s="20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x14ac:dyDescent="0.3">
      <c r="A284" s="22"/>
      <c r="B284" s="18"/>
      <c r="C284" s="18"/>
      <c r="D284" s="18"/>
      <c r="E284" s="18"/>
      <c r="F284" s="18"/>
      <c r="G284" s="18"/>
      <c r="H284" s="20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x14ac:dyDescent="0.3">
      <c r="A285" s="22"/>
      <c r="B285" s="18"/>
      <c r="C285" s="18"/>
      <c r="D285" s="18"/>
      <c r="E285" s="18"/>
      <c r="F285" s="18"/>
      <c r="G285" s="18"/>
      <c r="H285" s="20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x14ac:dyDescent="0.3">
      <c r="A286" s="22"/>
      <c r="B286" s="18"/>
      <c r="C286" s="18"/>
      <c r="D286" s="18"/>
      <c r="E286" s="18"/>
      <c r="F286" s="18"/>
      <c r="G286" s="18"/>
      <c r="H286" s="20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x14ac:dyDescent="0.3">
      <c r="A287" s="22"/>
      <c r="B287" s="18"/>
      <c r="C287" s="18"/>
      <c r="D287" s="18"/>
      <c r="E287" s="18"/>
      <c r="F287" s="18"/>
      <c r="G287" s="18"/>
      <c r="H287" s="20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x14ac:dyDescent="0.3">
      <c r="A288" s="22"/>
      <c r="B288" s="18"/>
      <c r="C288" s="18"/>
      <c r="D288" s="18"/>
      <c r="E288" s="18"/>
      <c r="F288" s="18"/>
      <c r="G288" s="18"/>
      <c r="H288" s="20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x14ac:dyDescent="0.3">
      <c r="A289" s="22"/>
      <c r="B289" s="18"/>
      <c r="C289" s="18"/>
      <c r="D289" s="18"/>
      <c r="E289" s="18"/>
      <c r="F289" s="18"/>
      <c r="G289" s="18"/>
      <c r="H289" s="20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x14ac:dyDescent="0.3">
      <c r="A290" s="22"/>
      <c r="B290" s="18"/>
      <c r="C290" s="18"/>
      <c r="D290" s="18"/>
      <c r="E290" s="18"/>
      <c r="F290" s="18"/>
      <c r="G290" s="18"/>
      <c r="H290" s="20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x14ac:dyDescent="0.3">
      <c r="A291" s="22"/>
      <c r="B291" s="18"/>
      <c r="C291" s="18"/>
      <c r="D291" s="18"/>
      <c r="E291" s="18"/>
      <c r="F291" s="18"/>
      <c r="G291" s="18"/>
      <c r="H291" s="20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x14ac:dyDescent="0.3">
      <c r="A292" s="22"/>
      <c r="B292" s="18"/>
      <c r="C292" s="18"/>
      <c r="D292" s="18"/>
      <c r="E292" s="18"/>
      <c r="F292" s="18"/>
      <c r="G292" s="18"/>
      <c r="H292" s="20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x14ac:dyDescent="0.3">
      <c r="A293" s="22"/>
      <c r="B293" s="18"/>
      <c r="C293" s="18"/>
      <c r="D293" s="18"/>
      <c r="E293" s="18"/>
      <c r="F293" s="18"/>
      <c r="G293" s="18"/>
      <c r="H293" s="20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x14ac:dyDescent="0.3">
      <c r="A294" s="22"/>
      <c r="B294" s="18"/>
      <c r="C294" s="18"/>
      <c r="D294" s="18"/>
      <c r="E294" s="18"/>
      <c r="F294" s="18"/>
      <c r="G294" s="18"/>
      <c r="H294" s="20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x14ac:dyDescent="0.3">
      <c r="A295" s="22"/>
      <c r="B295" s="18"/>
      <c r="C295" s="18"/>
      <c r="D295" s="18"/>
      <c r="E295" s="18"/>
      <c r="F295" s="18"/>
      <c r="G295" s="18"/>
      <c r="H295" s="20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x14ac:dyDescent="0.3">
      <c r="A296" s="22"/>
      <c r="B296" s="18"/>
      <c r="C296" s="18"/>
      <c r="D296" s="18"/>
      <c r="E296" s="18"/>
      <c r="F296" s="18"/>
      <c r="G296" s="18"/>
      <c r="H296" s="20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x14ac:dyDescent="0.3">
      <c r="A297" s="22"/>
      <c r="B297" s="18"/>
      <c r="C297" s="18"/>
      <c r="D297" s="18"/>
      <c r="E297" s="18"/>
      <c r="F297" s="18"/>
      <c r="G297" s="18"/>
      <c r="H297" s="20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x14ac:dyDescent="0.3">
      <c r="A298" s="22"/>
      <c r="B298" s="18"/>
      <c r="C298" s="18"/>
      <c r="D298" s="18"/>
      <c r="E298" s="18"/>
      <c r="F298" s="18"/>
      <c r="G298" s="18"/>
      <c r="H298" s="20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x14ac:dyDescent="0.3">
      <c r="A299" s="22"/>
      <c r="B299" s="18"/>
      <c r="C299" s="18"/>
      <c r="D299" s="18"/>
      <c r="E299" s="18"/>
      <c r="F299" s="18"/>
      <c r="G299" s="18"/>
      <c r="H299" s="20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x14ac:dyDescent="0.3">
      <c r="A300" s="22"/>
      <c r="B300" s="18"/>
      <c r="C300" s="18"/>
      <c r="D300" s="18"/>
      <c r="E300" s="18"/>
      <c r="F300" s="18"/>
      <c r="G300" s="18"/>
      <c r="H300" s="20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x14ac:dyDescent="0.3">
      <c r="A301" s="22"/>
      <c r="B301" s="18"/>
      <c r="C301" s="18"/>
      <c r="D301" s="18"/>
      <c r="E301" s="18"/>
      <c r="F301" s="18"/>
      <c r="G301" s="18"/>
      <c r="H301" s="20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x14ac:dyDescent="0.3">
      <c r="A302" s="22"/>
      <c r="B302" s="18"/>
      <c r="C302" s="18"/>
      <c r="D302" s="18"/>
      <c r="E302" s="18"/>
      <c r="F302" s="18"/>
      <c r="G302" s="18"/>
      <c r="H302" s="20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x14ac:dyDescent="0.3">
      <c r="A303" s="22"/>
      <c r="B303" s="18"/>
      <c r="C303" s="18"/>
      <c r="D303" s="18"/>
      <c r="E303" s="18"/>
      <c r="F303" s="18"/>
      <c r="G303" s="18"/>
      <c r="H303" s="20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x14ac:dyDescent="0.3">
      <c r="A304" s="22"/>
      <c r="B304" s="18"/>
      <c r="C304" s="18"/>
      <c r="D304" s="18"/>
      <c r="E304" s="18"/>
      <c r="F304" s="18"/>
      <c r="G304" s="18"/>
      <c r="H304" s="20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x14ac:dyDescent="0.3">
      <c r="A305" s="22"/>
      <c r="B305" s="18"/>
      <c r="C305" s="18"/>
      <c r="D305" s="18"/>
      <c r="E305" s="18"/>
      <c r="F305" s="18"/>
      <c r="G305" s="18"/>
      <c r="H305" s="20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x14ac:dyDescent="0.3">
      <c r="A306" s="22"/>
      <c r="B306" s="18"/>
      <c r="C306" s="18"/>
      <c r="D306" s="18"/>
      <c r="E306" s="18"/>
      <c r="F306" s="18"/>
      <c r="G306" s="18"/>
      <c r="H306" s="20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x14ac:dyDescent="0.3">
      <c r="A307" s="22"/>
      <c r="B307" s="18"/>
      <c r="C307" s="18"/>
      <c r="D307" s="18"/>
      <c r="E307" s="18"/>
      <c r="F307" s="18"/>
      <c r="G307" s="18"/>
      <c r="H307" s="20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x14ac:dyDescent="0.3">
      <c r="A308" s="22"/>
      <c r="B308" s="18"/>
      <c r="C308" s="18"/>
      <c r="D308" s="18"/>
      <c r="E308" s="18"/>
      <c r="F308" s="18"/>
      <c r="G308" s="18"/>
      <c r="H308" s="20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x14ac:dyDescent="0.3">
      <c r="A309" s="22"/>
      <c r="B309" s="18"/>
      <c r="C309" s="18"/>
      <c r="D309" s="18"/>
      <c r="E309" s="18"/>
      <c r="F309" s="18"/>
      <c r="G309" s="18"/>
      <c r="H309" s="20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x14ac:dyDescent="0.3">
      <c r="A310" s="22"/>
      <c r="B310" s="18"/>
      <c r="C310" s="18"/>
      <c r="D310" s="18"/>
      <c r="E310" s="18"/>
      <c r="F310" s="18"/>
      <c r="G310" s="18"/>
      <c r="H310" s="20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x14ac:dyDescent="0.3">
      <c r="A311" s="22"/>
      <c r="B311" s="18"/>
      <c r="C311" s="18"/>
      <c r="D311" s="18"/>
      <c r="E311" s="18"/>
      <c r="F311" s="18"/>
      <c r="G311" s="18"/>
      <c r="H311" s="20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x14ac:dyDescent="0.3">
      <c r="A312" s="22"/>
      <c r="B312" s="18"/>
      <c r="C312" s="18"/>
      <c r="D312" s="18"/>
      <c r="E312" s="18"/>
      <c r="F312" s="18"/>
      <c r="G312" s="18"/>
      <c r="H312" s="20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x14ac:dyDescent="0.3">
      <c r="A313" s="22"/>
      <c r="B313" s="18"/>
      <c r="C313" s="18"/>
      <c r="D313" s="18"/>
      <c r="E313" s="18"/>
      <c r="F313" s="18"/>
      <c r="G313" s="18"/>
      <c r="H313" s="20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x14ac:dyDescent="0.3">
      <c r="A314" s="22"/>
      <c r="B314" s="18"/>
      <c r="C314" s="18"/>
      <c r="D314" s="18"/>
      <c r="E314" s="18"/>
      <c r="F314" s="18"/>
      <c r="G314" s="18"/>
      <c r="H314" s="20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x14ac:dyDescent="0.3">
      <c r="A315" s="22"/>
      <c r="B315" s="18"/>
      <c r="C315" s="18"/>
      <c r="D315" s="18"/>
      <c r="E315" s="18"/>
      <c r="F315" s="18"/>
      <c r="G315" s="18"/>
      <c r="H315" s="20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x14ac:dyDescent="0.3">
      <c r="A316" s="22"/>
      <c r="B316" s="18"/>
      <c r="C316" s="18"/>
      <c r="D316" s="18"/>
      <c r="E316" s="18"/>
      <c r="F316" s="18"/>
      <c r="G316" s="18"/>
      <c r="H316" s="20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x14ac:dyDescent="0.3">
      <c r="A317" s="22"/>
      <c r="B317" s="18"/>
      <c r="C317" s="18"/>
      <c r="D317" s="18"/>
      <c r="E317" s="18"/>
      <c r="F317" s="18"/>
      <c r="G317" s="18"/>
      <c r="H317" s="20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x14ac:dyDescent="0.3">
      <c r="A318" s="22"/>
      <c r="B318" s="18"/>
      <c r="C318" s="18"/>
      <c r="D318" s="18"/>
      <c r="E318" s="18"/>
      <c r="F318" s="18"/>
      <c r="G318" s="18"/>
      <c r="H318" s="20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x14ac:dyDescent="0.3">
      <c r="A319" s="22"/>
      <c r="B319" s="18"/>
      <c r="C319" s="18"/>
      <c r="D319" s="18"/>
      <c r="E319" s="18"/>
      <c r="F319" s="18"/>
      <c r="G319" s="18"/>
      <c r="H319" s="20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x14ac:dyDescent="0.3">
      <c r="A320" s="22"/>
      <c r="B320" s="18"/>
      <c r="C320" s="18"/>
      <c r="D320" s="18"/>
      <c r="E320" s="18"/>
      <c r="F320" s="18"/>
      <c r="G320" s="18"/>
      <c r="H320" s="20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x14ac:dyDescent="0.3">
      <c r="A321" s="22"/>
      <c r="B321" s="18"/>
      <c r="C321" s="18"/>
      <c r="D321" s="18"/>
      <c r="E321" s="18"/>
      <c r="F321" s="18"/>
      <c r="G321" s="18"/>
      <c r="H321" s="20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x14ac:dyDescent="0.3">
      <c r="A322" s="22"/>
      <c r="B322" s="18"/>
      <c r="C322" s="18"/>
      <c r="D322" s="18"/>
      <c r="E322" s="18"/>
      <c r="F322" s="18"/>
      <c r="G322" s="18"/>
      <c r="H322" s="20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x14ac:dyDescent="0.3">
      <c r="A323" s="22"/>
      <c r="B323" s="18"/>
      <c r="C323" s="18"/>
      <c r="D323" s="18"/>
      <c r="E323" s="18"/>
      <c r="F323" s="18"/>
      <c r="G323" s="18"/>
      <c r="H323" s="20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x14ac:dyDescent="0.3">
      <c r="A324" s="22"/>
      <c r="B324" s="18"/>
      <c r="C324" s="18"/>
      <c r="D324" s="18"/>
      <c r="E324" s="18"/>
      <c r="F324" s="18"/>
      <c r="G324" s="18"/>
      <c r="H324" s="20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x14ac:dyDescent="0.3">
      <c r="A325" s="22"/>
      <c r="B325" s="18"/>
      <c r="C325" s="18"/>
      <c r="D325" s="18"/>
      <c r="E325" s="18"/>
      <c r="F325" s="18"/>
      <c r="G325" s="18"/>
      <c r="H325" s="20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x14ac:dyDescent="0.3">
      <c r="A326" s="22"/>
      <c r="B326" s="18"/>
      <c r="C326" s="18"/>
      <c r="D326" s="18"/>
      <c r="E326" s="18"/>
      <c r="F326" s="18"/>
      <c r="G326" s="18"/>
      <c r="H326" s="20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x14ac:dyDescent="0.3">
      <c r="A327" s="22"/>
      <c r="B327" s="18"/>
      <c r="C327" s="18"/>
      <c r="D327" s="18"/>
      <c r="E327" s="18"/>
      <c r="F327" s="18"/>
      <c r="G327" s="18"/>
      <c r="H327" s="20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x14ac:dyDescent="0.3">
      <c r="A328" s="22"/>
      <c r="B328" s="18"/>
      <c r="C328" s="18"/>
      <c r="D328" s="18"/>
      <c r="E328" s="18"/>
      <c r="F328" s="18"/>
      <c r="G328" s="18"/>
      <c r="H328" s="20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x14ac:dyDescent="0.3">
      <c r="A329" s="22"/>
      <c r="B329" s="18"/>
      <c r="C329" s="18"/>
      <c r="D329" s="18"/>
      <c r="E329" s="18"/>
      <c r="F329" s="18"/>
      <c r="G329" s="18"/>
      <c r="H329" s="20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x14ac:dyDescent="0.3">
      <c r="A330" s="22"/>
      <c r="B330" s="18"/>
      <c r="C330" s="18"/>
      <c r="D330" s="18"/>
      <c r="E330" s="18"/>
      <c r="F330" s="18"/>
      <c r="G330" s="18"/>
      <c r="H330" s="20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x14ac:dyDescent="0.3">
      <c r="A331" s="22"/>
      <c r="B331" s="18"/>
      <c r="C331" s="18"/>
      <c r="D331" s="18"/>
      <c r="E331" s="18"/>
      <c r="F331" s="18"/>
      <c r="G331" s="18"/>
      <c r="H331" s="20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x14ac:dyDescent="0.3">
      <c r="A332" s="22"/>
      <c r="B332" s="18"/>
      <c r="C332" s="18"/>
      <c r="D332" s="18"/>
      <c r="E332" s="18"/>
      <c r="F332" s="18"/>
      <c r="G332" s="18"/>
      <c r="H332" s="20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x14ac:dyDescent="0.3">
      <c r="A333" s="22"/>
      <c r="B333" s="18"/>
      <c r="C333" s="18"/>
      <c r="D333" s="18"/>
      <c r="E333" s="18"/>
      <c r="F333" s="18"/>
      <c r="G333" s="18"/>
      <c r="H333" s="20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x14ac:dyDescent="0.3">
      <c r="A334" s="22"/>
      <c r="B334" s="18"/>
      <c r="C334" s="18"/>
      <c r="D334" s="18"/>
      <c r="E334" s="18"/>
      <c r="F334" s="18"/>
      <c r="G334" s="18"/>
      <c r="H334" s="20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x14ac:dyDescent="0.3">
      <c r="A335" s="22"/>
      <c r="B335" s="18"/>
      <c r="C335" s="18"/>
      <c r="D335" s="18"/>
      <c r="E335" s="18"/>
      <c r="F335" s="18"/>
      <c r="G335" s="18"/>
      <c r="H335" s="20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x14ac:dyDescent="0.3">
      <c r="A336" s="22"/>
      <c r="B336" s="18"/>
      <c r="C336" s="18"/>
      <c r="D336" s="18"/>
      <c r="E336" s="18"/>
      <c r="F336" s="18"/>
      <c r="G336" s="18"/>
      <c r="H336" s="20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x14ac:dyDescent="0.3">
      <c r="A337" s="22"/>
      <c r="B337" s="18"/>
      <c r="C337" s="18"/>
      <c r="D337" s="18"/>
      <c r="E337" s="18"/>
      <c r="F337" s="18"/>
      <c r="G337" s="18"/>
      <c r="H337" s="20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x14ac:dyDescent="0.3">
      <c r="A338" s="22"/>
      <c r="B338" s="18"/>
      <c r="C338" s="18"/>
      <c r="D338" s="18"/>
      <c r="E338" s="18"/>
      <c r="F338" s="18"/>
      <c r="G338" s="18"/>
      <c r="H338" s="20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x14ac:dyDescent="0.3">
      <c r="A339" s="22"/>
      <c r="B339" s="18"/>
      <c r="C339" s="18"/>
      <c r="D339" s="18"/>
      <c r="E339" s="18"/>
      <c r="F339" s="18"/>
      <c r="G339" s="18"/>
      <c r="H339" s="20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x14ac:dyDescent="0.3">
      <c r="A340" s="22"/>
      <c r="B340" s="18"/>
      <c r="C340" s="18"/>
      <c r="D340" s="18"/>
      <c r="E340" s="18"/>
      <c r="F340" s="18"/>
      <c r="G340" s="18"/>
      <c r="H340" s="20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x14ac:dyDescent="0.3">
      <c r="A341" s="22"/>
      <c r="B341" s="18"/>
      <c r="C341" s="18"/>
      <c r="D341" s="18"/>
      <c r="E341" s="18"/>
      <c r="F341" s="18"/>
      <c r="G341" s="18"/>
      <c r="H341" s="20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x14ac:dyDescent="0.3">
      <c r="A342" s="22"/>
      <c r="B342" s="18"/>
      <c r="C342" s="18"/>
      <c r="D342" s="18"/>
      <c r="E342" s="18"/>
      <c r="F342" s="18"/>
      <c r="G342" s="18"/>
      <c r="H342" s="20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x14ac:dyDescent="0.3">
      <c r="A343" s="22"/>
      <c r="B343" s="18"/>
      <c r="C343" s="18"/>
      <c r="D343" s="18"/>
      <c r="E343" s="18"/>
      <c r="F343" s="18"/>
      <c r="G343" s="18"/>
      <c r="H343" s="20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x14ac:dyDescent="0.3">
      <c r="A344" s="22"/>
      <c r="B344" s="18"/>
      <c r="C344" s="18"/>
      <c r="D344" s="18"/>
      <c r="E344" s="18"/>
      <c r="F344" s="18"/>
      <c r="G344" s="18"/>
      <c r="H344" s="20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x14ac:dyDescent="0.3">
      <c r="A345" s="22"/>
      <c r="B345" s="18"/>
      <c r="C345" s="18"/>
      <c r="D345" s="18"/>
      <c r="E345" s="18"/>
      <c r="F345" s="18"/>
      <c r="G345" s="18"/>
      <c r="H345" s="20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x14ac:dyDescent="0.3">
      <c r="A346" s="22"/>
      <c r="B346" s="18"/>
      <c r="C346" s="18"/>
      <c r="D346" s="18"/>
      <c r="E346" s="18"/>
      <c r="F346" s="18"/>
      <c r="G346" s="18"/>
      <c r="H346" s="20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x14ac:dyDescent="0.3">
      <c r="A347" s="22"/>
      <c r="B347" s="18"/>
      <c r="C347" s="18"/>
      <c r="D347" s="18"/>
      <c r="E347" s="18"/>
      <c r="F347" s="18"/>
      <c r="G347" s="18"/>
      <c r="H347" s="20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x14ac:dyDescent="0.3">
      <c r="A348" s="22"/>
      <c r="B348" s="18"/>
      <c r="C348" s="18"/>
      <c r="D348" s="18"/>
      <c r="E348" s="18"/>
      <c r="F348" s="18"/>
      <c r="G348" s="18"/>
      <c r="H348" s="20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x14ac:dyDescent="0.3">
      <c r="A349" s="22"/>
      <c r="B349" s="18"/>
      <c r="C349" s="18"/>
      <c r="D349" s="18"/>
      <c r="E349" s="18"/>
      <c r="F349" s="18"/>
      <c r="G349" s="18"/>
      <c r="H349" s="20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x14ac:dyDescent="0.3">
      <c r="A350" s="22"/>
      <c r="B350" s="18"/>
      <c r="C350" s="18"/>
      <c r="D350" s="18"/>
      <c r="E350" s="18"/>
      <c r="F350" s="18"/>
      <c r="G350" s="18"/>
      <c r="H350" s="20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x14ac:dyDescent="0.3">
      <c r="A351" s="22"/>
      <c r="B351" s="18"/>
      <c r="C351" s="18"/>
      <c r="D351" s="18"/>
      <c r="E351" s="18"/>
      <c r="F351" s="18"/>
      <c r="G351" s="18"/>
      <c r="H351" s="20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x14ac:dyDescent="0.3">
      <c r="A352" s="22"/>
      <c r="B352" s="18"/>
      <c r="C352" s="18"/>
      <c r="D352" s="18"/>
      <c r="E352" s="18"/>
      <c r="F352" s="18"/>
      <c r="G352" s="18"/>
      <c r="H352" s="20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x14ac:dyDescent="0.3">
      <c r="A353" s="22"/>
      <c r="B353" s="18"/>
      <c r="C353" s="18"/>
      <c r="D353" s="18"/>
      <c r="E353" s="18"/>
      <c r="F353" s="18"/>
      <c r="G353" s="18"/>
      <c r="H353" s="20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x14ac:dyDescent="0.3">
      <c r="A354" s="22"/>
      <c r="B354" s="18"/>
      <c r="C354" s="18"/>
      <c r="D354" s="18"/>
      <c r="E354" s="18"/>
      <c r="F354" s="18"/>
      <c r="G354" s="18"/>
      <c r="H354" s="20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x14ac:dyDescent="0.3">
      <c r="A355" s="22"/>
      <c r="B355" s="18"/>
      <c r="C355" s="18"/>
      <c r="D355" s="18"/>
      <c r="E355" s="18"/>
      <c r="F355" s="18"/>
      <c r="G355" s="18"/>
      <c r="H355" s="20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x14ac:dyDescent="0.3">
      <c r="A356" s="22"/>
      <c r="B356" s="18"/>
      <c r="C356" s="18"/>
      <c r="D356" s="18"/>
      <c r="E356" s="18"/>
      <c r="F356" s="18"/>
      <c r="G356" s="18"/>
      <c r="H356" s="20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x14ac:dyDescent="0.3">
      <c r="A357" s="22"/>
      <c r="B357" s="18"/>
      <c r="C357" s="18"/>
      <c r="D357" s="18"/>
      <c r="E357" s="18"/>
      <c r="F357" s="18"/>
      <c r="G357" s="18"/>
      <c r="H357" s="20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x14ac:dyDescent="0.3">
      <c r="A358" s="22"/>
      <c r="B358" s="18"/>
      <c r="C358" s="18"/>
      <c r="D358" s="18"/>
      <c r="E358" s="18"/>
      <c r="F358" s="18"/>
      <c r="G358" s="18"/>
      <c r="H358" s="20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x14ac:dyDescent="0.3">
      <c r="A359" s="22"/>
      <c r="B359" s="18"/>
      <c r="C359" s="18"/>
      <c r="D359" s="18"/>
      <c r="E359" s="18"/>
      <c r="F359" s="18"/>
      <c r="G359" s="18"/>
      <c r="H359" s="20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x14ac:dyDescent="0.3">
      <c r="A360" s="22"/>
      <c r="B360" s="18"/>
      <c r="C360" s="18"/>
      <c r="D360" s="18"/>
      <c r="E360" s="18"/>
      <c r="F360" s="18"/>
      <c r="G360" s="18"/>
      <c r="H360" s="20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x14ac:dyDescent="0.3">
      <c r="A361" s="22"/>
      <c r="B361" s="18"/>
      <c r="C361" s="18"/>
      <c r="D361" s="18"/>
      <c r="E361" s="18"/>
      <c r="F361" s="18"/>
      <c r="G361" s="18"/>
      <c r="H361" s="20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x14ac:dyDescent="0.3">
      <c r="A362" s="22"/>
      <c r="B362" s="18"/>
      <c r="C362" s="18"/>
      <c r="D362" s="18"/>
      <c r="E362" s="18"/>
      <c r="F362" s="18"/>
      <c r="G362" s="18"/>
      <c r="H362" s="20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x14ac:dyDescent="0.3">
      <c r="A363" s="22"/>
      <c r="B363" s="18"/>
      <c r="C363" s="18"/>
      <c r="D363" s="18"/>
      <c r="E363" s="18"/>
      <c r="F363" s="18"/>
      <c r="G363" s="18"/>
      <c r="H363" s="20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x14ac:dyDescent="0.3">
      <c r="A364" s="22"/>
      <c r="B364" s="18"/>
      <c r="C364" s="18"/>
      <c r="D364" s="18"/>
      <c r="E364" s="18"/>
      <c r="F364" s="18"/>
      <c r="G364" s="18"/>
      <c r="H364" s="20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x14ac:dyDescent="0.3">
      <c r="A365" s="22"/>
      <c r="B365" s="18"/>
      <c r="C365" s="18"/>
      <c r="D365" s="18"/>
      <c r="E365" s="18"/>
      <c r="F365" s="18"/>
      <c r="G365" s="18"/>
      <c r="H365" s="20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x14ac:dyDescent="0.3">
      <c r="A366" s="22"/>
      <c r="B366" s="18"/>
      <c r="C366" s="18"/>
      <c r="D366" s="18"/>
      <c r="E366" s="18"/>
      <c r="F366" s="18"/>
      <c r="G366" s="18"/>
      <c r="H366" s="20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x14ac:dyDescent="0.3">
      <c r="A367" s="22"/>
      <c r="B367" s="18"/>
      <c r="C367" s="18"/>
      <c r="D367" s="18"/>
      <c r="E367" s="18"/>
      <c r="F367" s="18"/>
      <c r="G367" s="18"/>
      <c r="H367" s="20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x14ac:dyDescent="0.3">
      <c r="A368" s="22"/>
      <c r="B368" s="18"/>
      <c r="C368" s="18"/>
      <c r="D368" s="18"/>
      <c r="E368" s="18"/>
      <c r="F368" s="18"/>
      <c r="G368" s="18"/>
      <c r="H368" s="20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x14ac:dyDescent="0.3">
      <c r="A369" s="22"/>
      <c r="B369" s="18"/>
      <c r="C369" s="18"/>
      <c r="D369" s="18"/>
      <c r="E369" s="18"/>
      <c r="F369" s="18"/>
      <c r="G369" s="18"/>
      <c r="H369" s="20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x14ac:dyDescent="0.3">
      <c r="A370" s="22"/>
      <c r="B370" s="18"/>
      <c r="C370" s="18"/>
      <c r="D370" s="18"/>
      <c r="E370" s="18"/>
      <c r="F370" s="18"/>
      <c r="G370" s="18"/>
      <c r="H370" s="20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x14ac:dyDescent="0.3">
      <c r="A371" s="22"/>
      <c r="B371" s="18"/>
      <c r="C371" s="18"/>
      <c r="D371" s="18"/>
      <c r="E371" s="18"/>
      <c r="F371" s="18"/>
      <c r="G371" s="18"/>
      <c r="H371" s="20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x14ac:dyDescent="0.3">
      <c r="A372" s="22"/>
      <c r="B372" s="18"/>
      <c r="C372" s="18"/>
      <c r="D372" s="18"/>
      <c r="E372" s="18"/>
      <c r="F372" s="18"/>
      <c r="G372" s="18"/>
      <c r="H372" s="20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x14ac:dyDescent="0.3">
      <c r="A373" s="22"/>
      <c r="B373" s="18"/>
      <c r="C373" s="18"/>
      <c r="D373" s="18"/>
      <c r="E373" s="18"/>
      <c r="F373" s="18"/>
      <c r="G373" s="18"/>
      <c r="H373" s="20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x14ac:dyDescent="0.3">
      <c r="A374" s="22"/>
      <c r="B374" s="18"/>
      <c r="C374" s="18"/>
      <c r="D374" s="18"/>
      <c r="E374" s="18"/>
      <c r="F374" s="18"/>
      <c r="G374" s="18"/>
      <c r="H374" s="20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x14ac:dyDescent="0.3">
      <c r="A375" s="22"/>
      <c r="B375" s="18"/>
      <c r="C375" s="18"/>
      <c r="D375" s="18"/>
      <c r="E375" s="18"/>
      <c r="F375" s="18"/>
      <c r="G375" s="18"/>
      <c r="H375" s="20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x14ac:dyDescent="0.3">
      <c r="A376" s="22"/>
      <c r="B376" s="18"/>
      <c r="C376" s="18"/>
      <c r="D376" s="18"/>
      <c r="E376" s="18"/>
      <c r="F376" s="18"/>
      <c r="G376" s="18"/>
      <c r="H376" s="20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x14ac:dyDescent="0.3">
      <c r="A377" s="22"/>
      <c r="B377" s="18"/>
      <c r="C377" s="18"/>
      <c r="D377" s="18"/>
      <c r="E377" s="18"/>
      <c r="F377" s="18"/>
      <c r="G377" s="18"/>
      <c r="H377" s="20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x14ac:dyDescent="0.3">
      <c r="A378" s="22"/>
      <c r="B378" s="18"/>
      <c r="C378" s="18"/>
      <c r="D378" s="18"/>
      <c r="E378" s="18"/>
      <c r="F378" s="18"/>
      <c r="G378" s="18"/>
      <c r="H378" s="20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x14ac:dyDescent="0.3">
      <c r="A379" s="22"/>
      <c r="B379" s="18"/>
      <c r="C379" s="18"/>
      <c r="D379" s="18"/>
      <c r="E379" s="18"/>
      <c r="F379" s="18"/>
      <c r="G379" s="18"/>
      <c r="H379" s="20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x14ac:dyDescent="0.3">
      <c r="A380" s="22"/>
      <c r="B380" s="18"/>
      <c r="C380" s="18"/>
      <c r="D380" s="18"/>
      <c r="E380" s="18"/>
      <c r="F380" s="18"/>
      <c r="G380" s="18"/>
      <c r="H380" s="20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x14ac:dyDescent="0.3">
      <c r="A381" s="22"/>
      <c r="B381" s="18"/>
      <c r="C381" s="18"/>
      <c r="D381" s="18"/>
      <c r="E381" s="18"/>
      <c r="F381" s="18"/>
      <c r="G381" s="18"/>
      <c r="H381" s="20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x14ac:dyDescent="0.3">
      <c r="A382" s="22"/>
      <c r="B382" s="18"/>
      <c r="C382" s="18"/>
      <c r="D382" s="18"/>
      <c r="E382" s="18"/>
      <c r="F382" s="18"/>
      <c r="G382" s="18"/>
      <c r="H382" s="20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x14ac:dyDescent="0.3">
      <c r="A383" s="22"/>
      <c r="B383" s="18"/>
      <c r="C383" s="18"/>
      <c r="D383" s="18"/>
      <c r="E383" s="18"/>
      <c r="F383" s="18"/>
      <c r="G383" s="18"/>
      <c r="H383" s="20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x14ac:dyDescent="0.3">
      <c r="A384" s="22"/>
      <c r="B384" s="18"/>
      <c r="C384" s="18"/>
      <c r="D384" s="18"/>
      <c r="E384" s="18"/>
      <c r="F384" s="18"/>
      <c r="G384" s="18"/>
      <c r="H384" s="20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x14ac:dyDescent="0.3">
      <c r="A385" s="22"/>
      <c r="B385" s="18"/>
      <c r="C385" s="18"/>
      <c r="D385" s="18"/>
      <c r="E385" s="18"/>
      <c r="F385" s="18"/>
      <c r="G385" s="18"/>
      <c r="H385" s="20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x14ac:dyDescent="0.3">
      <c r="A386" s="22"/>
      <c r="B386" s="18"/>
      <c r="C386" s="18"/>
      <c r="D386" s="18"/>
      <c r="E386" s="18"/>
      <c r="F386" s="18"/>
      <c r="G386" s="18"/>
      <c r="H386" s="20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x14ac:dyDescent="0.3">
      <c r="A387" s="22"/>
      <c r="B387" s="18"/>
      <c r="C387" s="18"/>
      <c r="D387" s="18"/>
      <c r="E387" s="18"/>
      <c r="F387" s="18"/>
      <c r="G387" s="18"/>
      <c r="H387" s="20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x14ac:dyDescent="0.3">
      <c r="A388" s="22"/>
      <c r="B388" s="18"/>
      <c r="C388" s="18"/>
      <c r="D388" s="18"/>
      <c r="E388" s="18"/>
      <c r="F388" s="18"/>
      <c r="G388" s="18"/>
      <c r="H388" s="20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x14ac:dyDescent="0.3">
      <c r="A389" s="22"/>
      <c r="B389" s="18"/>
      <c r="C389" s="18"/>
      <c r="D389" s="18"/>
      <c r="E389" s="18"/>
      <c r="F389" s="18"/>
      <c r="G389" s="18"/>
      <c r="H389" s="20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x14ac:dyDescent="0.3">
      <c r="A390" s="22"/>
      <c r="B390" s="18"/>
      <c r="C390" s="18"/>
      <c r="D390" s="18"/>
      <c r="E390" s="18"/>
      <c r="F390" s="18"/>
      <c r="G390" s="18"/>
      <c r="H390" s="20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x14ac:dyDescent="0.3">
      <c r="A391" s="22"/>
      <c r="B391" s="18"/>
      <c r="C391" s="18"/>
      <c r="D391" s="18"/>
      <c r="E391" s="18"/>
      <c r="F391" s="18"/>
      <c r="G391" s="18"/>
      <c r="H391" s="20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x14ac:dyDescent="0.3">
      <c r="A392" s="22"/>
      <c r="B392" s="18"/>
      <c r="C392" s="18"/>
      <c r="D392" s="18"/>
      <c r="E392" s="18"/>
      <c r="F392" s="18"/>
      <c r="G392" s="18"/>
      <c r="H392" s="20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x14ac:dyDescent="0.3">
      <c r="A393" s="22"/>
      <c r="B393" s="18"/>
      <c r="C393" s="18"/>
      <c r="D393" s="18"/>
      <c r="E393" s="18"/>
      <c r="F393" s="18"/>
      <c r="G393" s="18"/>
      <c r="H393" s="20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x14ac:dyDescent="0.3">
      <c r="A394" s="22"/>
      <c r="B394" s="18"/>
      <c r="C394" s="18"/>
      <c r="D394" s="18"/>
      <c r="E394" s="18"/>
      <c r="F394" s="18"/>
      <c r="G394" s="18"/>
      <c r="H394" s="20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x14ac:dyDescent="0.3">
      <c r="A395" s="22"/>
      <c r="B395" s="18"/>
      <c r="C395" s="18"/>
      <c r="D395" s="18"/>
      <c r="E395" s="18"/>
      <c r="F395" s="18"/>
      <c r="G395" s="18"/>
      <c r="H395" s="20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x14ac:dyDescent="0.3">
      <c r="A396" s="22"/>
      <c r="B396" s="18"/>
      <c r="C396" s="18"/>
      <c r="D396" s="18"/>
      <c r="E396" s="18"/>
      <c r="F396" s="18"/>
      <c r="G396" s="18"/>
      <c r="H396" s="20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x14ac:dyDescent="0.3">
      <c r="A397" s="22"/>
      <c r="B397" s="18"/>
      <c r="C397" s="18"/>
      <c r="D397" s="18"/>
      <c r="E397" s="18"/>
      <c r="F397" s="18"/>
      <c r="G397" s="18"/>
      <c r="H397" s="20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x14ac:dyDescent="0.3">
      <c r="A398" s="22"/>
      <c r="B398" s="18"/>
      <c r="C398" s="18"/>
      <c r="D398" s="18"/>
      <c r="E398" s="18"/>
      <c r="F398" s="18"/>
      <c r="G398" s="18"/>
      <c r="H398" s="20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x14ac:dyDescent="0.3">
      <c r="A399" s="22"/>
      <c r="B399" s="18"/>
      <c r="C399" s="18"/>
      <c r="D399" s="18"/>
      <c r="E399" s="18"/>
      <c r="F399" s="18"/>
      <c r="G399" s="18"/>
      <c r="H399" s="20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x14ac:dyDescent="0.3">
      <c r="A400" s="22"/>
      <c r="B400" s="18"/>
      <c r="C400" s="18"/>
      <c r="D400" s="18"/>
      <c r="E400" s="18"/>
      <c r="F400" s="18"/>
      <c r="G400" s="18"/>
      <c r="H400" s="20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x14ac:dyDescent="0.3">
      <c r="A401" s="22"/>
      <c r="B401" s="18"/>
      <c r="C401" s="18"/>
      <c r="D401" s="18"/>
      <c r="E401" s="18"/>
      <c r="F401" s="18"/>
      <c r="G401" s="18"/>
      <c r="H401" s="20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x14ac:dyDescent="0.3">
      <c r="A402" s="22"/>
      <c r="B402" s="18"/>
      <c r="C402" s="18"/>
      <c r="D402" s="18"/>
      <c r="E402" s="18"/>
      <c r="F402" s="18"/>
      <c r="G402" s="18"/>
      <c r="H402" s="20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x14ac:dyDescent="0.3">
      <c r="A403" s="22"/>
      <c r="B403" s="18"/>
      <c r="C403" s="18"/>
      <c r="D403" s="18"/>
      <c r="E403" s="18"/>
      <c r="F403" s="18"/>
      <c r="G403" s="18"/>
      <c r="H403" s="20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x14ac:dyDescent="0.3">
      <c r="A404" s="22"/>
      <c r="B404" s="18"/>
      <c r="C404" s="18"/>
      <c r="D404" s="18"/>
      <c r="E404" s="18"/>
      <c r="F404" s="18"/>
      <c r="G404" s="18"/>
      <c r="H404" s="20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x14ac:dyDescent="0.3">
      <c r="A405" s="22"/>
      <c r="B405" s="18"/>
      <c r="C405" s="18"/>
      <c r="D405" s="18"/>
      <c r="E405" s="18"/>
      <c r="F405" s="18"/>
      <c r="G405" s="18"/>
      <c r="H405" s="20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x14ac:dyDescent="0.3">
      <c r="A406" s="22"/>
      <c r="B406" s="18"/>
      <c r="C406" s="18"/>
      <c r="D406" s="18"/>
      <c r="E406" s="18"/>
      <c r="F406" s="18"/>
      <c r="G406" s="18"/>
      <c r="H406" s="20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x14ac:dyDescent="0.3">
      <c r="A407" s="22"/>
      <c r="B407" s="18"/>
      <c r="C407" s="18"/>
      <c r="D407" s="18"/>
      <c r="E407" s="18"/>
      <c r="F407" s="18"/>
      <c r="G407" s="18"/>
      <c r="H407" s="20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x14ac:dyDescent="0.3">
      <c r="A408" s="22"/>
      <c r="B408" s="18"/>
      <c r="C408" s="18"/>
      <c r="D408" s="18"/>
      <c r="E408" s="18"/>
      <c r="F408" s="18"/>
      <c r="G408" s="18"/>
      <c r="H408" s="20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x14ac:dyDescent="0.3">
      <c r="A409" s="22"/>
      <c r="B409" s="18"/>
      <c r="C409" s="18"/>
      <c r="D409" s="18"/>
      <c r="E409" s="18"/>
      <c r="F409" s="18"/>
      <c r="G409" s="18"/>
      <c r="H409" s="20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spans="1:25" x14ac:dyDescent="0.3">
      <c r="A410" s="22"/>
      <c r="B410" s="18"/>
      <c r="C410" s="18"/>
      <c r="D410" s="18"/>
      <c r="E410" s="18"/>
      <c r="F410" s="18"/>
      <c r="G410" s="18"/>
      <c r="H410" s="20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spans="1:25" x14ac:dyDescent="0.3">
      <c r="A411" s="22"/>
      <c r="B411" s="18"/>
      <c r="C411" s="18"/>
      <c r="D411" s="18"/>
      <c r="E411" s="18"/>
      <c r="F411" s="18"/>
      <c r="G411" s="18"/>
      <c r="H411" s="20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spans="1:25" x14ac:dyDescent="0.3">
      <c r="A412" s="22"/>
      <c r="B412" s="18"/>
      <c r="C412" s="18"/>
      <c r="D412" s="18"/>
      <c r="E412" s="18"/>
      <c r="F412" s="18"/>
      <c r="G412" s="18"/>
      <c r="H412" s="20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spans="1:25" x14ac:dyDescent="0.3">
      <c r="A413" s="22"/>
      <c r="B413" s="18"/>
      <c r="C413" s="18"/>
      <c r="D413" s="18"/>
      <c r="E413" s="18"/>
      <c r="F413" s="18"/>
      <c r="G413" s="18"/>
      <c r="H413" s="20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spans="1:25" x14ac:dyDescent="0.3">
      <c r="A414" s="22"/>
      <c r="B414" s="18"/>
      <c r="C414" s="18"/>
      <c r="D414" s="18"/>
      <c r="E414" s="18"/>
      <c r="F414" s="18"/>
      <c r="G414" s="18"/>
      <c r="H414" s="20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spans="1:25" x14ac:dyDescent="0.3">
      <c r="A415" s="22"/>
      <c r="B415" s="18"/>
      <c r="C415" s="18"/>
      <c r="D415" s="18"/>
      <c r="E415" s="18"/>
      <c r="F415" s="18"/>
      <c r="G415" s="18"/>
      <c r="H415" s="20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spans="1:25" x14ac:dyDescent="0.3">
      <c r="A416" s="22"/>
      <c r="B416" s="18"/>
      <c r="C416" s="18"/>
      <c r="D416" s="18"/>
      <c r="E416" s="18"/>
      <c r="F416" s="18"/>
      <c r="G416" s="18"/>
      <c r="H416" s="20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spans="1:25" x14ac:dyDescent="0.3">
      <c r="A417" s="22"/>
      <c r="B417" s="18"/>
      <c r="C417" s="18"/>
      <c r="D417" s="18"/>
      <c r="E417" s="18"/>
      <c r="F417" s="18"/>
      <c r="G417" s="18"/>
      <c r="H417" s="20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spans="1:25" x14ac:dyDescent="0.3">
      <c r="A418" s="22"/>
      <c r="B418" s="18"/>
      <c r="C418" s="18"/>
      <c r="D418" s="18"/>
      <c r="E418" s="18"/>
      <c r="F418" s="18"/>
      <c r="G418" s="18"/>
      <c r="H418" s="20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spans="1:25" x14ac:dyDescent="0.3">
      <c r="A419" s="22"/>
      <c r="B419" s="18"/>
      <c r="C419" s="18"/>
      <c r="D419" s="18"/>
      <c r="E419" s="18"/>
      <c r="F419" s="18"/>
      <c r="G419" s="18"/>
      <c r="H419" s="20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spans="1:25" x14ac:dyDescent="0.3">
      <c r="A420" s="22"/>
      <c r="B420" s="18"/>
      <c r="C420" s="18"/>
      <c r="D420" s="18"/>
      <c r="E420" s="18"/>
      <c r="F420" s="18"/>
      <c r="G420" s="18"/>
      <c r="H420" s="20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spans="1:25" x14ac:dyDescent="0.3">
      <c r="A421" s="22"/>
      <c r="B421" s="18"/>
      <c r="C421" s="18"/>
      <c r="D421" s="18"/>
      <c r="E421" s="18"/>
      <c r="F421" s="18"/>
      <c r="G421" s="18"/>
      <c r="H421" s="20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spans="1:25" x14ac:dyDescent="0.3">
      <c r="A422" s="22"/>
      <c r="B422" s="18"/>
      <c r="C422" s="18"/>
      <c r="D422" s="18"/>
      <c r="E422" s="18"/>
      <c r="F422" s="18"/>
      <c r="G422" s="18"/>
      <c r="H422" s="20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spans="1:25" x14ac:dyDescent="0.3">
      <c r="A423" s="22"/>
      <c r="B423" s="18"/>
      <c r="C423" s="18"/>
      <c r="D423" s="18"/>
      <c r="E423" s="18"/>
      <c r="F423" s="18"/>
      <c r="G423" s="18"/>
      <c r="H423" s="20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spans="1:25" x14ac:dyDescent="0.3">
      <c r="A424" s="22"/>
      <c r="B424" s="18"/>
      <c r="C424" s="18"/>
      <c r="D424" s="18"/>
      <c r="E424" s="18"/>
      <c r="F424" s="18"/>
      <c r="G424" s="18"/>
      <c r="H424" s="20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spans="1:25" x14ac:dyDescent="0.3">
      <c r="A425" s="22"/>
      <c r="B425" s="18"/>
      <c r="C425" s="18"/>
      <c r="D425" s="18"/>
      <c r="E425" s="18"/>
      <c r="F425" s="18"/>
      <c r="G425" s="18"/>
      <c r="H425" s="20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spans="1:25" x14ac:dyDescent="0.3">
      <c r="A426" s="22"/>
      <c r="B426" s="18"/>
      <c r="C426" s="18"/>
      <c r="D426" s="18"/>
      <c r="E426" s="18"/>
      <c r="F426" s="18"/>
      <c r="G426" s="18"/>
      <c r="H426" s="20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spans="1:25" x14ac:dyDescent="0.3">
      <c r="A427" s="22"/>
      <c r="B427" s="18"/>
      <c r="C427" s="18"/>
      <c r="D427" s="18"/>
      <c r="E427" s="18"/>
      <c r="F427" s="18"/>
      <c r="G427" s="18"/>
      <c r="H427" s="20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spans="1:25" x14ac:dyDescent="0.3">
      <c r="A428" s="22"/>
      <c r="B428" s="18"/>
      <c r="C428" s="18"/>
      <c r="D428" s="18"/>
      <c r="E428" s="18"/>
      <c r="F428" s="18"/>
      <c r="G428" s="18"/>
      <c r="H428" s="20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spans="1:25" x14ac:dyDescent="0.3">
      <c r="A429" s="22"/>
      <c r="B429" s="18"/>
      <c r="C429" s="18"/>
      <c r="D429" s="18"/>
      <c r="E429" s="18"/>
      <c r="F429" s="18"/>
      <c r="G429" s="18"/>
      <c r="H429" s="20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spans="1:25" x14ac:dyDescent="0.3">
      <c r="A430" s="22"/>
      <c r="B430" s="18"/>
      <c r="C430" s="18"/>
      <c r="D430" s="18"/>
      <c r="E430" s="18"/>
      <c r="F430" s="18"/>
      <c r="G430" s="18"/>
      <c r="H430" s="20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spans="1:25" x14ac:dyDescent="0.3">
      <c r="A431" s="22"/>
      <c r="B431" s="18"/>
      <c r="C431" s="18"/>
      <c r="D431" s="18"/>
      <c r="E431" s="18"/>
      <c r="F431" s="18"/>
      <c r="G431" s="18"/>
      <c r="H431" s="20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spans="1:25" x14ac:dyDescent="0.3">
      <c r="A432" s="22"/>
      <c r="B432" s="18"/>
      <c r="C432" s="18"/>
      <c r="D432" s="18"/>
      <c r="E432" s="18"/>
      <c r="F432" s="18"/>
      <c r="G432" s="18"/>
      <c r="H432" s="20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spans="1:25" x14ac:dyDescent="0.3">
      <c r="A433" s="22"/>
      <c r="B433" s="18"/>
      <c r="C433" s="18"/>
      <c r="D433" s="18"/>
      <c r="E433" s="18"/>
      <c r="F433" s="18"/>
      <c r="G433" s="18"/>
      <c r="H433" s="20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spans="1:25" x14ac:dyDescent="0.3">
      <c r="A434" s="22"/>
      <c r="B434" s="18"/>
      <c r="C434" s="18"/>
      <c r="D434" s="18"/>
      <c r="E434" s="18"/>
      <c r="F434" s="18"/>
      <c r="G434" s="18"/>
      <c r="H434" s="20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spans="1:25" x14ac:dyDescent="0.3">
      <c r="A435" s="22"/>
      <c r="B435" s="18"/>
      <c r="C435" s="18"/>
      <c r="D435" s="18"/>
      <c r="E435" s="18"/>
      <c r="F435" s="18"/>
      <c r="G435" s="18"/>
      <c r="H435" s="20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spans="1:25" x14ac:dyDescent="0.3">
      <c r="A436" s="22"/>
      <c r="B436" s="18"/>
      <c r="C436" s="18"/>
      <c r="D436" s="18"/>
      <c r="E436" s="18"/>
      <c r="F436" s="18"/>
      <c r="G436" s="18"/>
      <c r="H436" s="20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spans="1:25" x14ac:dyDescent="0.3">
      <c r="A437" s="22"/>
      <c r="B437" s="18"/>
      <c r="C437" s="18"/>
      <c r="D437" s="18"/>
      <c r="E437" s="18"/>
      <c r="F437" s="18"/>
      <c r="G437" s="18"/>
      <c r="H437" s="20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spans="1:25" x14ac:dyDescent="0.3">
      <c r="A438" s="22"/>
      <c r="B438" s="18"/>
      <c r="C438" s="18"/>
      <c r="D438" s="18"/>
      <c r="E438" s="18"/>
      <c r="F438" s="18"/>
      <c r="G438" s="18"/>
      <c r="H438" s="20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spans="1:25" x14ac:dyDescent="0.3">
      <c r="A439" s="22"/>
      <c r="B439" s="18"/>
      <c r="C439" s="18"/>
      <c r="D439" s="18"/>
      <c r="E439" s="18"/>
      <c r="F439" s="18"/>
      <c r="G439" s="18"/>
      <c r="H439" s="20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spans="1:25" x14ac:dyDescent="0.3">
      <c r="A440" s="22"/>
      <c r="B440" s="18"/>
      <c r="C440" s="18"/>
      <c r="D440" s="18"/>
      <c r="E440" s="18"/>
      <c r="F440" s="18"/>
      <c r="G440" s="18"/>
      <c r="H440" s="20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spans="1:25" x14ac:dyDescent="0.3">
      <c r="A441" s="22"/>
      <c r="B441" s="18"/>
      <c r="C441" s="18"/>
      <c r="D441" s="18"/>
      <c r="E441" s="18"/>
      <c r="F441" s="18"/>
      <c r="G441" s="18"/>
      <c r="H441" s="20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spans="1:25" x14ac:dyDescent="0.3">
      <c r="A442" s="22"/>
      <c r="B442" s="18"/>
      <c r="C442" s="18"/>
      <c r="D442" s="18"/>
      <c r="E442" s="18"/>
      <c r="F442" s="18"/>
      <c r="G442" s="18"/>
      <c r="H442" s="20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spans="1:25" x14ac:dyDescent="0.3">
      <c r="A443" s="22"/>
      <c r="B443" s="18"/>
      <c r="C443" s="18"/>
      <c r="D443" s="18"/>
      <c r="E443" s="18"/>
      <c r="F443" s="18"/>
      <c r="G443" s="18"/>
      <c r="H443" s="20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spans="1:25" x14ac:dyDescent="0.3">
      <c r="A444" s="22"/>
      <c r="B444" s="18"/>
      <c r="C444" s="18"/>
      <c r="D444" s="18"/>
      <c r="E444" s="18"/>
      <c r="F444" s="18"/>
      <c r="G444" s="18"/>
      <c r="H444" s="20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spans="1:25" x14ac:dyDescent="0.3">
      <c r="A445" s="22"/>
      <c r="B445" s="18"/>
      <c r="C445" s="18"/>
      <c r="D445" s="18"/>
      <c r="E445" s="18"/>
      <c r="F445" s="18"/>
      <c r="G445" s="18"/>
      <c r="H445" s="20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spans="1:25" x14ac:dyDescent="0.3">
      <c r="A446" s="22"/>
      <c r="B446" s="18"/>
      <c r="C446" s="18"/>
      <c r="D446" s="18"/>
      <c r="E446" s="18"/>
      <c r="F446" s="18"/>
      <c r="G446" s="18"/>
      <c r="H446" s="20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spans="1:25" x14ac:dyDescent="0.3">
      <c r="A447" s="22"/>
      <c r="B447" s="18"/>
      <c r="C447" s="18"/>
      <c r="D447" s="18"/>
      <c r="E447" s="18"/>
      <c r="F447" s="18"/>
      <c r="G447" s="18"/>
      <c r="H447" s="20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spans="1:25" x14ac:dyDescent="0.3">
      <c r="A448" s="22"/>
      <c r="B448" s="18"/>
      <c r="C448" s="18"/>
      <c r="D448" s="18"/>
      <c r="E448" s="18"/>
      <c r="F448" s="18"/>
      <c r="G448" s="18"/>
      <c r="H448" s="20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spans="1:25" x14ac:dyDescent="0.3">
      <c r="A449" s="22"/>
      <c r="B449" s="18"/>
      <c r="C449" s="18"/>
      <c r="D449" s="18"/>
      <c r="E449" s="18"/>
      <c r="F449" s="18"/>
      <c r="G449" s="18"/>
      <c r="H449" s="20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spans="1:25" x14ac:dyDescent="0.3">
      <c r="A450" s="22"/>
      <c r="B450" s="18"/>
      <c r="C450" s="18"/>
      <c r="D450" s="18"/>
      <c r="E450" s="18"/>
      <c r="F450" s="18"/>
      <c r="G450" s="18"/>
      <c r="H450" s="20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spans="1:25" x14ac:dyDescent="0.3">
      <c r="A451" s="22"/>
      <c r="B451" s="18"/>
      <c r="C451" s="18"/>
      <c r="D451" s="18"/>
      <c r="E451" s="18"/>
      <c r="F451" s="18"/>
      <c r="G451" s="18"/>
      <c r="H451" s="20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spans="1:25" x14ac:dyDescent="0.3">
      <c r="A452" s="22"/>
      <c r="B452" s="18"/>
      <c r="C452" s="18"/>
      <c r="D452" s="18"/>
      <c r="E452" s="18"/>
      <c r="F452" s="18"/>
      <c r="G452" s="18"/>
      <c r="H452" s="20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spans="1:25" x14ac:dyDescent="0.3">
      <c r="A453" s="22"/>
      <c r="B453" s="18"/>
      <c r="C453" s="18"/>
      <c r="D453" s="18"/>
      <c r="E453" s="18"/>
      <c r="F453" s="18"/>
      <c r="G453" s="18"/>
      <c r="H453" s="20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spans="1:25" x14ac:dyDescent="0.3">
      <c r="A454" s="22"/>
      <c r="B454" s="18"/>
      <c r="C454" s="18"/>
      <c r="D454" s="18"/>
      <c r="E454" s="18"/>
      <c r="F454" s="18"/>
      <c r="G454" s="18"/>
      <c r="H454" s="20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spans="1:25" x14ac:dyDescent="0.3">
      <c r="A455" s="22"/>
      <c r="B455" s="18"/>
      <c r="C455" s="18"/>
      <c r="D455" s="18"/>
      <c r="E455" s="18"/>
      <c r="F455" s="18"/>
      <c r="G455" s="18"/>
      <c r="H455" s="20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spans="1:25" x14ac:dyDescent="0.3">
      <c r="A456" s="22"/>
      <c r="B456" s="18"/>
      <c r="C456" s="18"/>
      <c r="D456" s="18"/>
      <c r="E456" s="18"/>
      <c r="F456" s="18"/>
      <c r="G456" s="18"/>
      <c r="H456" s="20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spans="1:25" x14ac:dyDescent="0.3">
      <c r="A457" s="22"/>
      <c r="B457" s="18"/>
      <c r="C457" s="18"/>
      <c r="D457" s="18"/>
      <c r="E457" s="18"/>
      <c r="F457" s="18"/>
      <c r="G457" s="18"/>
      <c r="H457" s="20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spans="1:25" x14ac:dyDescent="0.3">
      <c r="A458" s="22"/>
      <c r="B458" s="18"/>
      <c r="C458" s="18"/>
      <c r="D458" s="18"/>
      <c r="E458" s="18"/>
      <c r="F458" s="18"/>
      <c r="G458" s="18"/>
      <c r="H458" s="20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spans="1:25" x14ac:dyDescent="0.3">
      <c r="A459" s="22"/>
      <c r="B459" s="18"/>
      <c r="C459" s="18"/>
      <c r="D459" s="18"/>
      <c r="E459" s="18"/>
      <c r="F459" s="18"/>
      <c r="G459" s="18"/>
      <c r="H459" s="20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spans="1:25" x14ac:dyDescent="0.3">
      <c r="A460" s="22"/>
      <c r="B460" s="18"/>
      <c r="C460" s="18"/>
      <c r="D460" s="18"/>
      <c r="E460" s="18"/>
      <c r="F460" s="18"/>
      <c r="G460" s="18"/>
      <c r="H460" s="20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spans="1:25" x14ac:dyDescent="0.3">
      <c r="A461" s="22"/>
      <c r="B461" s="18"/>
      <c r="C461" s="18"/>
      <c r="D461" s="18"/>
      <c r="E461" s="18"/>
      <c r="F461" s="18"/>
      <c r="G461" s="18"/>
      <c r="H461" s="20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spans="1:25" x14ac:dyDescent="0.3">
      <c r="A462" s="22"/>
      <c r="B462" s="18"/>
      <c r="C462" s="18"/>
      <c r="D462" s="18"/>
      <c r="E462" s="18"/>
      <c r="F462" s="18"/>
      <c r="G462" s="18"/>
      <c r="H462" s="20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spans="1:25" x14ac:dyDescent="0.3">
      <c r="A463" s="22"/>
      <c r="B463" s="18"/>
      <c r="C463" s="18"/>
      <c r="D463" s="18"/>
      <c r="E463" s="18"/>
      <c r="F463" s="18"/>
      <c r="G463" s="18"/>
      <c r="H463" s="20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spans="1:25" x14ac:dyDescent="0.3">
      <c r="A464" s="22"/>
      <c r="B464" s="18"/>
      <c r="C464" s="18"/>
      <c r="D464" s="18"/>
      <c r="E464" s="18"/>
      <c r="F464" s="18"/>
      <c r="G464" s="18"/>
      <c r="H464" s="20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spans="1:25" x14ac:dyDescent="0.3">
      <c r="A465" s="22"/>
      <c r="B465" s="18"/>
      <c r="C465" s="18"/>
      <c r="D465" s="18"/>
      <c r="E465" s="18"/>
      <c r="F465" s="18"/>
      <c r="G465" s="18"/>
      <c r="H465" s="20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spans="1:25" x14ac:dyDescent="0.3">
      <c r="A466" s="22"/>
      <c r="B466" s="18"/>
      <c r="C466" s="18"/>
      <c r="D466" s="18"/>
      <c r="E466" s="18"/>
      <c r="F466" s="18"/>
      <c r="G466" s="18"/>
      <c r="H466" s="20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spans="1:25" x14ac:dyDescent="0.3">
      <c r="A467" s="22"/>
      <c r="B467" s="18"/>
      <c r="C467" s="18"/>
      <c r="D467" s="18"/>
      <c r="E467" s="18"/>
      <c r="F467" s="18"/>
      <c r="G467" s="18"/>
      <c r="H467" s="20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spans="1:25" x14ac:dyDescent="0.3">
      <c r="A468" s="22"/>
      <c r="B468" s="18"/>
      <c r="C468" s="18"/>
      <c r="D468" s="18"/>
      <c r="E468" s="18"/>
      <c r="F468" s="18"/>
      <c r="G468" s="18"/>
      <c r="H468" s="20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spans="1:25" x14ac:dyDescent="0.3">
      <c r="A469" s="22"/>
      <c r="B469" s="18"/>
      <c r="C469" s="18"/>
      <c r="D469" s="18"/>
      <c r="E469" s="18"/>
      <c r="F469" s="18"/>
      <c r="G469" s="18"/>
      <c r="H469" s="20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spans="1:25" x14ac:dyDescent="0.3">
      <c r="A470" s="22"/>
      <c r="B470" s="18"/>
      <c r="C470" s="18"/>
      <c r="D470" s="18"/>
      <c r="E470" s="18"/>
      <c r="F470" s="18"/>
      <c r="G470" s="18"/>
      <c r="H470" s="20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spans="1:25" x14ac:dyDescent="0.3">
      <c r="A471" s="22"/>
      <c r="B471" s="18"/>
      <c r="C471" s="18"/>
      <c r="D471" s="18"/>
      <c r="E471" s="18"/>
      <c r="F471" s="18"/>
      <c r="G471" s="18"/>
      <c r="H471" s="20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spans="1:25" x14ac:dyDescent="0.3">
      <c r="A472" s="22"/>
      <c r="B472" s="18"/>
      <c r="C472" s="18"/>
      <c r="D472" s="18"/>
      <c r="E472" s="18"/>
      <c r="F472" s="18"/>
      <c r="G472" s="18"/>
      <c r="H472" s="20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spans="1:25" x14ac:dyDescent="0.3">
      <c r="A473" s="22"/>
      <c r="B473" s="18"/>
      <c r="C473" s="18"/>
      <c r="D473" s="18"/>
      <c r="E473" s="18"/>
      <c r="F473" s="18"/>
      <c r="G473" s="18"/>
      <c r="H473" s="20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spans="1:25" x14ac:dyDescent="0.3">
      <c r="A474" s="22"/>
      <c r="B474" s="18"/>
      <c r="C474" s="18"/>
      <c r="D474" s="18"/>
      <c r="E474" s="18"/>
      <c r="F474" s="18"/>
      <c r="G474" s="18"/>
      <c r="H474" s="20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spans="1:25" x14ac:dyDescent="0.3">
      <c r="A475" s="22"/>
      <c r="B475" s="18"/>
      <c r="C475" s="18"/>
      <c r="D475" s="18"/>
      <c r="E475" s="18"/>
      <c r="F475" s="18"/>
      <c r="G475" s="18"/>
      <c r="H475" s="20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spans="1:25" x14ac:dyDescent="0.3">
      <c r="A476" s="22"/>
      <c r="B476" s="18"/>
      <c r="C476" s="18"/>
      <c r="D476" s="18"/>
      <c r="E476" s="18"/>
      <c r="F476" s="18"/>
      <c r="G476" s="18"/>
      <c r="H476" s="20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spans="1:25" x14ac:dyDescent="0.3">
      <c r="A477" s="22"/>
      <c r="B477" s="18"/>
      <c r="C477" s="18"/>
      <c r="D477" s="18"/>
      <c r="E477" s="18"/>
      <c r="F477" s="18"/>
      <c r="G477" s="18"/>
      <c r="H477" s="20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spans="1:25" x14ac:dyDescent="0.3">
      <c r="A478" s="22"/>
      <c r="B478" s="18"/>
      <c r="C478" s="18"/>
      <c r="D478" s="18"/>
      <c r="E478" s="18"/>
      <c r="F478" s="18"/>
      <c r="G478" s="18"/>
      <c r="H478" s="20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spans="1:25" x14ac:dyDescent="0.3">
      <c r="A479" s="22"/>
      <c r="B479" s="18"/>
      <c r="C479" s="18"/>
      <c r="D479" s="18"/>
      <c r="E479" s="18"/>
      <c r="F479" s="18"/>
      <c r="G479" s="18"/>
      <c r="H479" s="20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spans="1:25" x14ac:dyDescent="0.3">
      <c r="A480" s="22"/>
      <c r="B480" s="18"/>
      <c r="C480" s="18"/>
      <c r="D480" s="18"/>
      <c r="E480" s="18"/>
      <c r="F480" s="18"/>
      <c r="G480" s="18"/>
      <c r="H480" s="20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spans="1:25" x14ac:dyDescent="0.3">
      <c r="A481" s="22"/>
      <c r="B481" s="18"/>
      <c r="C481" s="18"/>
      <c r="D481" s="18"/>
      <c r="E481" s="18"/>
      <c r="F481" s="18"/>
      <c r="G481" s="18"/>
      <c r="H481" s="20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spans="1:25" x14ac:dyDescent="0.3">
      <c r="A482" s="22"/>
      <c r="B482" s="18"/>
      <c r="C482" s="18"/>
      <c r="D482" s="18"/>
      <c r="E482" s="18"/>
      <c r="F482" s="18"/>
      <c r="G482" s="18"/>
      <c r="H482" s="20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spans="1:25" x14ac:dyDescent="0.3">
      <c r="A483" s="22"/>
      <c r="B483" s="18"/>
      <c r="C483" s="18"/>
      <c r="D483" s="18"/>
      <c r="E483" s="18"/>
      <c r="F483" s="18"/>
      <c r="G483" s="18"/>
      <c r="H483" s="20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spans="1:25" x14ac:dyDescent="0.3">
      <c r="A484" s="22"/>
      <c r="B484" s="18"/>
      <c r="C484" s="18"/>
      <c r="D484" s="18"/>
      <c r="E484" s="18"/>
      <c r="F484" s="18"/>
      <c r="G484" s="18"/>
      <c r="H484" s="20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spans="1:25" x14ac:dyDescent="0.3">
      <c r="A485" s="22"/>
      <c r="B485" s="18"/>
      <c r="C485" s="18"/>
      <c r="D485" s="18"/>
      <c r="E485" s="18"/>
      <c r="F485" s="18"/>
      <c r="G485" s="18"/>
      <c r="H485" s="20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spans="1:25" x14ac:dyDescent="0.3">
      <c r="A486" s="22"/>
      <c r="B486" s="18"/>
      <c r="C486" s="18"/>
      <c r="D486" s="18"/>
      <c r="E486" s="18"/>
      <c r="F486" s="18"/>
      <c r="G486" s="18"/>
      <c r="H486" s="20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spans="1:25" x14ac:dyDescent="0.3">
      <c r="A487" s="22"/>
      <c r="B487" s="18"/>
      <c r="C487" s="18"/>
      <c r="D487" s="18"/>
      <c r="E487" s="18"/>
      <c r="F487" s="18"/>
      <c r="G487" s="18"/>
      <c r="H487" s="20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spans="1:25" x14ac:dyDescent="0.3">
      <c r="A488" s="22"/>
      <c r="B488" s="18"/>
      <c r="C488" s="18"/>
      <c r="D488" s="18"/>
      <c r="E488" s="18"/>
      <c r="F488" s="18"/>
      <c r="G488" s="18"/>
      <c r="H488" s="20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spans="1:25" x14ac:dyDescent="0.3">
      <c r="A489" s="22"/>
      <c r="B489" s="18"/>
      <c r="C489" s="18"/>
      <c r="D489" s="18"/>
      <c r="E489" s="18"/>
      <c r="F489" s="18"/>
      <c r="G489" s="18"/>
      <c r="H489" s="20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spans="1:25" x14ac:dyDescent="0.3">
      <c r="A490" s="22"/>
      <c r="B490" s="18"/>
      <c r="C490" s="18"/>
      <c r="D490" s="18"/>
      <c r="E490" s="18"/>
      <c r="F490" s="18"/>
      <c r="G490" s="18"/>
      <c r="H490" s="20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spans="1:25" x14ac:dyDescent="0.3">
      <c r="A491" s="22"/>
      <c r="B491" s="18"/>
      <c r="C491" s="18"/>
      <c r="D491" s="18"/>
      <c r="E491" s="18"/>
      <c r="F491" s="18"/>
      <c r="G491" s="18"/>
      <c r="H491" s="20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spans="1:25" x14ac:dyDescent="0.3">
      <c r="A492" s="22"/>
      <c r="B492" s="18"/>
      <c r="C492" s="18"/>
      <c r="D492" s="18"/>
      <c r="E492" s="18"/>
      <c r="F492" s="18"/>
      <c r="G492" s="18"/>
      <c r="H492" s="20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spans="1:25" x14ac:dyDescent="0.3">
      <c r="A493" s="22"/>
      <c r="B493" s="18"/>
      <c r="C493" s="18"/>
      <c r="D493" s="18"/>
      <c r="E493" s="18"/>
      <c r="F493" s="18"/>
      <c r="G493" s="18"/>
      <c r="H493" s="20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spans="1:25" x14ac:dyDescent="0.3">
      <c r="A494" s="22"/>
      <c r="B494" s="18"/>
      <c r="C494" s="18"/>
      <c r="D494" s="18"/>
      <c r="E494" s="18"/>
      <c r="F494" s="18"/>
      <c r="G494" s="18"/>
      <c r="H494" s="20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spans="1:25" x14ac:dyDescent="0.3">
      <c r="A495" s="22"/>
      <c r="B495" s="18"/>
      <c r="C495" s="18"/>
      <c r="D495" s="18"/>
      <c r="E495" s="18"/>
      <c r="F495" s="18"/>
      <c r="G495" s="18"/>
      <c r="H495" s="20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spans="1:25" x14ac:dyDescent="0.3">
      <c r="A496" s="22"/>
      <c r="B496" s="18"/>
      <c r="C496" s="18"/>
      <c r="D496" s="18"/>
      <c r="E496" s="18"/>
      <c r="F496" s="18"/>
      <c r="G496" s="18"/>
      <c r="H496" s="20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spans="1:25" x14ac:dyDescent="0.3">
      <c r="A497" s="22"/>
      <c r="B497" s="18"/>
      <c r="C497" s="18"/>
      <c r="D497" s="18"/>
      <c r="E497" s="18"/>
      <c r="F497" s="18"/>
      <c r="G497" s="18"/>
      <c r="H497" s="20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spans="1:25" x14ac:dyDescent="0.3">
      <c r="A498" s="22"/>
      <c r="B498" s="18"/>
      <c r="C498" s="18"/>
      <c r="D498" s="18"/>
      <c r="E498" s="18"/>
      <c r="F498" s="18"/>
      <c r="G498" s="18"/>
      <c r="H498" s="20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spans="1:25" x14ac:dyDescent="0.3">
      <c r="A499" s="22"/>
      <c r="B499" s="18"/>
      <c r="C499" s="18"/>
      <c r="D499" s="18"/>
      <c r="E499" s="18"/>
      <c r="F499" s="18"/>
      <c r="G499" s="18"/>
      <c r="H499" s="20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spans="1:25" x14ac:dyDescent="0.3">
      <c r="A500" s="22"/>
      <c r="B500" s="18"/>
      <c r="C500" s="18"/>
      <c r="D500" s="18"/>
      <c r="E500" s="18"/>
      <c r="F500" s="18"/>
      <c r="G500" s="18"/>
      <c r="H500" s="20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spans="1:25" x14ac:dyDescent="0.3">
      <c r="A501" s="22"/>
      <c r="B501" s="18"/>
      <c r="C501" s="18"/>
      <c r="D501" s="18"/>
      <c r="E501" s="18"/>
      <c r="F501" s="18"/>
      <c r="G501" s="18"/>
      <c r="H501" s="20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spans="1:25" x14ac:dyDescent="0.3">
      <c r="A502" s="22"/>
      <c r="B502" s="18"/>
      <c r="C502" s="18"/>
      <c r="D502" s="18"/>
      <c r="E502" s="18"/>
      <c r="F502" s="18"/>
      <c r="G502" s="18"/>
      <c r="H502" s="20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spans="1:25" x14ac:dyDescent="0.3">
      <c r="A503" s="22"/>
      <c r="B503" s="18"/>
      <c r="C503" s="18"/>
      <c r="D503" s="18"/>
      <c r="E503" s="18"/>
      <c r="F503" s="18"/>
      <c r="G503" s="18"/>
      <c r="H503" s="20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spans="1:25" x14ac:dyDescent="0.3">
      <c r="A504" s="22"/>
      <c r="B504" s="18"/>
      <c r="C504" s="18"/>
      <c r="D504" s="18"/>
      <c r="E504" s="18"/>
      <c r="F504" s="18"/>
      <c r="G504" s="18"/>
      <c r="H504" s="20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spans="1:25" x14ac:dyDescent="0.3">
      <c r="A505" s="22"/>
      <c r="B505" s="18"/>
      <c r="C505" s="18"/>
      <c r="D505" s="18"/>
      <c r="E505" s="18"/>
      <c r="F505" s="18"/>
      <c r="G505" s="18"/>
      <c r="H505" s="20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spans="1:25" x14ac:dyDescent="0.3">
      <c r="A506" s="22"/>
      <c r="B506" s="18"/>
      <c r="C506" s="18"/>
      <c r="D506" s="18"/>
      <c r="E506" s="18"/>
      <c r="F506" s="18"/>
      <c r="G506" s="18"/>
      <c r="H506" s="20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spans="1:25" x14ac:dyDescent="0.3">
      <c r="A507" s="22"/>
      <c r="B507" s="18"/>
      <c r="C507" s="18"/>
      <c r="D507" s="18"/>
      <c r="E507" s="18"/>
      <c r="F507" s="18"/>
      <c r="G507" s="18"/>
      <c r="H507" s="20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spans="1:25" x14ac:dyDescent="0.3">
      <c r="A508" s="22"/>
      <c r="B508" s="18"/>
      <c r="C508" s="18"/>
      <c r="D508" s="18"/>
      <c r="E508" s="18"/>
      <c r="F508" s="18"/>
      <c r="G508" s="18"/>
      <c r="H508" s="20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spans="1:25" x14ac:dyDescent="0.3">
      <c r="A509" s="22"/>
      <c r="B509" s="18"/>
      <c r="C509" s="18"/>
      <c r="D509" s="18"/>
      <c r="E509" s="18"/>
      <c r="F509" s="18"/>
      <c r="G509" s="18"/>
      <c r="H509" s="20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spans="1:25" x14ac:dyDescent="0.3">
      <c r="A510" s="22"/>
      <c r="B510" s="18"/>
      <c r="C510" s="18"/>
      <c r="D510" s="18"/>
      <c r="E510" s="18"/>
      <c r="F510" s="18"/>
      <c r="G510" s="18"/>
      <c r="H510" s="20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spans="1:25" x14ac:dyDescent="0.3">
      <c r="A511" s="22"/>
      <c r="B511" s="18"/>
      <c r="C511" s="18"/>
      <c r="D511" s="18"/>
      <c r="E511" s="18"/>
      <c r="F511" s="18"/>
      <c r="G511" s="18"/>
      <c r="H511" s="20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spans="1:25" x14ac:dyDescent="0.3">
      <c r="A512" s="22"/>
      <c r="B512" s="18"/>
      <c r="C512" s="18"/>
      <c r="D512" s="18"/>
      <c r="E512" s="18"/>
      <c r="F512" s="18"/>
      <c r="G512" s="18"/>
      <c r="H512" s="20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spans="1:25" x14ac:dyDescent="0.3">
      <c r="A513" s="22"/>
      <c r="B513" s="18"/>
      <c r="C513" s="18"/>
      <c r="D513" s="18"/>
      <c r="E513" s="18"/>
      <c r="F513" s="18"/>
      <c r="G513" s="18"/>
      <c r="H513" s="20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spans="1:25" x14ac:dyDescent="0.3">
      <c r="A514" s="22"/>
      <c r="B514" s="18"/>
      <c r="C514" s="18"/>
      <c r="D514" s="18"/>
      <c r="E514" s="18"/>
      <c r="F514" s="18"/>
      <c r="G514" s="18"/>
      <c r="H514" s="20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spans="1:25" x14ac:dyDescent="0.3">
      <c r="A515" s="22"/>
      <c r="B515" s="18"/>
      <c r="C515" s="18"/>
      <c r="D515" s="18"/>
      <c r="E515" s="18"/>
      <c r="F515" s="18"/>
      <c r="G515" s="18"/>
      <c r="H515" s="20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spans="1:25" x14ac:dyDescent="0.3">
      <c r="A516" s="22"/>
      <c r="B516" s="18"/>
      <c r="C516" s="18"/>
      <c r="D516" s="18"/>
      <c r="E516" s="18"/>
      <c r="F516" s="18"/>
      <c r="G516" s="18"/>
      <c r="H516" s="20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spans="1:25" x14ac:dyDescent="0.3">
      <c r="A517" s="22"/>
      <c r="B517" s="18"/>
      <c r="C517" s="18"/>
      <c r="D517" s="18"/>
      <c r="E517" s="18"/>
      <c r="F517" s="18"/>
      <c r="G517" s="18"/>
      <c r="H517" s="20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spans="1:25" x14ac:dyDescent="0.3">
      <c r="A518" s="22"/>
      <c r="B518" s="18"/>
      <c r="C518" s="18"/>
      <c r="D518" s="18"/>
      <c r="E518" s="18"/>
      <c r="F518" s="18"/>
      <c r="G518" s="18"/>
      <c r="H518" s="20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spans="1:25" x14ac:dyDescent="0.3">
      <c r="A519" s="22"/>
      <c r="B519" s="18"/>
      <c r="C519" s="18"/>
      <c r="D519" s="18"/>
      <c r="E519" s="18"/>
      <c r="F519" s="18"/>
      <c r="G519" s="18"/>
      <c r="H519" s="20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spans="1:25" x14ac:dyDescent="0.3">
      <c r="A520" s="22"/>
      <c r="B520" s="18"/>
      <c r="C520" s="18"/>
      <c r="D520" s="18"/>
      <c r="E520" s="18"/>
      <c r="F520" s="18"/>
      <c r="G520" s="18"/>
      <c r="H520" s="20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spans="1:25" x14ac:dyDescent="0.3">
      <c r="A521" s="22"/>
      <c r="B521" s="18"/>
      <c r="C521" s="18"/>
      <c r="D521" s="18"/>
      <c r="E521" s="18"/>
      <c r="F521" s="18"/>
      <c r="G521" s="18"/>
      <c r="H521" s="20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spans="1:25" x14ac:dyDescent="0.3">
      <c r="A522" s="22"/>
      <c r="B522" s="18"/>
      <c r="C522" s="18"/>
      <c r="D522" s="18"/>
      <c r="E522" s="18"/>
      <c r="F522" s="18"/>
      <c r="G522" s="18"/>
      <c r="H522" s="20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spans="1:25" x14ac:dyDescent="0.3">
      <c r="A523" s="22"/>
      <c r="B523" s="18"/>
      <c r="C523" s="18"/>
      <c r="D523" s="18"/>
      <c r="E523" s="18"/>
      <c r="F523" s="18"/>
      <c r="G523" s="18"/>
      <c r="H523" s="20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spans="1:25" x14ac:dyDescent="0.3">
      <c r="A524" s="22"/>
      <c r="B524" s="18"/>
      <c r="C524" s="18"/>
      <c r="D524" s="18"/>
      <c r="E524" s="18"/>
      <c r="F524" s="18"/>
      <c r="G524" s="18"/>
      <c r="H524" s="20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spans="1:25" x14ac:dyDescent="0.3">
      <c r="A525" s="22"/>
      <c r="B525" s="18"/>
      <c r="C525" s="18"/>
      <c r="D525" s="18"/>
      <c r="E525" s="18"/>
      <c r="F525" s="18"/>
      <c r="G525" s="18"/>
      <c r="H525" s="20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spans="1:25" x14ac:dyDescent="0.3">
      <c r="A526" s="22"/>
      <c r="B526" s="18"/>
      <c r="C526" s="18"/>
      <c r="D526" s="18"/>
      <c r="E526" s="18"/>
      <c r="F526" s="18"/>
      <c r="G526" s="18"/>
      <c r="H526" s="20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spans="1:25" x14ac:dyDescent="0.3">
      <c r="A527" s="22"/>
      <c r="B527" s="18"/>
      <c r="C527" s="18"/>
      <c r="D527" s="18"/>
      <c r="E527" s="18"/>
      <c r="F527" s="18"/>
      <c r="G527" s="18"/>
      <c r="H527" s="20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spans="1:25" x14ac:dyDescent="0.3">
      <c r="A528" s="22"/>
      <c r="B528" s="18"/>
      <c r="C528" s="18"/>
      <c r="D528" s="18"/>
      <c r="E528" s="18"/>
      <c r="F528" s="18"/>
      <c r="G528" s="18"/>
      <c r="H528" s="20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spans="1:25" x14ac:dyDescent="0.3">
      <c r="A529" s="22"/>
      <c r="B529" s="18"/>
      <c r="C529" s="18"/>
      <c r="D529" s="18"/>
      <c r="E529" s="18"/>
      <c r="F529" s="18"/>
      <c r="G529" s="18"/>
      <c r="H529" s="20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spans="1:25" x14ac:dyDescent="0.3">
      <c r="A530" s="22"/>
      <c r="B530" s="18"/>
      <c r="C530" s="18"/>
      <c r="D530" s="18"/>
      <c r="E530" s="18"/>
      <c r="F530" s="18"/>
      <c r="G530" s="18"/>
      <c r="H530" s="20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spans="1:25" x14ac:dyDescent="0.3">
      <c r="A531" s="22"/>
      <c r="B531" s="18"/>
      <c r="C531" s="18"/>
      <c r="D531" s="18"/>
      <c r="E531" s="18"/>
      <c r="F531" s="18"/>
      <c r="G531" s="18"/>
      <c r="H531" s="20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spans="1:25" x14ac:dyDescent="0.3">
      <c r="A532" s="22"/>
      <c r="B532" s="18"/>
      <c r="C532" s="18"/>
      <c r="D532" s="18"/>
      <c r="E532" s="18"/>
      <c r="F532" s="18"/>
      <c r="G532" s="18"/>
      <c r="H532" s="20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spans="1:25" x14ac:dyDescent="0.3">
      <c r="A533" s="22"/>
      <c r="B533" s="18"/>
      <c r="C533" s="18"/>
      <c r="D533" s="18"/>
      <c r="E533" s="18"/>
      <c r="F533" s="18"/>
      <c r="G533" s="18"/>
      <c r="H533" s="20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spans="1:25" x14ac:dyDescent="0.3">
      <c r="A534" s="22"/>
      <c r="B534" s="18"/>
      <c r="C534" s="18"/>
      <c r="D534" s="18"/>
      <c r="E534" s="18"/>
      <c r="F534" s="18"/>
      <c r="G534" s="18"/>
      <c r="H534" s="20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spans="1:25" x14ac:dyDescent="0.3">
      <c r="A535" s="22"/>
      <c r="B535" s="18"/>
      <c r="C535" s="18"/>
      <c r="D535" s="18"/>
      <c r="E535" s="18"/>
      <c r="F535" s="18"/>
      <c r="G535" s="18"/>
      <c r="H535" s="20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spans="1:25" x14ac:dyDescent="0.3">
      <c r="A536" s="22"/>
      <c r="B536" s="18"/>
      <c r="C536" s="18"/>
      <c r="D536" s="18"/>
      <c r="E536" s="18"/>
      <c r="F536" s="18"/>
      <c r="G536" s="18"/>
      <c r="H536" s="20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spans="1:25" x14ac:dyDescent="0.3">
      <c r="A537" s="22"/>
      <c r="B537" s="18"/>
      <c r="C537" s="18"/>
      <c r="D537" s="18"/>
      <c r="E537" s="18"/>
      <c r="F537" s="18"/>
      <c r="G537" s="18"/>
      <c r="H537" s="20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spans="1:25" x14ac:dyDescent="0.3">
      <c r="A538" s="22"/>
      <c r="B538" s="18"/>
      <c r="C538" s="18"/>
      <c r="D538" s="18"/>
      <c r="E538" s="18"/>
      <c r="F538" s="18"/>
      <c r="G538" s="18"/>
      <c r="H538" s="20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spans="1:25" x14ac:dyDescent="0.3">
      <c r="A539" s="22"/>
      <c r="B539" s="18"/>
      <c r="C539" s="18"/>
      <c r="D539" s="18"/>
      <c r="E539" s="18"/>
      <c r="F539" s="18"/>
      <c r="G539" s="18"/>
      <c r="H539" s="20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spans="1:25" x14ac:dyDescent="0.3">
      <c r="A540" s="22"/>
      <c r="B540" s="18"/>
      <c r="C540" s="18"/>
      <c r="D540" s="18"/>
      <c r="E540" s="18"/>
      <c r="F540" s="18"/>
      <c r="G540" s="18"/>
      <c r="H540" s="20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spans="1:25" x14ac:dyDescent="0.3">
      <c r="A541" s="22"/>
      <c r="B541" s="18"/>
      <c r="C541" s="18"/>
      <c r="D541" s="18"/>
      <c r="E541" s="18"/>
      <c r="F541" s="18"/>
      <c r="G541" s="18"/>
      <c r="H541" s="20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spans="1:25" x14ac:dyDescent="0.3">
      <c r="A542" s="22"/>
      <c r="B542" s="18"/>
      <c r="C542" s="18"/>
      <c r="D542" s="18"/>
      <c r="E542" s="18"/>
      <c r="F542" s="18"/>
      <c r="G542" s="18"/>
      <c r="H542" s="20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spans="1:25" x14ac:dyDescent="0.3">
      <c r="A543" s="22"/>
      <c r="B543" s="18"/>
      <c r="C543" s="18"/>
      <c r="D543" s="18"/>
      <c r="E543" s="18"/>
      <c r="F543" s="18"/>
      <c r="G543" s="18"/>
      <c r="H543" s="20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spans="1:25" x14ac:dyDescent="0.3">
      <c r="A544" s="22"/>
      <c r="B544" s="18"/>
      <c r="C544" s="18"/>
      <c r="D544" s="18"/>
      <c r="E544" s="18"/>
      <c r="F544" s="18"/>
      <c r="G544" s="18"/>
      <c r="H544" s="20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spans="1:25" x14ac:dyDescent="0.3">
      <c r="A545" s="22"/>
      <c r="B545" s="18"/>
      <c r="C545" s="18"/>
      <c r="D545" s="18"/>
      <c r="E545" s="18"/>
      <c r="F545" s="18"/>
      <c r="G545" s="18"/>
      <c r="H545" s="20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spans="1:25" x14ac:dyDescent="0.3">
      <c r="A546" s="22"/>
      <c r="B546" s="18"/>
      <c r="C546" s="18"/>
      <c r="D546" s="18"/>
      <c r="E546" s="18"/>
      <c r="F546" s="18"/>
      <c r="G546" s="18"/>
      <c r="H546" s="20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spans="1:25" x14ac:dyDescent="0.3">
      <c r="A547" s="22"/>
      <c r="B547" s="18"/>
      <c r="C547" s="18"/>
      <c r="D547" s="18"/>
      <c r="E547" s="18"/>
      <c r="F547" s="18"/>
      <c r="G547" s="18"/>
      <c r="H547" s="20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spans="1:25" x14ac:dyDescent="0.3">
      <c r="A548" s="22"/>
      <c r="B548" s="18"/>
      <c r="C548" s="18"/>
      <c r="D548" s="18"/>
      <c r="E548" s="18"/>
      <c r="F548" s="18"/>
      <c r="G548" s="18"/>
      <c r="H548" s="20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spans="1:25" x14ac:dyDescent="0.3">
      <c r="A549" s="22"/>
      <c r="B549" s="18"/>
      <c r="C549" s="18"/>
      <c r="D549" s="18"/>
      <c r="E549" s="18"/>
      <c r="F549" s="18"/>
      <c r="G549" s="18"/>
      <c r="H549" s="20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spans="1:25" x14ac:dyDescent="0.3">
      <c r="A550" s="22"/>
      <c r="B550" s="18"/>
      <c r="C550" s="18"/>
      <c r="D550" s="18"/>
      <c r="E550" s="18"/>
      <c r="F550" s="18"/>
      <c r="G550" s="18"/>
      <c r="H550" s="20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spans="1:25" x14ac:dyDescent="0.3">
      <c r="A551" s="22"/>
      <c r="B551" s="18"/>
      <c r="C551" s="18"/>
      <c r="D551" s="18"/>
      <c r="E551" s="18"/>
      <c r="F551" s="18"/>
      <c r="G551" s="18"/>
      <c r="H551" s="20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spans="1:25" x14ac:dyDescent="0.3">
      <c r="A552" s="22"/>
      <c r="B552" s="18"/>
      <c r="C552" s="18"/>
      <c r="D552" s="18"/>
      <c r="E552" s="18"/>
      <c r="F552" s="18"/>
      <c r="G552" s="18"/>
      <c r="H552" s="20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spans="1:25" x14ac:dyDescent="0.3">
      <c r="A553" s="22"/>
      <c r="B553" s="18"/>
      <c r="C553" s="18"/>
      <c r="D553" s="18"/>
      <c r="E553" s="18"/>
      <c r="F553" s="18"/>
      <c r="G553" s="18"/>
      <c r="H553" s="20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spans="1:25" x14ac:dyDescent="0.3">
      <c r="A554" s="22"/>
      <c r="B554" s="18"/>
      <c r="C554" s="18"/>
      <c r="D554" s="18"/>
      <c r="E554" s="18"/>
      <c r="F554" s="18"/>
      <c r="G554" s="18"/>
      <c r="H554" s="20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spans="1:25" x14ac:dyDescent="0.3">
      <c r="A555" s="22"/>
      <c r="B555" s="18"/>
      <c r="C555" s="18"/>
      <c r="D555" s="18"/>
      <c r="E555" s="18"/>
      <c r="F555" s="18"/>
      <c r="G555" s="18"/>
      <c r="H555" s="20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25" x14ac:dyDescent="0.3">
      <c r="A556" s="22"/>
      <c r="B556" s="18"/>
      <c r="C556" s="18"/>
      <c r="D556" s="18"/>
      <c r="E556" s="18"/>
      <c r="F556" s="18"/>
      <c r="G556" s="18"/>
      <c r="H556" s="20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25" x14ac:dyDescent="0.3">
      <c r="A557" s="22"/>
      <c r="B557" s="18"/>
      <c r="C557" s="18"/>
      <c r="D557" s="18"/>
      <c r="E557" s="18"/>
      <c r="F557" s="18"/>
      <c r="G557" s="18"/>
      <c r="H557" s="20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25" x14ac:dyDescent="0.3">
      <c r="A558" s="22"/>
      <c r="B558" s="18"/>
      <c r="C558" s="18"/>
      <c r="D558" s="18"/>
      <c r="E558" s="18"/>
      <c r="F558" s="18"/>
      <c r="G558" s="18"/>
      <c r="H558" s="20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spans="1:25" x14ac:dyDescent="0.3">
      <c r="A559" s="22"/>
      <c r="B559" s="18"/>
      <c r="C559" s="18"/>
      <c r="D559" s="18"/>
      <c r="E559" s="18"/>
      <c r="F559" s="18"/>
      <c r="G559" s="18"/>
      <c r="H559" s="20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spans="1:25" x14ac:dyDescent="0.3">
      <c r="A560" s="22"/>
      <c r="B560" s="18"/>
      <c r="C560" s="18"/>
      <c r="D560" s="18"/>
      <c r="E560" s="18"/>
      <c r="F560" s="18"/>
      <c r="G560" s="18"/>
      <c r="H560" s="20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spans="1:25" x14ac:dyDescent="0.3">
      <c r="A561" s="22"/>
      <c r="B561" s="18"/>
      <c r="C561" s="18"/>
      <c r="D561" s="18"/>
      <c r="E561" s="18"/>
      <c r="F561" s="18"/>
      <c r="G561" s="18"/>
      <c r="H561" s="20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spans="1:25" x14ac:dyDescent="0.3">
      <c r="A562" s="22"/>
      <c r="B562" s="18"/>
      <c r="C562" s="18"/>
      <c r="D562" s="18"/>
      <c r="E562" s="18"/>
      <c r="F562" s="18"/>
      <c r="G562" s="18"/>
      <c r="H562" s="20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spans="1:25" x14ac:dyDescent="0.3">
      <c r="A563" s="22"/>
      <c r="B563" s="18"/>
      <c r="C563" s="18"/>
      <c r="D563" s="18"/>
      <c r="E563" s="18"/>
      <c r="F563" s="18"/>
      <c r="G563" s="18"/>
      <c r="H563" s="20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spans="1:25" x14ac:dyDescent="0.3">
      <c r="A564" s="22"/>
      <c r="B564" s="18"/>
      <c r="C564" s="18"/>
      <c r="D564" s="18"/>
      <c r="E564" s="18"/>
      <c r="F564" s="18"/>
      <c r="G564" s="18"/>
      <c r="H564" s="20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spans="1:25" x14ac:dyDescent="0.3">
      <c r="A565" s="22"/>
      <c r="B565" s="18"/>
      <c r="C565" s="18"/>
      <c r="D565" s="18"/>
      <c r="E565" s="18"/>
      <c r="F565" s="18"/>
      <c r="G565" s="18"/>
      <c r="H565" s="20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spans="1:25" x14ac:dyDescent="0.3">
      <c r="A566" s="22"/>
      <c r="B566" s="18"/>
      <c r="C566" s="18"/>
      <c r="D566" s="18"/>
      <c r="E566" s="18"/>
      <c r="F566" s="18"/>
      <c r="G566" s="18"/>
      <c r="H566" s="20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spans="1:25" x14ac:dyDescent="0.3">
      <c r="A567" s="22"/>
      <c r="B567" s="18"/>
      <c r="C567" s="18"/>
      <c r="D567" s="18"/>
      <c r="E567" s="18"/>
      <c r="F567" s="18"/>
      <c r="G567" s="18"/>
      <c r="H567" s="20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spans="1:25" x14ac:dyDescent="0.3">
      <c r="A568" s="22"/>
      <c r="B568" s="18"/>
      <c r="C568" s="18"/>
      <c r="D568" s="18"/>
      <c r="E568" s="18"/>
      <c r="F568" s="18"/>
      <c r="G568" s="18"/>
      <c r="H568" s="20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spans="1:25" x14ac:dyDescent="0.3">
      <c r="A569" s="22"/>
      <c r="B569" s="18"/>
      <c r="C569" s="18"/>
      <c r="D569" s="18"/>
      <c r="E569" s="18"/>
      <c r="F569" s="18"/>
      <c r="G569" s="18"/>
      <c r="H569" s="20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spans="1:25" x14ac:dyDescent="0.3">
      <c r="A570" s="22"/>
      <c r="B570" s="18"/>
      <c r="C570" s="18"/>
      <c r="D570" s="18"/>
      <c r="E570" s="18"/>
      <c r="F570" s="18"/>
      <c r="G570" s="18"/>
      <c r="H570" s="20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spans="1:25" x14ac:dyDescent="0.3">
      <c r="A571" s="22"/>
      <c r="B571" s="18"/>
      <c r="C571" s="18"/>
      <c r="D571" s="18"/>
      <c r="E571" s="18"/>
      <c r="F571" s="18"/>
      <c r="G571" s="18"/>
      <c r="H571" s="20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spans="1:25" x14ac:dyDescent="0.3">
      <c r="A572" s="22"/>
      <c r="B572" s="18"/>
      <c r="C572" s="18"/>
      <c r="D572" s="18"/>
      <c r="E572" s="18"/>
      <c r="F572" s="18"/>
      <c r="G572" s="18"/>
      <c r="H572" s="20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spans="1:25" x14ac:dyDescent="0.3">
      <c r="A573" s="22"/>
      <c r="B573" s="18"/>
      <c r="C573" s="18"/>
      <c r="D573" s="18"/>
      <c r="E573" s="18"/>
      <c r="F573" s="18"/>
      <c r="G573" s="18"/>
      <c r="H573" s="20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spans="1:25" x14ac:dyDescent="0.3">
      <c r="A574" s="22"/>
      <c r="B574" s="18"/>
      <c r="C574" s="18"/>
      <c r="D574" s="18"/>
      <c r="E574" s="18"/>
      <c r="F574" s="18"/>
      <c r="G574" s="18"/>
      <c r="H574" s="20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spans="1:25" x14ac:dyDescent="0.3">
      <c r="A575" s="22"/>
      <c r="B575" s="18"/>
      <c r="C575" s="18"/>
      <c r="D575" s="18"/>
      <c r="E575" s="18"/>
      <c r="F575" s="18"/>
      <c r="G575" s="18"/>
      <c r="H575" s="20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spans="1:25" x14ac:dyDescent="0.3">
      <c r="A576" s="22"/>
      <c r="B576" s="18"/>
      <c r="C576" s="18"/>
      <c r="D576" s="18"/>
      <c r="E576" s="18"/>
      <c r="F576" s="18"/>
      <c r="G576" s="18"/>
      <c r="H576" s="20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spans="1:25" x14ac:dyDescent="0.3">
      <c r="A577" s="22"/>
      <c r="B577" s="18"/>
      <c r="C577" s="18"/>
      <c r="D577" s="18"/>
      <c r="E577" s="18"/>
      <c r="F577" s="18"/>
      <c r="G577" s="18"/>
      <c r="H577" s="20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spans="1:25" x14ac:dyDescent="0.3">
      <c r="A578" s="22"/>
      <c r="B578" s="18"/>
      <c r="C578" s="18"/>
      <c r="D578" s="18"/>
      <c r="E578" s="18"/>
      <c r="F578" s="18"/>
      <c r="G578" s="18"/>
      <c r="H578" s="20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spans="1:25" x14ac:dyDescent="0.3">
      <c r="A579" s="22"/>
      <c r="B579" s="18"/>
      <c r="C579" s="18"/>
      <c r="D579" s="18"/>
      <c r="E579" s="18"/>
      <c r="F579" s="18"/>
      <c r="G579" s="18"/>
      <c r="H579" s="20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spans="1:25" x14ac:dyDescent="0.3">
      <c r="A580" s="22"/>
      <c r="B580" s="18"/>
      <c r="C580" s="18"/>
      <c r="D580" s="18"/>
      <c r="E580" s="18"/>
      <c r="F580" s="18"/>
      <c r="G580" s="18"/>
      <c r="H580" s="20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spans="1:25" x14ac:dyDescent="0.3">
      <c r="A581" s="22"/>
      <c r="B581" s="18"/>
      <c r="C581" s="18"/>
      <c r="D581" s="18"/>
      <c r="E581" s="18"/>
      <c r="F581" s="18"/>
      <c r="G581" s="18"/>
      <c r="H581" s="20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spans="1:25" x14ac:dyDescent="0.3">
      <c r="A582" s="22"/>
      <c r="B582" s="18"/>
      <c r="C582" s="18"/>
      <c r="D582" s="18"/>
      <c r="E582" s="18"/>
      <c r="F582" s="18"/>
      <c r="G582" s="18"/>
      <c r="H582" s="20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spans="1:25" x14ac:dyDescent="0.3">
      <c r="A583" s="22"/>
      <c r="B583" s="18"/>
      <c r="C583" s="18"/>
      <c r="D583" s="18"/>
      <c r="E583" s="18"/>
      <c r="F583" s="18"/>
      <c r="G583" s="18"/>
      <c r="H583" s="20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spans="1:25" x14ac:dyDescent="0.3">
      <c r="A584" s="22"/>
      <c r="B584" s="18"/>
      <c r="C584" s="18"/>
      <c r="D584" s="18"/>
      <c r="E584" s="18"/>
      <c r="F584" s="18"/>
      <c r="G584" s="18"/>
      <c r="H584" s="20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spans="1:25" x14ac:dyDescent="0.3">
      <c r="A585" s="22"/>
      <c r="B585" s="18"/>
      <c r="C585" s="18"/>
      <c r="D585" s="18"/>
      <c r="E585" s="18"/>
      <c r="F585" s="18"/>
      <c r="G585" s="18"/>
      <c r="H585" s="20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spans="1:25" x14ac:dyDescent="0.3">
      <c r="A586" s="22"/>
      <c r="B586" s="18"/>
      <c r="C586" s="18"/>
      <c r="D586" s="18"/>
      <c r="E586" s="18"/>
      <c r="F586" s="18"/>
      <c r="G586" s="18"/>
      <c r="H586" s="20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spans="1:25" x14ac:dyDescent="0.3">
      <c r="A587" s="22"/>
      <c r="B587" s="18"/>
      <c r="C587" s="18"/>
      <c r="D587" s="18"/>
      <c r="E587" s="18"/>
      <c r="F587" s="18"/>
      <c r="G587" s="18"/>
      <c r="H587" s="20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spans="1:25" x14ac:dyDescent="0.3">
      <c r="A588" s="22"/>
      <c r="B588" s="18"/>
      <c r="C588" s="18"/>
      <c r="D588" s="18"/>
      <c r="E588" s="18"/>
      <c r="F588" s="18"/>
      <c r="G588" s="18"/>
      <c r="H588" s="20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spans="1:25" x14ac:dyDescent="0.3">
      <c r="A589" s="22"/>
      <c r="B589" s="18"/>
      <c r="C589" s="18"/>
      <c r="D589" s="18"/>
      <c r="E589" s="18"/>
      <c r="F589" s="18"/>
      <c r="G589" s="18"/>
      <c r="H589" s="20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spans="1:25" x14ac:dyDescent="0.3">
      <c r="A590" s="22"/>
      <c r="B590" s="18"/>
      <c r="C590" s="18"/>
      <c r="D590" s="18"/>
      <c r="E590" s="18"/>
      <c r="F590" s="18"/>
      <c r="G590" s="18"/>
      <c r="H590" s="20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spans="1:25" x14ac:dyDescent="0.3">
      <c r="A591" s="22"/>
      <c r="B591" s="18"/>
      <c r="C591" s="18"/>
      <c r="D591" s="18"/>
      <c r="E591" s="18"/>
      <c r="F591" s="18"/>
      <c r="G591" s="18"/>
      <c r="H591" s="20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spans="1:25" x14ac:dyDescent="0.3">
      <c r="A592" s="22"/>
      <c r="B592" s="18"/>
      <c r="C592" s="18"/>
      <c r="D592" s="18"/>
      <c r="E592" s="18"/>
      <c r="F592" s="18"/>
      <c r="G592" s="18"/>
      <c r="H592" s="20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spans="1:25" x14ac:dyDescent="0.3">
      <c r="A593" s="22"/>
      <c r="B593" s="18"/>
      <c r="C593" s="18"/>
      <c r="D593" s="18"/>
      <c r="E593" s="18"/>
      <c r="F593" s="18"/>
      <c r="G593" s="18"/>
      <c r="H593" s="20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spans="1:25" x14ac:dyDescent="0.3">
      <c r="A594" s="22"/>
      <c r="B594" s="18"/>
      <c r="C594" s="18"/>
      <c r="D594" s="18"/>
      <c r="E594" s="18"/>
      <c r="F594" s="18"/>
      <c r="G594" s="18"/>
      <c r="H594" s="20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spans="1:25" x14ac:dyDescent="0.3">
      <c r="A595" s="22"/>
      <c r="B595" s="18"/>
      <c r="C595" s="18"/>
      <c r="D595" s="18"/>
      <c r="E595" s="18"/>
      <c r="F595" s="18"/>
      <c r="G595" s="18"/>
      <c r="H595" s="20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spans="1:25" x14ac:dyDescent="0.3">
      <c r="A596" s="22"/>
      <c r="B596" s="18"/>
      <c r="C596" s="18"/>
      <c r="D596" s="18"/>
      <c r="E596" s="18"/>
      <c r="F596" s="18"/>
      <c r="G596" s="18"/>
      <c r="H596" s="20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spans="1:25" x14ac:dyDescent="0.3">
      <c r="A597" s="22"/>
      <c r="B597" s="18"/>
      <c r="C597" s="18"/>
      <c r="D597" s="18"/>
      <c r="E597" s="18"/>
      <c r="F597" s="18"/>
      <c r="G597" s="18"/>
      <c r="H597" s="20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spans="1:25" x14ac:dyDescent="0.3">
      <c r="A598" s="22"/>
      <c r="B598" s="18"/>
      <c r="C598" s="18"/>
      <c r="D598" s="18"/>
      <c r="E598" s="18"/>
      <c r="F598" s="18"/>
      <c r="G598" s="18"/>
      <c r="H598" s="20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spans="1:25" x14ac:dyDescent="0.3">
      <c r="A599" s="22"/>
      <c r="B599" s="18"/>
      <c r="C599" s="18"/>
      <c r="D599" s="18"/>
      <c r="E599" s="18"/>
      <c r="F599" s="18"/>
      <c r="G599" s="18"/>
      <c r="H599" s="20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spans="1:25" x14ac:dyDescent="0.3">
      <c r="A600" s="22"/>
      <c r="B600" s="18"/>
      <c r="C600" s="18"/>
      <c r="D600" s="18"/>
      <c r="E600" s="18"/>
      <c r="F600" s="18"/>
      <c r="G600" s="18"/>
      <c r="H600" s="20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spans="1:25" x14ac:dyDescent="0.3">
      <c r="A601" s="22"/>
      <c r="B601" s="18"/>
      <c r="C601" s="18"/>
      <c r="D601" s="18"/>
      <c r="E601" s="18"/>
      <c r="F601" s="18"/>
      <c r="G601" s="18"/>
      <c r="H601" s="20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spans="1:25" x14ac:dyDescent="0.3">
      <c r="A602" s="22"/>
      <c r="B602" s="18"/>
      <c r="C602" s="18"/>
      <c r="D602" s="18"/>
      <c r="E602" s="18"/>
      <c r="F602" s="18"/>
      <c r="G602" s="18"/>
      <c r="H602" s="20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spans="1:25" x14ac:dyDescent="0.3">
      <c r="A603" s="22"/>
      <c r="B603" s="18"/>
      <c r="C603" s="18"/>
      <c r="D603" s="18"/>
      <c r="E603" s="18"/>
      <c r="F603" s="18"/>
      <c r="G603" s="18"/>
      <c r="H603" s="20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spans="1:25" x14ac:dyDescent="0.3">
      <c r="A604" s="22"/>
      <c r="B604" s="18"/>
      <c r="C604" s="18"/>
      <c r="D604" s="18"/>
      <c r="E604" s="18"/>
      <c r="F604" s="18"/>
      <c r="G604" s="18"/>
      <c r="H604" s="20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spans="1:25" x14ac:dyDescent="0.3">
      <c r="A605" s="22"/>
      <c r="B605" s="18"/>
      <c r="C605" s="18"/>
      <c r="D605" s="18"/>
      <c r="E605" s="18"/>
      <c r="F605" s="18"/>
      <c r="G605" s="18"/>
      <c r="H605" s="20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spans="1:25" x14ac:dyDescent="0.3">
      <c r="A606" s="22"/>
      <c r="B606" s="18"/>
      <c r="C606" s="18"/>
      <c r="D606" s="18"/>
      <c r="E606" s="18"/>
      <c r="F606" s="18"/>
      <c r="G606" s="18"/>
      <c r="H606" s="20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spans="1:25" x14ac:dyDescent="0.3">
      <c r="A607" s="22"/>
      <c r="B607" s="18"/>
      <c r="C607" s="18"/>
      <c r="D607" s="18"/>
      <c r="E607" s="18"/>
      <c r="F607" s="18"/>
      <c r="G607" s="18"/>
      <c r="H607" s="20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spans="1:25" x14ac:dyDescent="0.3">
      <c r="A608" s="22"/>
      <c r="B608" s="18"/>
      <c r="C608" s="18"/>
      <c r="D608" s="18"/>
      <c r="E608" s="18"/>
      <c r="F608" s="18"/>
      <c r="G608" s="18"/>
      <c r="H608" s="20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spans="1:25" x14ac:dyDescent="0.3">
      <c r="A609" s="22"/>
      <c r="B609" s="18"/>
      <c r="C609" s="18"/>
      <c r="D609" s="18"/>
      <c r="E609" s="18"/>
      <c r="F609" s="18"/>
      <c r="G609" s="18"/>
      <c r="H609" s="20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spans="1:25" x14ac:dyDescent="0.3">
      <c r="A610" s="22"/>
      <c r="B610" s="18"/>
      <c r="C610" s="18"/>
      <c r="D610" s="18"/>
      <c r="E610" s="18"/>
      <c r="F610" s="18"/>
      <c r="G610" s="18"/>
      <c r="H610" s="20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spans="1:25" x14ac:dyDescent="0.3">
      <c r="A611" s="22"/>
      <c r="B611" s="18"/>
      <c r="C611" s="18"/>
      <c r="D611" s="18"/>
      <c r="E611" s="18"/>
      <c r="F611" s="18"/>
      <c r="G611" s="18"/>
      <c r="H611" s="20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spans="1:25" x14ac:dyDescent="0.3">
      <c r="A612" s="22"/>
      <c r="B612" s="18"/>
      <c r="C612" s="18"/>
      <c r="D612" s="18"/>
      <c r="E612" s="18"/>
      <c r="F612" s="18"/>
      <c r="G612" s="18"/>
      <c r="H612" s="20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spans="1:25" x14ac:dyDescent="0.3">
      <c r="A613" s="22"/>
      <c r="B613" s="18"/>
      <c r="C613" s="18"/>
      <c r="D613" s="18"/>
      <c r="E613" s="18"/>
      <c r="F613" s="18"/>
      <c r="G613" s="18"/>
      <c r="H613" s="20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spans="1:25" x14ac:dyDescent="0.3">
      <c r="A614" s="22"/>
      <c r="B614" s="18"/>
      <c r="C614" s="18"/>
      <c r="D614" s="18"/>
      <c r="E614" s="18"/>
      <c r="F614" s="18"/>
      <c r="G614" s="18"/>
      <c r="H614" s="20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spans="1:25" x14ac:dyDescent="0.3">
      <c r="A615" s="22"/>
      <c r="B615" s="18"/>
      <c r="C615" s="18"/>
      <c r="D615" s="18"/>
      <c r="E615" s="18"/>
      <c r="F615" s="18"/>
      <c r="G615" s="18"/>
      <c r="H615" s="20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spans="1:25" x14ac:dyDescent="0.3">
      <c r="A616" s="22"/>
      <c r="B616" s="18"/>
      <c r="C616" s="18"/>
      <c r="D616" s="18"/>
      <c r="E616" s="18"/>
      <c r="F616" s="18"/>
      <c r="G616" s="18"/>
      <c r="H616" s="20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spans="1:25" x14ac:dyDescent="0.3">
      <c r="A617" s="22"/>
      <c r="B617" s="18"/>
      <c r="C617" s="18"/>
      <c r="D617" s="18"/>
      <c r="E617" s="18"/>
      <c r="F617" s="18"/>
      <c r="G617" s="18"/>
      <c r="H617" s="20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spans="1:25" x14ac:dyDescent="0.3">
      <c r="A618" s="22"/>
      <c r="B618" s="18"/>
      <c r="C618" s="18"/>
      <c r="D618" s="18"/>
      <c r="E618" s="18"/>
      <c r="F618" s="18"/>
      <c r="G618" s="18"/>
      <c r="H618" s="20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spans="1:25" x14ac:dyDescent="0.3">
      <c r="A619" s="22"/>
      <c r="B619" s="18"/>
      <c r="C619" s="18"/>
      <c r="D619" s="18"/>
      <c r="E619" s="18"/>
      <c r="F619" s="18"/>
      <c r="G619" s="18"/>
      <c r="H619" s="20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spans="1:25" x14ac:dyDescent="0.3">
      <c r="A620" s="22"/>
      <c r="B620" s="18"/>
      <c r="C620" s="18"/>
      <c r="D620" s="18"/>
      <c r="E620" s="18"/>
      <c r="F620" s="18"/>
      <c r="G620" s="18"/>
      <c r="H620" s="20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spans="1:25" x14ac:dyDescent="0.3">
      <c r="A621" s="22"/>
      <c r="B621" s="18"/>
      <c r="C621" s="18"/>
      <c r="D621" s="18"/>
      <c r="E621" s="18"/>
      <c r="F621" s="18"/>
      <c r="G621" s="18"/>
      <c r="H621" s="20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spans="1:25" x14ac:dyDescent="0.3">
      <c r="A622" s="22"/>
      <c r="B622" s="18"/>
      <c r="C622" s="18"/>
      <c r="D622" s="18"/>
      <c r="E622" s="18"/>
      <c r="F622" s="18"/>
      <c r="G622" s="18"/>
      <c r="H622" s="20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spans="1:25" x14ac:dyDescent="0.3">
      <c r="A623" s="22"/>
      <c r="B623" s="18"/>
      <c r="C623" s="18"/>
      <c r="D623" s="18"/>
      <c r="E623" s="18"/>
      <c r="F623" s="18"/>
      <c r="G623" s="18"/>
      <c r="H623" s="20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spans="1:25" x14ac:dyDescent="0.3">
      <c r="A624" s="22"/>
      <c r="B624" s="18"/>
      <c r="C624" s="18"/>
      <c r="D624" s="18"/>
      <c r="E624" s="18"/>
      <c r="F624" s="18"/>
      <c r="G624" s="18"/>
      <c r="H624" s="20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spans="1:25" x14ac:dyDescent="0.3">
      <c r="A625" s="22"/>
      <c r="B625" s="18"/>
      <c r="C625" s="18"/>
      <c r="D625" s="18"/>
      <c r="E625" s="18"/>
      <c r="F625" s="18"/>
      <c r="G625" s="18"/>
      <c r="H625" s="20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spans="1:25" x14ac:dyDescent="0.3">
      <c r="A626" s="22"/>
      <c r="B626" s="18"/>
      <c r="C626" s="18"/>
      <c r="D626" s="18"/>
      <c r="E626" s="18"/>
      <c r="F626" s="18"/>
      <c r="G626" s="18"/>
      <c r="H626" s="20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spans="1:25" x14ac:dyDescent="0.3">
      <c r="A627" s="22"/>
      <c r="B627" s="18"/>
      <c r="C627" s="18"/>
      <c r="D627" s="18"/>
      <c r="E627" s="18"/>
      <c r="F627" s="18"/>
      <c r="G627" s="18"/>
      <c r="H627" s="20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spans="1:25" x14ac:dyDescent="0.3">
      <c r="A628" s="22"/>
      <c r="B628" s="18"/>
      <c r="C628" s="18"/>
      <c r="D628" s="18"/>
      <c r="E628" s="18"/>
      <c r="F628" s="18"/>
      <c r="G628" s="18"/>
      <c r="H628" s="20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spans="1:25" x14ac:dyDescent="0.3">
      <c r="A629" s="22"/>
      <c r="B629" s="18"/>
      <c r="C629" s="18"/>
      <c r="D629" s="18"/>
      <c r="E629" s="18"/>
      <c r="F629" s="18"/>
      <c r="G629" s="18"/>
      <c r="H629" s="20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spans="1:25" x14ac:dyDescent="0.3">
      <c r="A630" s="22"/>
      <c r="B630" s="18"/>
      <c r="C630" s="18"/>
      <c r="D630" s="18"/>
      <c r="E630" s="18"/>
      <c r="F630" s="18"/>
      <c r="G630" s="18"/>
      <c r="H630" s="20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spans="1:25" x14ac:dyDescent="0.3">
      <c r="A631" s="22"/>
      <c r="B631" s="18"/>
      <c r="C631" s="18"/>
      <c r="D631" s="18"/>
      <c r="E631" s="18"/>
      <c r="F631" s="18"/>
      <c r="G631" s="18"/>
      <c r="H631" s="20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spans="1:25" x14ac:dyDescent="0.3">
      <c r="A632" s="22"/>
      <c r="B632" s="18"/>
      <c r="C632" s="18"/>
      <c r="D632" s="18"/>
      <c r="E632" s="18"/>
      <c r="F632" s="18"/>
      <c r="G632" s="18"/>
      <c r="H632" s="20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spans="1:25" x14ac:dyDescent="0.3">
      <c r="A633" s="22"/>
      <c r="B633" s="18"/>
      <c r="C633" s="18"/>
      <c r="D633" s="18"/>
      <c r="E633" s="18"/>
      <c r="F633" s="18"/>
      <c r="G633" s="18"/>
      <c r="H633" s="20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spans="1:25" x14ac:dyDescent="0.3">
      <c r="A634" s="22"/>
      <c r="B634" s="18"/>
      <c r="C634" s="18"/>
      <c r="D634" s="18"/>
      <c r="E634" s="18"/>
      <c r="F634" s="18"/>
      <c r="G634" s="18"/>
      <c r="H634" s="20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spans="1:25" x14ac:dyDescent="0.3">
      <c r="A635" s="22"/>
      <c r="B635" s="18"/>
      <c r="C635" s="18"/>
      <c r="D635" s="18"/>
      <c r="E635" s="18"/>
      <c r="F635" s="18"/>
      <c r="G635" s="18"/>
      <c r="H635" s="20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spans="1:25" x14ac:dyDescent="0.3">
      <c r="A636" s="22"/>
      <c r="B636" s="18"/>
      <c r="C636" s="18"/>
      <c r="D636" s="18"/>
      <c r="E636" s="18"/>
      <c r="F636" s="18"/>
      <c r="G636" s="18"/>
      <c r="H636" s="20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spans="1:25" x14ac:dyDescent="0.3">
      <c r="A637" s="22"/>
      <c r="B637" s="18"/>
      <c r="C637" s="18"/>
      <c r="D637" s="18"/>
      <c r="E637" s="18"/>
      <c r="F637" s="18"/>
      <c r="G637" s="18"/>
      <c r="H637" s="20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spans="1:25" x14ac:dyDescent="0.3">
      <c r="A638" s="22"/>
      <c r="B638" s="18"/>
      <c r="C638" s="18"/>
      <c r="D638" s="18"/>
      <c r="E638" s="18"/>
      <c r="F638" s="18"/>
      <c r="G638" s="18"/>
      <c r="H638" s="20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spans="1:25" x14ac:dyDescent="0.3">
      <c r="A639" s="22"/>
      <c r="B639" s="18"/>
      <c r="C639" s="18"/>
      <c r="D639" s="18"/>
      <c r="E639" s="18"/>
      <c r="F639" s="18"/>
      <c r="G639" s="18"/>
      <c r="H639" s="20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spans="1:25" x14ac:dyDescent="0.3">
      <c r="A640" s="22"/>
      <c r="B640" s="18"/>
      <c r="C640" s="18"/>
      <c r="D640" s="18"/>
      <c r="E640" s="18"/>
      <c r="F640" s="18"/>
      <c r="G640" s="18"/>
      <c r="H640" s="20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5" x14ac:dyDescent="0.3">
      <c r="A641" s="22"/>
      <c r="B641" s="18"/>
      <c r="C641" s="18"/>
      <c r="D641" s="18"/>
      <c r="E641" s="18"/>
      <c r="F641" s="18"/>
      <c r="G641" s="18"/>
      <c r="H641" s="20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spans="1:25" x14ac:dyDescent="0.3">
      <c r="A642" s="22"/>
      <c r="B642" s="18"/>
      <c r="C642" s="18"/>
      <c r="D642" s="18"/>
      <c r="E642" s="18"/>
      <c r="F642" s="18"/>
      <c r="G642" s="18"/>
      <c r="H642" s="20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spans="1:25" x14ac:dyDescent="0.3">
      <c r="A643" s="22"/>
      <c r="B643" s="18"/>
      <c r="C643" s="18"/>
      <c r="D643" s="18"/>
      <c r="E643" s="18"/>
      <c r="F643" s="18"/>
      <c r="G643" s="18"/>
      <c r="H643" s="20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spans="1:25" x14ac:dyDescent="0.3">
      <c r="A644" s="22"/>
      <c r="B644" s="18"/>
      <c r="C644" s="18"/>
      <c r="D644" s="18"/>
      <c r="E644" s="18"/>
      <c r="F644" s="18"/>
      <c r="G644" s="18"/>
      <c r="H644" s="20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spans="1:25" x14ac:dyDescent="0.3">
      <c r="A645" s="22"/>
      <c r="B645" s="18"/>
      <c r="C645" s="18"/>
      <c r="D645" s="18"/>
      <c r="E645" s="18"/>
      <c r="F645" s="18"/>
      <c r="G645" s="18"/>
      <c r="H645" s="20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spans="1:25" x14ac:dyDescent="0.3">
      <c r="A646" s="22"/>
      <c r="B646" s="18"/>
      <c r="C646" s="18"/>
      <c r="D646" s="18"/>
      <c r="E646" s="18"/>
      <c r="F646" s="18"/>
      <c r="G646" s="18"/>
      <c r="H646" s="20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spans="1:25" x14ac:dyDescent="0.3">
      <c r="A647" s="22"/>
      <c r="B647" s="18"/>
      <c r="C647" s="18"/>
      <c r="D647" s="18"/>
      <c r="E647" s="18"/>
      <c r="F647" s="18"/>
      <c r="G647" s="18"/>
      <c r="H647" s="20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spans="1:25" x14ac:dyDescent="0.3">
      <c r="A648" s="22"/>
      <c r="B648" s="18"/>
      <c r="C648" s="18"/>
      <c r="D648" s="18"/>
      <c r="E648" s="18"/>
      <c r="F648" s="18"/>
      <c r="G648" s="18"/>
      <c r="H648" s="20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spans="1:25" x14ac:dyDescent="0.3">
      <c r="A649" s="22"/>
      <c r="B649" s="18"/>
      <c r="C649" s="18"/>
      <c r="D649" s="18"/>
      <c r="E649" s="18"/>
      <c r="F649" s="18"/>
      <c r="G649" s="18"/>
      <c r="H649" s="20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spans="1:25" x14ac:dyDescent="0.3">
      <c r="A650" s="22"/>
      <c r="B650" s="18"/>
      <c r="C650" s="18"/>
      <c r="D650" s="18"/>
      <c r="E650" s="18"/>
      <c r="F650" s="18"/>
      <c r="G650" s="18"/>
      <c r="H650" s="20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spans="1:25" x14ac:dyDescent="0.3">
      <c r="A651" s="22"/>
      <c r="B651" s="18"/>
      <c r="C651" s="18"/>
      <c r="D651" s="18"/>
      <c r="E651" s="18"/>
      <c r="F651" s="18"/>
      <c r="G651" s="18"/>
      <c r="H651" s="20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spans="1:25" x14ac:dyDescent="0.3">
      <c r="A652" s="22"/>
      <c r="B652" s="18"/>
      <c r="C652" s="18"/>
      <c r="D652" s="18"/>
      <c r="E652" s="18"/>
      <c r="F652" s="18"/>
      <c r="G652" s="18"/>
      <c r="H652" s="20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spans="1:25" x14ac:dyDescent="0.3">
      <c r="A653" s="22"/>
      <c r="B653" s="18"/>
      <c r="C653" s="18"/>
      <c r="D653" s="18"/>
      <c r="E653" s="18"/>
      <c r="F653" s="18"/>
      <c r="G653" s="18"/>
      <c r="H653" s="20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spans="1:25" x14ac:dyDescent="0.3">
      <c r="A654" s="22"/>
      <c r="B654" s="18"/>
      <c r="C654" s="18"/>
      <c r="D654" s="18"/>
      <c r="E654" s="18"/>
      <c r="F654" s="18"/>
      <c r="G654" s="18"/>
      <c r="H654" s="20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spans="1:25" x14ac:dyDescent="0.3">
      <c r="A655" s="22"/>
      <c r="B655" s="18"/>
      <c r="C655" s="18"/>
      <c r="D655" s="18"/>
      <c r="E655" s="18"/>
      <c r="F655" s="18"/>
      <c r="G655" s="18"/>
      <c r="H655" s="20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spans="1:25" x14ac:dyDescent="0.3">
      <c r="A656" s="22"/>
      <c r="B656" s="18"/>
      <c r="C656" s="18"/>
      <c r="D656" s="18"/>
      <c r="E656" s="18"/>
      <c r="F656" s="18"/>
      <c r="G656" s="18"/>
      <c r="H656" s="20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spans="1:25" x14ac:dyDescent="0.3">
      <c r="A657" s="22"/>
      <c r="B657" s="18"/>
      <c r="C657" s="18"/>
      <c r="D657" s="18"/>
      <c r="E657" s="18"/>
      <c r="F657" s="18"/>
      <c r="G657" s="18"/>
      <c r="H657" s="20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spans="1:25" x14ac:dyDescent="0.3">
      <c r="A658" s="22"/>
      <c r="B658" s="18"/>
      <c r="C658" s="18"/>
      <c r="D658" s="18"/>
      <c r="E658" s="18"/>
      <c r="F658" s="18"/>
      <c r="G658" s="18"/>
      <c r="H658" s="20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spans="1:25" x14ac:dyDescent="0.3">
      <c r="A659" s="22"/>
      <c r="B659" s="18"/>
      <c r="C659" s="18"/>
      <c r="D659" s="18"/>
      <c r="E659" s="18"/>
      <c r="F659" s="18"/>
      <c r="G659" s="18"/>
      <c r="H659" s="20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spans="1:25" x14ac:dyDescent="0.3">
      <c r="A660" s="22"/>
      <c r="B660" s="18"/>
      <c r="C660" s="18"/>
      <c r="D660" s="18"/>
      <c r="E660" s="18"/>
      <c r="F660" s="18"/>
      <c r="G660" s="18"/>
      <c r="H660" s="20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spans="1:25" x14ac:dyDescent="0.3">
      <c r="A661" s="22"/>
      <c r="B661" s="18"/>
      <c r="C661" s="18"/>
      <c r="D661" s="18"/>
      <c r="E661" s="18"/>
      <c r="F661" s="18"/>
      <c r="G661" s="18"/>
      <c r="H661" s="20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spans="1:25" x14ac:dyDescent="0.3">
      <c r="A662" s="22"/>
      <c r="B662" s="18"/>
      <c r="C662" s="18"/>
      <c r="D662" s="18"/>
      <c r="E662" s="18"/>
      <c r="F662" s="18"/>
      <c r="G662" s="18"/>
      <c r="H662" s="20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spans="1:25" x14ac:dyDescent="0.3">
      <c r="A663" s="22"/>
      <c r="B663" s="18"/>
      <c r="C663" s="18"/>
      <c r="D663" s="18"/>
      <c r="E663" s="18"/>
      <c r="F663" s="18"/>
      <c r="G663" s="18"/>
      <c r="H663" s="20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spans="1:25" x14ac:dyDescent="0.3">
      <c r="A664" s="22"/>
      <c r="B664" s="18"/>
      <c r="C664" s="18"/>
      <c r="D664" s="18"/>
      <c r="E664" s="18"/>
      <c r="F664" s="18"/>
      <c r="G664" s="18"/>
      <c r="H664" s="20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spans="1:25" x14ac:dyDescent="0.3">
      <c r="A665" s="22"/>
      <c r="B665" s="18"/>
      <c r="C665" s="18"/>
      <c r="D665" s="18"/>
      <c r="E665" s="18"/>
      <c r="F665" s="18"/>
      <c r="G665" s="18"/>
      <c r="H665" s="20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spans="1:25" x14ac:dyDescent="0.3">
      <c r="A666" s="22"/>
      <c r="B666" s="18"/>
      <c r="C666" s="18"/>
      <c r="D666" s="18"/>
      <c r="E666" s="18"/>
      <c r="F666" s="18"/>
      <c r="G666" s="18"/>
      <c r="H666" s="20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spans="1:25" x14ac:dyDescent="0.3">
      <c r="A667" s="22"/>
      <c r="B667" s="18"/>
      <c r="C667" s="18"/>
      <c r="D667" s="18"/>
      <c r="E667" s="18"/>
      <c r="F667" s="18"/>
      <c r="G667" s="18"/>
      <c r="H667" s="20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spans="1:25" x14ac:dyDescent="0.3">
      <c r="A668" s="22"/>
      <c r="B668" s="18"/>
      <c r="C668" s="18"/>
      <c r="D668" s="18"/>
      <c r="E668" s="18"/>
      <c r="F668" s="18"/>
      <c r="G668" s="18"/>
      <c r="H668" s="20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spans="1:25" x14ac:dyDescent="0.3">
      <c r="A669" s="22"/>
      <c r="B669" s="18"/>
      <c r="C669" s="18"/>
      <c r="D669" s="18"/>
      <c r="E669" s="18"/>
      <c r="F669" s="18"/>
      <c r="G669" s="18"/>
      <c r="H669" s="20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spans="1:25" x14ac:dyDescent="0.3">
      <c r="A670" s="22"/>
      <c r="B670" s="18"/>
      <c r="C670" s="18"/>
      <c r="D670" s="18"/>
      <c r="E670" s="18"/>
      <c r="F670" s="18"/>
      <c r="G670" s="18"/>
      <c r="H670" s="20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spans="1:25" x14ac:dyDescent="0.3">
      <c r="A671" s="22"/>
      <c r="B671" s="18"/>
      <c r="C671" s="18"/>
      <c r="D671" s="18"/>
      <c r="E671" s="18"/>
      <c r="F671" s="18"/>
      <c r="G671" s="18"/>
      <c r="H671" s="20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spans="1:25" x14ac:dyDescent="0.3">
      <c r="A672" s="22"/>
      <c r="B672" s="18"/>
      <c r="C672" s="18"/>
      <c r="D672" s="18"/>
      <c r="E672" s="18"/>
      <c r="F672" s="18"/>
      <c r="G672" s="18"/>
      <c r="H672" s="20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spans="1:25" x14ac:dyDescent="0.3">
      <c r="A673" s="22"/>
      <c r="B673" s="18"/>
      <c r="C673" s="18"/>
      <c r="D673" s="18"/>
      <c r="E673" s="18"/>
      <c r="F673" s="18"/>
      <c r="G673" s="18"/>
      <c r="H673" s="20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spans="1:25" x14ac:dyDescent="0.3">
      <c r="A674" s="22"/>
      <c r="B674" s="18"/>
      <c r="C674" s="18"/>
      <c r="D674" s="18"/>
      <c r="E674" s="18"/>
      <c r="F674" s="18"/>
      <c r="G674" s="18"/>
      <c r="H674" s="20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spans="1:25" x14ac:dyDescent="0.3">
      <c r="A675" s="22"/>
      <c r="B675" s="18"/>
      <c r="C675" s="18"/>
      <c r="D675" s="18"/>
      <c r="E675" s="18"/>
      <c r="F675" s="18"/>
      <c r="G675" s="18"/>
      <c r="H675" s="20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spans="1:25" x14ac:dyDescent="0.3">
      <c r="A676" s="22"/>
      <c r="B676" s="18"/>
      <c r="C676" s="18"/>
      <c r="D676" s="18"/>
      <c r="E676" s="18"/>
      <c r="F676" s="18"/>
      <c r="G676" s="18"/>
      <c r="H676" s="20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spans="1:25" x14ac:dyDescent="0.3">
      <c r="A677" s="22"/>
      <c r="B677" s="18"/>
      <c r="C677" s="18"/>
      <c r="D677" s="18"/>
      <c r="E677" s="18"/>
      <c r="F677" s="18"/>
      <c r="G677" s="18"/>
      <c r="H677" s="20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spans="1:25" x14ac:dyDescent="0.3">
      <c r="A678" s="22"/>
      <c r="B678" s="18"/>
      <c r="C678" s="18"/>
      <c r="D678" s="18"/>
      <c r="E678" s="18"/>
      <c r="F678" s="18"/>
      <c r="G678" s="18"/>
      <c r="H678" s="20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spans="1:25" x14ac:dyDescent="0.3">
      <c r="A679" s="22"/>
      <c r="B679" s="18"/>
      <c r="C679" s="18"/>
      <c r="D679" s="18"/>
      <c r="E679" s="18"/>
      <c r="F679" s="18"/>
      <c r="G679" s="18"/>
      <c r="H679" s="20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spans="1:25" x14ac:dyDescent="0.3">
      <c r="A680" s="22"/>
      <c r="B680" s="18"/>
      <c r="C680" s="18"/>
      <c r="D680" s="18"/>
      <c r="E680" s="18"/>
      <c r="F680" s="18"/>
      <c r="G680" s="18"/>
      <c r="H680" s="20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spans="1:25" x14ac:dyDescent="0.3">
      <c r="A681" s="22"/>
      <c r="B681" s="18"/>
      <c r="C681" s="18"/>
      <c r="D681" s="18"/>
      <c r="E681" s="18"/>
      <c r="F681" s="18"/>
      <c r="G681" s="18"/>
      <c r="H681" s="20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spans="1:25" x14ac:dyDescent="0.3">
      <c r="A682" s="22"/>
      <c r="B682" s="18"/>
      <c r="C682" s="18"/>
      <c r="D682" s="18"/>
      <c r="E682" s="18"/>
      <c r="F682" s="18"/>
      <c r="G682" s="18"/>
      <c r="H682" s="20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spans="1:25" x14ac:dyDescent="0.3">
      <c r="A683" s="22"/>
      <c r="B683" s="18"/>
      <c r="C683" s="18"/>
      <c r="D683" s="18"/>
      <c r="E683" s="18"/>
      <c r="F683" s="18"/>
      <c r="G683" s="18"/>
      <c r="H683" s="20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spans="1:25" x14ac:dyDescent="0.3">
      <c r="A684" s="22"/>
      <c r="B684" s="18"/>
      <c r="C684" s="18"/>
      <c r="D684" s="18"/>
      <c r="E684" s="18"/>
      <c r="F684" s="18"/>
      <c r="G684" s="18"/>
      <c r="H684" s="20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spans="1:25" x14ac:dyDescent="0.3">
      <c r="A685" s="22"/>
      <c r="B685" s="18"/>
      <c r="C685" s="18"/>
      <c r="D685" s="18"/>
      <c r="E685" s="18"/>
      <c r="F685" s="18"/>
      <c r="G685" s="18"/>
      <c r="H685" s="20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spans="1:25" x14ac:dyDescent="0.3">
      <c r="A686" s="22"/>
      <c r="B686" s="18"/>
      <c r="C686" s="18"/>
      <c r="D686" s="18"/>
      <c r="E686" s="18"/>
      <c r="F686" s="18"/>
      <c r="G686" s="18"/>
      <c r="H686" s="20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spans="1:25" x14ac:dyDescent="0.3">
      <c r="A687" s="22"/>
      <c r="B687" s="18"/>
      <c r="C687" s="18"/>
      <c r="D687" s="18"/>
      <c r="E687" s="18"/>
      <c r="F687" s="18"/>
      <c r="G687" s="18"/>
      <c r="H687" s="20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spans="1:25" x14ac:dyDescent="0.3">
      <c r="A688" s="22"/>
      <c r="B688" s="18"/>
      <c r="C688" s="18"/>
      <c r="D688" s="18"/>
      <c r="E688" s="18"/>
      <c r="F688" s="18"/>
      <c r="G688" s="18"/>
      <c r="H688" s="20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spans="1:25" x14ac:dyDescent="0.3">
      <c r="A689" s="22"/>
      <c r="B689" s="18"/>
      <c r="C689" s="18"/>
      <c r="D689" s="18"/>
      <c r="E689" s="18"/>
      <c r="F689" s="18"/>
      <c r="G689" s="18"/>
      <c r="H689" s="20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spans="1:25" x14ac:dyDescent="0.3">
      <c r="A690" s="22"/>
      <c r="B690" s="18"/>
      <c r="C690" s="18"/>
      <c r="D690" s="18"/>
      <c r="E690" s="18"/>
      <c r="F690" s="18"/>
      <c r="G690" s="18"/>
      <c r="H690" s="20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spans="1:25" x14ac:dyDescent="0.3">
      <c r="A691" s="22"/>
      <c r="B691" s="18"/>
      <c r="C691" s="18"/>
      <c r="D691" s="18"/>
      <c r="E691" s="18"/>
      <c r="F691" s="18"/>
      <c r="G691" s="18"/>
      <c r="H691" s="20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spans="1:25" x14ac:dyDescent="0.3">
      <c r="A692" s="22"/>
      <c r="B692" s="18"/>
      <c r="C692" s="18"/>
      <c r="D692" s="18"/>
      <c r="E692" s="18"/>
      <c r="F692" s="18"/>
      <c r="G692" s="18"/>
      <c r="H692" s="20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spans="1:25" x14ac:dyDescent="0.3">
      <c r="A693" s="22"/>
      <c r="B693" s="18"/>
      <c r="C693" s="18"/>
      <c r="D693" s="18"/>
      <c r="E693" s="18"/>
      <c r="F693" s="18"/>
      <c r="G693" s="18"/>
      <c r="H693" s="20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spans="1:25" x14ac:dyDescent="0.3">
      <c r="A694" s="22"/>
      <c r="B694" s="18"/>
      <c r="C694" s="18"/>
      <c r="D694" s="18"/>
      <c r="E694" s="18"/>
      <c r="F694" s="18"/>
      <c r="G694" s="18"/>
      <c r="H694" s="20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spans="1:25" x14ac:dyDescent="0.3">
      <c r="A695" s="22"/>
      <c r="B695" s="18"/>
      <c r="C695" s="18"/>
      <c r="D695" s="18"/>
      <c r="E695" s="18"/>
      <c r="F695" s="18"/>
      <c r="G695" s="18"/>
      <c r="H695" s="20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spans="1:25" x14ac:dyDescent="0.3">
      <c r="A696" s="22"/>
      <c r="B696" s="18"/>
      <c r="C696" s="18"/>
      <c r="D696" s="18"/>
      <c r="E696" s="18"/>
      <c r="F696" s="18"/>
      <c r="G696" s="18"/>
      <c r="H696" s="20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spans="1:25" x14ac:dyDescent="0.3">
      <c r="A697" s="22"/>
      <c r="B697" s="18"/>
      <c r="C697" s="18"/>
      <c r="D697" s="18"/>
      <c r="E697" s="18"/>
      <c r="F697" s="18"/>
      <c r="G697" s="18"/>
      <c r="H697" s="20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spans="1:25" x14ac:dyDescent="0.3">
      <c r="A698" s="22"/>
      <c r="B698" s="18"/>
      <c r="C698" s="18"/>
      <c r="D698" s="18"/>
      <c r="E698" s="18"/>
      <c r="F698" s="18"/>
      <c r="G698" s="18"/>
      <c r="H698" s="20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spans="1:25" x14ac:dyDescent="0.3">
      <c r="A699" s="22"/>
      <c r="B699" s="18"/>
      <c r="C699" s="18"/>
      <c r="D699" s="18"/>
      <c r="E699" s="18"/>
      <c r="F699" s="18"/>
      <c r="G699" s="18"/>
      <c r="H699" s="20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spans="1:25" x14ac:dyDescent="0.3">
      <c r="A700" s="22"/>
      <c r="B700" s="18"/>
      <c r="C700" s="18"/>
      <c r="D700" s="18"/>
      <c r="E700" s="18"/>
      <c r="F700" s="18"/>
      <c r="G700" s="18"/>
      <c r="H700" s="20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spans="1:25" x14ac:dyDescent="0.3">
      <c r="A701" s="22"/>
      <c r="B701" s="18"/>
      <c r="C701" s="18"/>
      <c r="D701" s="18"/>
      <c r="E701" s="18"/>
      <c r="F701" s="18"/>
      <c r="G701" s="18"/>
      <c r="H701" s="20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spans="1:25" x14ac:dyDescent="0.3">
      <c r="A702" s="22"/>
      <c r="B702" s="18"/>
      <c r="C702" s="18"/>
      <c r="D702" s="18"/>
      <c r="E702" s="18"/>
      <c r="F702" s="18"/>
      <c r="G702" s="18"/>
      <c r="H702" s="20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spans="1:25" x14ac:dyDescent="0.3">
      <c r="A703" s="22"/>
      <c r="B703" s="18"/>
      <c r="C703" s="18"/>
      <c r="D703" s="18"/>
      <c r="E703" s="18"/>
      <c r="F703" s="18"/>
      <c r="G703" s="18"/>
      <c r="H703" s="20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spans="1:25" x14ac:dyDescent="0.3">
      <c r="A704" s="22"/>
      <c r="B704" s="18"/>
      <c r="C704" s="18"/>
      <c r="D704" s="18"/>
      <c r="E704" s="18"/>
      <c r="F704" s="18"/>
      <c r="G704" s="18"/>
      <c r="H704" s="20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spans="1:25" x14ac:dyDescent="0.3">
      <c r="A705" s="22"/>
      <c r="B705" s="18"/>
      <c r="C705" s="18"/>
      <c r="D705" s="18"/>
      <c r="E705" s="18"/>
      <c r="F705" s="18"/>
      <c r="G705" s="18"/>
      <c r="H705" s="20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spans="1:25" x14ac:dyDescent="0.3">
      <c r="A706" s="22"/>
      <c r="B706" s="18"/>
      <c r="C706" s="18"/>
      <c r="D706" s="18"/>
      <c r="E706" s="18"/>
      <c r="F706" s="18"/>
      <c r="G706" s="18"/>
      <c r="H706" s="20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spans="1:25" x14ac:dyDescent="0.3">
      <c r="A707" s="22"/>
      <c r="B707" s="18"/>
      <c r="C707" s="18"/>
      <c r="D707" s="18"/>
      <c r="E707" s="18"/>
      <c r="F707" s="18"/>
      <c r="G707" s="18"/>
      <c r="H707" s="20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spans="1:25" x14ac:dyDescent="0.3">
      <c r="A708" s="22"/>
      <c r="B708" s="18"/>
      <c r="C708" s="18"/>
      <c r="D708" s="18"/>
      <c r="E708" s="18"/>
      <c r="F708" s="18"/>
      <c r="G708" s="18"/>
      <c r="H708" s="20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spans="1:25" x14ac:dyDescent="0.3">
      <c r="A709" s="22"/>
      <c r="B709" s="18"/>
      <c r="C709" s="18"/>
      <c r="D709" s="18"/>
      <c r="E709" s="18"/>
      <c r="F709" s="18"/>
      <c r="G709" s="18"/>
      <c r="H709" s="20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spans="1:25" x14ac:dyDescent="0.3">
      <c r="A710" s="22"/>
      <c r="B710" s="18"/>
      <c r="C710" s="18"/>
      <c r="D710" s="18"/>
      <c r="E710" s="18"/>
      <c r="F710" s="18"/>
      <c r="G710" s="18"/>
      <c r="H710" s="20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spans="1:25" x14ac:dyDescent="0.3">
      <c r="A711" s="22"/>
      <c r="B711" s="18"/>
      <c r="C711" s="18"/>
      <c r="D711" s="18"/>
      <c r="E711" s="18"/>
      <c r="F711" s="18"/>
      <c r="G711" s="18"/>
      <c r="H711" s="20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spans="1:25" x14ac:dyDescent="0.3">
      <c r="A712" s="22"/>
      <c r="B712" s="18"/>
      <c r="C712" s="18"/>
      <c r="D712" s="18"/>
      <c r="E712" s="18"/>
      <c r="F712" s="18"/>
      <c r="G712" s="18"/>
      <c r="H712" s="20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spans="1:25" x14ac:dyDescent="0.3">
      <c r="A713" s="22"/>
      <c r="B713" s="18"/>
      <c r="C713" s="18"/>
      <c r="D713" s="18"/>
      <c r="E713" s="18"/>
      <c r="F713" s="18"/>
      <c r="G713" s="18"/>
      <c r="H713" s="20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spans="1:25" x14ac:dyDescent="0.3">
      <c r="A714" s="22"/>
      <c r="B714" s="18"/>
      <c r="C714" s="18"/>
      <c r="D714" s="18"/>
      <c r="E714" s="18"/>
      <c r="F714" s="18"/>
      <c r="G714" s="18"/>
      <c r="H714" s="20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spans="1:25" x14ac:dyDescent="0.3">
      <c r="A715" s="22"/>
      <c r="B715" s="18"/>
      <c r="C715" s="18"/>
      <c r="D715" s="18"/>
      <c r="E715" s="18"/>
      <c r="F715" s="18"/>
      <c r="G715" s="18"/>
      <c r="H715" s="20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spans="1:25" x14ac:dyDescent="0.3">
      <c r="A716" s="22"/>
      <c r="B716" s="18"/>
      <c r="C716" s="18"/>
      <c r="D716" s="18"/>
      <c r="E716" s="18"/>
      <c r="F716" s="18"/>
      <c r="G716" s="18"/>
      <c r="H716" s="20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spans="1:25" x14ac:dyDescent="0.3">
      <c r="A717" s="22"/>
      <c r="B717" s="18"/>
      <c r="C717" s="18"/>
      <c r="D717" s="18"/>
      <c r="E717" s="18"/>
      <c r="F717" s="18"/>
      <c r="G717" s="18"/>
      <c r="H717" s="20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spans="1:25" x14ac:dyDescent="0.3">
      <c r="A718" s="22"/>
      <c r="B718" s="18"/>
      <c r="C718" s="18"/>
      <c r="D718" s="18"/>
      <c r="E718" s="18"/>
      <c r="F718" s="18"/>
      <c r="G718" s="18"/>
      <c r="H718" s="20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spans="1:25" x14ac:dyDescent="0.3">
      <c r="A719" s="22"/>
      <c r="B719" s="18"/>
      <c r="C719" s="18"/>
      <c r="D719" s="18"/>
      <c r="E719" s="18"/>
      <c r="F719" s="18"/>
      <c r="G719" s="18"/>
      <c r="H719" s="20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spans="1:25" x14ac:dyDescent="0.3">
      <c r="A720" s="22"/>
      <c r="B720" s="18"/>
      <c r="C720" s="18"/>
      <c r="D720" s="18"/>
      <c r="E720" s="18"/>
      <c r="F720" s="18"/>
      <c r="G720" s="18"/>
      <c r="H720" s="20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spans="1:25" x14ac:dyDescent="0.3">
      <c r="A721" s="22"/>
      <c r="B721" s="18"/>
      <c r="C721" s="18"/>
      <c r="D721" s="18"/>
      <c r="E721" s="18"/>
      <c r="F721" s="18"/>
      <c r="G721" s="18"/>
      <c r="H721" s="20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spans="1:25" x14ac:dyDescent="0.3">
      <c r="A722" s="22"/>
      <c r="B722" s="18"/>
      <c r="C722" s="18"/>
      <c r="D722" s="18"/>
      <c r="E722" s="18"/>
      <c r="F722" s="18"/>
      <c r="G722" s="18"/>
      <c r="H722" s="20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spans="1:25" x14ac:dyDescent="0.3">
      <c r="A723" s="22"/>
      <c r="B723" s="18"/>
      <c r="C723" s="18"/>
      <c r="D723" s="18"/>
      <c r="E723" s="18"/>
      <c r="F723" s="18"/>
      <c r="G723" s="18"/>
      <c r="H723" s="20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spans="1:25" x14ac:dyDescent="0.3">
      <c r="A724" s="22"/>
      <c r="B724" s="18"/>
      <c r="C724" s="18"/>
      <c r="D724" s="18"/>
      <c r="E724" s="18"/>
      <c r="F724" s="18"/>
      <c r="G724" s="18"/>
      <c r="H724" s="20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spans="1:25" x14ac:dyDescent="0.3">
      <c r="A725" s="22"/>
      <c r="B725" s="18"/>
      <c r="C725" s="18"/>
      <c r="D725" s="18"/>
      <c r="E725" s="18"/>
      <c r="F725" s="18"/>
      <c r="G725" s="18"/>
      <c r="H725" s="20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spans="1:25" x14ac:dyDescent="0.3">
      <c r="A726" s="22"/>
      <c r="B726" s="18"/>
      <c r="C726" s="18"/>
      <c r="D726" s="18"/>
      <c r="E726" s="18"/>
      <c r="F726" s="18"/>
      <c r="G726" s="18"/>
      <c r="H726" s="20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spans="1:25" x14ac:dyDescent="0.3">
      <c r="A727" s="22"/>
      <c r="B727" s="18"/>
      <c r="C727" s="18"/>
      <c r="D727" s="18"/>
      <c r="E727" s="18"/>
      <c r="F727" s="18"/>
      <c r="G727" s="18"/>
      <c r="H727" s="20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spans="1:25" x14ac:dyDescent="0.3">
      <c r="A728" s="22"/>
      <c r="B728" s="18"/>
      <c r="C728" s="18"/>
      <c r="D728" s="18"/>
      <c r="E728" s="18"/>
      <c r="F728" s="18"/>
      <c r="G728" s="18"/>
      <c r="H728" s="20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spans="1:25" x14ac:dyDescent="0.3">
      <c r="A729" s="22"/>
      <c r="B729" s="18"/>
      <c r="C729" s="18"/>
      <c r="D729" s="18"/>
      <c r="E729" s="18"/>
      <c r="F729" s="18"/>
      <c r="G729" s="18"/>
      <c r="H729" s="20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spans="1:25" x14ac:dyDescent="0.3">
      <c r="A730" s="22"/>
      <c r="B730" s="18"/>
      <c r="C730" s="18"/>
      <c r="D730" s="18"/>
      <c r="E730" s="18"/>
      <c r="F730" s="18"/>
      <c r="G730" s="18"/>
      <c r="H730" s="20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spans="1:25" x14ac:dyDescent="0.3">
      <c r="A731" s="22"/>
      <c r="B731" s="18"/>
      <c r="C731" s="18"/>
      <c r="D731" s="18"/>
      <c r="E731" s="18"/>
      <c r="F731" s="18"/>
      <c r="G731" s="18"/>
      <c r="H731" s="20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spans="1:25" x14ac:dyDescent="0.3">
      <c r="A732" s="22"/>
      <c r="B732" s="18"/>
      <c r="C732" s="18"/>
      <c r="D732" s="18"/>
      <c r="E732" s="18"/>
      <c r="F732" s="18"/>
      <c r="G732" s="18"/>
      <c r="H732" s="20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spans="1:25" x14ac:dyDescent="0.3">
      <c r="A733" s="22"/>
      <c r="B733" s="18"/>
      <c r="C733" s="18"/>
      <c r="D733" s="18"/>
      <c r="E733" s="18"/>
      <c r="F733" s="18"/>
      <c r="G733" s="18"/>
      <c r="H733" s="20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spans="1:25" x14ac:dyDescent="0.3">
      <c r="A734" s="22"/>
      <c r="B734" s="18"/>
      <c r="C734" s="18"/>
      <c r="D734" s="18"/>
      <c r="E734" s="18"/>
      <c r="F734" s="18"/>
      <c r="G734" s="18"/>
      <c r="H734" s="20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spans="1:25" x14ac:dyDescent="0.3">
      <c r="A735" s="22"/>
      <c r="B735" s="18"/>
      <c r="C735" s="18"/>
      <c r="D735" s="18"/>
      <c r="E735" s="18"/>
      <c r="F735" s="18"/>
      <c r="G735" s="18"/>
      <c r="H735" s="20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spans="1:25" x14ac:dyDescent="0.3">
      <c r="A736" s="22"/>
      <c r="B736" s="18"/>
      <c r="C736" s="18"/>
      <c r="D736" s="18"/>
      <c r="E736" s="18"/>
      <c r="F736" s="18"/>
      <c r="G736" s="18"/>
      <c r="H736" s="20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spans="1:25" x14ac:dyDescent="0.3">
      <c r="A737" s="22"/>
      <c r="B737" s="18"/>
      <c r="C737" s="18"/>
      <c r="D737" s="18"/>
      <c r="E737" s="18"/>
      <c r="F737" s="18"/>
      <c r="G737" s="18"/>
      <c r="H737" s="20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spans="1:25" x14ac:dyDescent="0.3">
      <c r="A738" s="22"/>
      <c r="B738" s="18"/>
      <c r="C738" s="18"/>
      <c r="D738" s="18"/>
      <c r="E738" s="18"/>
      <c r="F738" s="18"/>
      <c r="G738" s="18"/>
      <c r="H738" s="20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spans="1:25" x14ac:dyDescent="0.3">
      <c r="A739" s="22"/>
      <c r="B739" s="18"/>
      <c r="C739" s="18"/>
      <c r="D739" s="18"/>
      <c r="E739" s="18"/>
      <c r="F739" s="18"/>
      <c r="G739" s="18"/>
      <c r="H739" s="20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spans="1:25" x14ac:dyDescent="0.3">
      <c r="A740" s="22"/>
      <c r="B740" s="18"/>
      <c r="C740" s="18"/>
      <c r="D740" s="18"/>
      <c r="E740" s="18"/>
      <c r="F740" s="18"/>
      <c r="G740" s="18"/>
      <c r="H740" s="20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spans="1:25" x14ac:dyDescent="0.3">
      <c r="A741" s="22"/>
      <c r="B741" s="18"/>
      <c r="C741" s="18"/>
      <c r="D741" s="18"/>
      <c r="E741" s="18"/>
      <c r="F741" s="18"/>
      <c r="G741" s="18"/>
      <c r="H741" s="20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spans="1:25" x14ac:dyDescent="0.3">
      <c r="A742" s="22"/>
      <c r="B742" s="18"/>
      <c r="C742" s="18"/>
      <c r="D742" s="18"/>
      <c r="E742" s="18"/>
      <c r="F742" s="18"/>
      <c r="G742" s="18"/>
      <c r="H742" s="20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spans="1:25" x14ac:dyDescent="0.3">
      <c r="A743" s="22"/>
      <c r="B743" s="18"/>
      <c r="C743" s="18"/>
      <c r="D743" s="18"/>
      <c r="E743" s="18"/>
      <c r="F743" s="18"/>
      <c r="G743" s="18"/>
      <c r="H743" s="20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spans="1:25" x14ac:dyDescent="0.3">
      <c r="A744" s="22"/>
      <c r="B744" s="18"/>
      <c r="C744" s="18"/>
      <c r="D744" s="18"/>
      <c r="E744" s="18"/>
      <c r="F744" s="18"/>
      <c r="G744" s="18"/>
      <c r="H744" s="20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spans="1:25" x14ac:dyDescent="0.3">
      <c r="A745" s="22"/>
      <c r="B745" s="18"/>
      <c r="C745" s="18"/>
      <c r="D745" s="18"/>
      <c r="E745" s="18"/>
      <c r="F745" s="18"/>
      <c r="G745" s="18"/>
      <c r="H745" s="20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spans="1:25" x14ac:dyDescent="0.3">
      <c r="A746" s="22"/>
      <c r="B746" s="18"/>
      <c r="C746" s="18"/>
      <c r="D746" s="18"/>
      <c r="E746" s="18"/>
      <c r="F746" s="18"/>
      <c r="G746" s="18"/>
      <c r="H746" s="20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spans="1:25" x14ac:dyDescent="0.3">
      <c r="A747" s="22"/>
      <c r="B747" s="18"/>
      <c r="C747" s="18"/>
      <c r="D747" s="18"/>
      <c r="E747" s="18"/>
      <c r="F747" s="18"/>
      <c r="G747" s="18"/>
      <c r="H747" s="20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spans="1:25" x14ac:dyDescent="0.3">
      <c r="A748" s="22"/>
      <c r="B748" s="18"/>
      <c r="C748" s="18"/>
      <c r="D748" s="18"/>
      <c r="E748" s="18"/>
      <c r="F748" s="18"/>
      <c r="G748" s="18"/>
      <c r="H748" s="20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spans="1:25" x14ac:dyDescent="0.3">
      <c r="A749" s="22"/>
      <c r="B749" s="18"/>
      <c r="C749" s="18"/>
      <c r="D749" s="18"/>
      <c r="E749" s="18"/>
      <c r="F749" s="18"/>
      <c r="G749" s="18"/>
      <c r="H749" s="20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spans="1:25" x14ac:dyDescent="0.3">
      <c r="A750" s="22"/>
      <c r="B750" s="18"/>
      <c r="C750" s="18"/>
      <c r="D750" s="18"/>
      <c r="E750" s="18"/>
      <c r="F750" s="18"/>
      <c r="G750" s="18"/>
      <c r="H750" s="20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spans="1:25" x14ac:dyDescent="0.3">
      <c r="A751" s="22"/>
      <c r="B751" s="18"/>
      <c r="C751" s="18"/>
      <c r="D751" s="18"/>
      <c r="E751" s="18"/>
      <c r="F751" s="18"/>
      <c r="G751" s="18"/>
      <c r="H751" s="20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spans="1:25" x14ac:dyDescent="0.3">
      <c r="A752" s="22"/>
      <c r="B752" s="18"/>
      <c r="C752" s="18"/>
      <c r="D752" s="18"/>
      <c r="E752" s="18"/>
      <c r="F752" s="18"/>
      <c r="G752" s="18"/>
      <c r="H752" s="20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spans="1:25" x14ac:dyDescent="0.3">
      <c r="A753" s="22"/>
      <c r="B753" s="18"/>
      <c r="C753" s="18"/>
      <c r="D753" s="18"/>
      <c r="E753" s="18"/>
      <c r="F753" s="18"/>
      <c r="G753" s="18"/>
      <c r="H753" s="20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spans="1:25" x14ac:dyDescent="0.3">
      <c r="A754" s="22"/>
      <c r="B754" s="18"/>
      <c r="C754" s="18"/>
      <c r="D754" s="18"/>
      <c r="E754" s="18"/>
      <c r="F754" s="18"/>
      <c r="G754" s="18"/>
      <c r="H754" s="20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spans="1:25" x14ac:dyDescent="0.3">
      <c r="A755" s="22"/>
      <c r="B755" s="18"/>
      <c r="C755" s="18"/>
      <c r="D755" s="18"/>
      <c r="E755" s="18"/>
      <c r="F755" s="18"/>
      <c r="G755" s="18"/>
      <c r="H755" s="20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spans="1:25" x14ac:dyDescent="0.3">
      <c r="A756" s="22"/>
      <c r="B756" s="18"/>
      <c r="C756" s="18"/>
      <c r="D756" s="18"/>
      <c r="E756" s="18"/>
      <c r="F756" s="18"/>
      <c r="G756" s="18"/>
      <c r="H756" s="20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spans="1:25" x14ac:dyDescent="0.3">
      <c r="A757" s="22"/>
      <c r="B757" s="18"/>
      <c r="C757" s="18"/>
      <c r="D757" s="18"/>
      <c r="E757" s="18"/>
      <c r="F757" s="18"/>
      <c r="G757" s="18"/>
      <c r="H757" s="20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spans="1:25" x14ac:dyDescent="0.3">
      <c r="A758" s="22"/>
      <c r="B758" s="18"/>
      <c r="C758" s="18"/>
      <c r="D758" s="18"/>
      <c r="E758" s="18"/>
      <c r="F758" s="18"/>
      <c r="G758" s="18"/>
      <c r="H758" s="20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spans="1:25" x14ac:dyDescent="0.3">
      <c r="A759" s="22"/>
      <c r="B759" s="18"/>
      <c r="C759" s="18"/>
      <c r="D759" s="18"/>
      <c r="E759" s="18"/>
      <c r="F759" s="18"/>
      <c r="G759" s="18"/>
      <c r="H759" s="20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spans="1:25" x14ac:dyDescent="0.3">
      <c r="A760" s="22"/>
      <c r="B760" s="18"/>
      <c r="C760" s="18"/>
      <c r="D760" s="18"/>
      <c r="E760" s="18"/>
      <c r="F760" s="18"/>
      <c r="G760" s="18"/>
      <c r="H760" s="20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spans="1:25" x14ac:dyDescent="0.3">
      <c r="A761" s="22"/>
      <c r="B761" s="18"/>
      <c r="C761" s="18"/>
      <c r="D761" s="18"/>
      <c r="E761" s="18"/>
      <c r="F761" s="18"/>
      <c r="G761" s="18"/>
      <c r="H761" s="20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spans="1:25" x14ac:dyDescent="0.3">
      <c r="A762" s="22"/>
      <c r="B762" s="18"/>
      <c r="C762" s="18"/>
      <c r="D762" s="18"/>
      <c r="E762" s="18"/>
      <c r="F762" s="18"/>
      <c r="G762" s="18"/>
      <c r="H762" s="20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spans="1:25" x14ac:dyDescent="0.3">
      <c r="A763" s="22"/>
      <c r="B763" s="18"/>
      <c r="C763" s="18"/>
      <c r="D763" s="18"/>
      <c r="E763" s="18"/>
      <c r="F763" s="18"/>
      <c r="G763" s="18"/>
      <c r="H763" s="20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spans="1:25" x14ac:dyDescent="0.3">
      <c r="A764" s="22"/>
      <c r="B764" s="18"/>
      <c r="C764" s="18"/>
      <c r="D764" s="18"/>
      <c r="E764" s="18"/>
      <c r="F764" s="18"/>
      <c r="G764" s="18"/>
      <c r="H764" s="20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spans="1:25" x14ac:dyDescent="0.3">
      <c r="A765" s="22"/>
      <c r="B765" s="18"/>
      <c r="C765" s="18"/>
      <c r="D765" s="18"/>
      <c r="E765" s="18"/>
      <c r="F765" s="18"/>
      <c r="G765" s="18"/>
      <c r="H765" s="20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spans="1:25" x14ac:dyDescent="0.3">
      <c r="A766" s="22"/>
      <c r="B766" s="18"/>
      <c r="C766" s="18"/>
      <c r="D766" s="18"/>
      <c r="E766" s="18"/>
      <c r="F766" s="18"/>
      <c r="G766" s="18"/>
      <c r="H766" s="20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spans="1:25" x14ac:dyDescent="0.3">
      <c r="A767" s="22"/>
      <c r="B767" s="18"/>
      <c r="C767" s="18"/>
      <c r="D767" s="18"/>
      <c r="E767" s="18"/>
      <c r="F767" s="18"/>
      <c r="G767" s="18"/>
      <c r="H767" s="20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spans="1:25" x14ac:dyDescent="0.3">
      <c r="A768" s="22"/>
      <c r="B768" s="18"/>
      <c r="C768" s="18"/>
      <c r="D768" s="18"/>
      <c r="E768" s="18"/>
      <c r="F768" s="18"/>
      <c r="G768" s="18"/>
      <c r="H768" s="20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spans="1:25" x14ac:dyDescent="0.3">
      <c r="A769" s="22"/>
      <c r="B769" s="18"/>
      <c r="C769" s="18"/>
      <c r="D769" s="18"/>
      <c r="E769" s="18"/>
      <c r="F769" s="18"/>
      <c r="G769" s="18"/>
      <c r="H769" s="20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spans="1:25" x14ac:dyDescent="0.3">
      <c r="A770" s="22"/>
      <c r="B770" s="18"/>
      <c r="C770" s="18"/>
      <c r="D770" s="18"/>
      <c r="E770" s="18"/>
      <c r="F770" s="18"/>
      <c r="G770" s="18"/>
      <c r="H770" s="20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spans="1:25" x14ac:dyDescent="0.3">
      <c r="A771" s="22"/>
      <c r="B771" s="18"/>
      <c r="C771" s="18"/>
      <c r="D771" s="18"/>
      <c r="E771" s="18"/>
      <c r="F771" s="18"/>
      <c r="G771" s="18"/>
      <c r="H771" s="20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spans="1:25" x14ac:dyDescent="0.3">
      <c r="A772" s="22"/>
      <c r="B772" s="18"/>
      <c r="C772" s="18"/>
      <c r="D772" s="18"/>
      <c r="E772" s="18"/>
      <c r="F772" s="18"/>
      <c r="G772" s="18"/>
      <c r="H772" s="20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spans="1:25" x14ac:dyDescent="0.3">
      <c r="A773" s="22"/>
      <c r="B773" s="18"/>
      <c r="C773" s="18"/>
      <c r="D773" s="18"/>
      <c r="E773" s="18"/>
      <c r="F773" s="18"/>
      <c r="G773" s="18"/>
      <c r="H773" s="20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spans="1:25" x14ac:dyDescent="0.3">
      <c r="A774" s="22"/>
      <c r="B774" s="18"/>
      <c r="C774" s="18"/>
      <c r="D774" s="18"/>
      <c r="E774" s="18"/>
      <c r="F774" s="18"/>
      <c r="G774" s="18"/>
      <c r="H774" s="20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spans="1:25" x14ac:dyDescent="0.3">
      <c r="A775" s="22"/>
      <c r="B775" s="18"/>
      <c r="C775" s="18"/>
      <c r="D775" s="18"/>
      <c r="E775" s="18"/>
      <c r="F775" s="18"/>
      <c r="G775" s="18"/>
      <c r="H775" s="20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spans="1:25" x14ac:dyDescent="0.3">
      <c r="A776" s="22"/>
      <c r="B776" s="18"/>
      <c r="C776" s="18"/>
      <c r="D776" s="18"/>
      <c r="E776" s="18"/>
      <c r="F776" s="18"/>
      <c r="G776" s="18"/>
      <c r="H776" s="20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spans="1:25" x14ac:dyDescent="0.3">
      <c r="A777" s="22"/>
      <c r="B777" s="18"/>
      <c r="C777" s="18"/>
      <c r="D777" s="18"/>
      <c r="E777" s="18"/>
      <c r="F777" s="18"/>
      <c r="G777" s="18"/>
      <c r="H777" s="20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spans="1:25" x14ac:dyDescent="0.3">
      <c r="A778" s="22"/>
      <c r="B778" s="18"/>
      <c r="C778" s="18"/>
      <c r="D778" s="18"/>
      <c r="E778" s="18"/>
      <c r="F778" s="18"/>
      <c r="G778" s="18"/>
      <c r="H778" s="20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spans="1:25" x14ac:dyDescent="0.3">
      <c r="A779" s="22"/>
      <c r="B779" s="18"/>
      <c r="C779" s="18"/>
      <c r="D779" s="18"/>
      <c r="E779" s="18"/>
      <c r="F779" s="18"/>
      <c r="G779" s="18"/>
      <c r="H779" s="20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spans="1:25" x14ac:dyDescent="0.3">
      <c r="A780" s="22"/>
      <c r="B780" s="18"/>
      <c r="C780" s="18"/>
      <c r="D780" s="18"/>
      <c r="E780" s="18"/>
      <c r="F780" s="18"/>
      <c r="G780" s="18"/>
      <c r="H780" s="20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spans="1:25" x14ac:dyDescent="0.3">
      <c r="A781" s="22"/>
      <c r="B781" s="18"/>
      <c r="C781" s="18"/>
      <c r="D781" s="18"/>
      <c r="E781" s="18"/>
      <c r="F781" s="18"/>
      <c r="G781" s="18"/>
      <c r="H781" s="20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spans="1:25" x14ac:dyDescent="0.3">
      <c r="A782" s="22"/>
      <c r="B782" s="18"/>
      <c r="C782" s="18"/>
      <c r="D782" s="18"/>
      <c r="E782" s="18"/>
      <c r="F782" s="18"/>
      <c r="G782" s="18"/>
      <c r="H782" s="20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spans="1:25" x14ac:dyDescent="0.3">
      <c r="A783" s="22"/>
      <c r="B783" s="18"/>
      <c r="C783" s="18"/>
      <c r="D783" s="18"/>
      <c r="E783" s="18"/>
      <c r="F783" s="18"/>
      <c r="G783" s="18"/>
      <c r="H783" s="20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spans="1:25" x14ac:dyDescent="0.3">
      <c r="A784" s="22"/>
      <c r="B784" s="18"/>
      <c r="C784" s="18"/>
      <c r="D784" s="18"/>
      <c r="E784" s="18"/>
      <c r="F784" s="18"/>
      <c r="G784" s="18"/>
      <c r="H784" s="20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spans="1:25" x14ac:dyDescent="0.3">
      <c r="A785" s="22"/>
      <c r="B785" s="18"/>
      <c r="C785" s="18"/>
      <c r="D785" s="18"/>
      <c r="E785" s="18"/>
      <c r="F785" s="18"/>
      <c r="G785" s="18"/>
      <c r="H785" s="20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spans="1:25" x14ac:dyDescent="0.3">
      <c r="A786" s="22"/>
      <c r="B786" s="18"/>
      <c r="C786" s="18"/>
      <c r="D786" s="18"/>
      <c r="E786" s="18"/>
      <c r="F786" s="18"/>
      <c r="G786" s="18"/>
      <c r="H786" s="20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spans="1:25" x14ac:dyDescent="0.3">
      <c r="A787" s="22"/>
      <c r="B787" s="18"/>
      <c r="C787" s="18"/>
      <c r="D787" s="18"/>
      <c r="E787" s="18"/>
      <c r="F787" s="18"/>
      <c r="G787" s="18"/>
      <c r="H787" s="20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spans="1:25" x14ac:dyDescent="0.3">
      <c r="A788" s="22"/>
      <c r="B788" s="18"/>
      <c r="C788" s="18"/>
      <c r="D788" s="18"/>
      <c r="E788" s="18"/>
      <c r="F788" s="18"/>
      <c r="G788" s="18"/>
      <c r="H788" s="20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spans="1:25" x14ac:dyDescent="0.3">
      <c r="A789" s="22"/>
      <c r="B789" s="18"/>
      <c r="C789" s="18"/>
      <c r="D789" s="18"/>
      <c r="E789" s="18"/>
      <c r="F789" s="18"/>
      <c r="G789" s="18"/>
      <c r="H789" s="20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spans="1:25" x14ac:dyDescent="0.3">
      <c r="A790" s="22"/>
      <c r="B790" s="18"/>
      <c r="C790" s="18"/>
      <c r="D790" s="18"/>
      <c r="E790" s="18"/>
      <c r="F790" s="18"/>
      <c r="G790" s="18"/>
      <c r="H790" s="20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spans="1:25" x14ac:dyDescent="0.3">
      <c r="A791" s="22"/>
      <c r="B791" s="18"/>
      <c r="C791" s="18"/>
      <c r="D791" s="18"/>
      <c r="E791" s="18"/>
      <c r="F791" s="18"/>
      <c r="G791" s="18"/>
      <c r="H791" s="20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spans="1:25" x14ac:dyDescent="0.3">
      <c r="A792" s="22"/>
      <c r="B792" s="18"/>
      <c r="C792" s="18"/>
      <c r="D792" s="18"/>
      <c r="E792" s="18"/>
      <c r="F792" s="18"/>
      <c r="G792" s="18"/>
      <c r="H792" s="20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spans="1:25" x14ac:dyDescent="0.3">
      <c r="A793" s="22"/>
      <c r="B793" s="18"/>
      <c r="C793" s="18"/>
      <c r="D793" s="18"/>
      <c r="E793" s="18"/>
      <c r="F793" s="18"/>
      <c r="G793" s="18"/>
      <c r="H793" s="20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spans="1:25" x14ac:dyDescent="0.3">
      <c r="A794" s="22"/>
      <c r="B794" s="18"/>
      <c r="C794" s="18"/>
      <c r="D794" s="18"/>
      <c r="E794" s="18"/>
      <c r="F794" s="18"/>
      <c r="G794" s="18"/>
      <c r="H794" s="20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spans="1:25" x14ac:dyDescent="0.3">
      <c r="A795" s="22"/>
      <c r="B795" s="18"/>
      <c r="C795" s="18"/>
      <c r="D795" s="18"/>
      <c r="E795" s="18"/>
      <c r="F795" s="18"/>
      <c r="G795" s="18"/>
      <c r="H795" s="20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spans="1:25" x14ac:dyDescent="0.3">
      <c r="A796" s="22"/>
      <c r="B796" s="18"/>
      <c r="C796" s="18"/>
      <c r="D796" s="18"/>
      <c r="E796" s="18"/>
      <c r="F796" s="18"/>
      <c r="G796" s="18"/>
      <c r="H796" s="20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spans="1:25" x14ac:dyDescent="0.3">
      <c r="A797" s="22"/>
      <c r="B797" s="18"/>
      <c r="C797" s="18"/>
      <c r="D797" s="18"/>
      <c r="E797" s="18"/>
      <c r="F797" s="18"/>
      <c r="G797" s="18"/>
      <c r="H797" s="20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spans="1:25" x14ac:dyDescent="0.3">
      <c r="A798" s="22"/>
      <c r="B798" s="18"/>
      <c r="C798" s="18"/>
      <c r="D798" s="18"/>
      <c r="E798" s="18"/>
      <c r="F798" s="18"/>
      <c r="G798" s="18"/>
      <c r="H798" s="20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spans="1:25" x14ac:dyDescent="0.3">
      <c r="A799" s="22"/>
      <c r="B799" s="18"/>
      <c r="C799" s="18"/>
      <c r="D799" s="18"/>
      <c r="E799" s="18"/>
      <c r="F799" s="18"/>
      <c r="G799" s="18"/>
      <c r="H799" s="20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spans="1:25" x14ac:dyDescent="0.3">
      <c r="A800" s="22"/>
      <c r="B800" s="18"/>
      <c r="C800" s="18"/>
      <c r="D800" s="18"/>
      <c r="E800" s="18"/>
      <c r="F800" s="18"/>
      <c r="G800" s="18"/>
      <c r="H800" s="20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spans="1:25" x14ac:dyDescent="0.3">
      <c r="A801" s="22"/>
      <c r="B801" s="18"/>
      <c r="C801" s="18"/>
      <c r="D801" s="18"/>
      <c r="E801" s="18"/>
      <c r="F801" s="18"/>
      <c r="G801" s="18"/>
      <c r="H801" s="20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spans="1:25" x14ac:dyDescent="0.3">
      <c r="A802" s="22"/>
      <c r="B802" s="18"/>
      <c r="C802" s="18"/>
      <c r="D802" s="18"/>
      <c r="E802" s="18"/>
      <c r="F802" s="18"/>
      <c r="G802" s="18"/>
      <c r="H802" s="20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spans="1:25" x14ac:dyDescent="0.3">
      <c r="A803" s="22"/>
      <c r="B803" s="18"/>
      <c r="C803" s="18"/>
      <c r="D803" s="18"/>
      <c r="E803" s="18"/>
      <c r="F803" s="18"/>
      <c r="G803" s="18"/>
      <c r="H803" s="20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spans="1:25" x14ac:dyDescent="0.3">
      <c r="A804" s="22"/>
      <c r="B804" s="18"/>
      <c r="C804" s="18"/>
      <c r="D804" s="18"/>
      <c r="E804" s="18"/>
      <c r="F804" s="18"/>
      <c r="G804" s="18"/>
      <c r="H804" s="20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spans="1:25" x14ac:dyDescent="0.3">
      <c r="A805" s="22"/>
      <c r="B805" s="18"/>
      <c r="C805" s="18"/>
      <c r="D805" s="18"/>
      <c r="E805" s="18"/>
      <c r="F805" s="18"/>
      <c r="G805" s="18"/>
      <c r="H805" s="20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spans="1:25" x14ac:dyDescent="0.3">
      <c r="A806" s="22"/>
      <c r="B806" s="18"/>
      <c r="C806" s="18"/>
      <c r="D806" s="18"/>
      <c r="E806" s="18"/>
      <c r="F806" s="18"/>
      <c r="G806" s="18"/>
      <c r="H806" s="20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spans="1:25" x14ac:dyDescent="0.3">
      <c r="A807" s="22"/>
      <c r="B807" s="18"/>
      <c r="C807" s="18"/>
      <c r="D807" s="18"/>
      <c r="E807" s="18"/>
      <c r="F807" s="18"/>
      <c r="G807" s="18"/>
      <c r="H807" s="20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spans="1:25" x14ac:dyDescent="0.3">
      <c r="A808" s="22"/>
      <c r="B808" s="18"/>
      <c r="C808" s="18"/>
      <c r="D808" s="18"/>
      <c r="E808" s="18"/>
      <c r="F808" s="18"/>
      <c r="G808" s="18"/>
      <c r="H808" s="20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spans="1:25" x14ac:dyDescent="0.3">
      <c r="A809" s="22"/>
      <c r="B809" s="18"/>
      <c r="C809" s="18"/>
      <c r="D809" s="18"/>
      <c r="E809" s="18"/>
      <c r="F809" s="18"/>
      <c r="G809" s="18"/>
      <c r="H809" s="20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spans="1:25" x14ac:dyDescent="0.3">
      <c r="A810" s="22"/>
      <c r="B810" s="18"/>
      <c r="C810" s="18"/>
      <c r="D810" s="18"/>
      <c r="E810" s="18"/>
      <c r="F810" s="18"/>
      <c r="G810" s="18"/>
      <c r="H810" s="20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spans="1:25" x14ac:dyDescent="0.3">
      <c r="A811" s="22"/>
      <c r="B811" s="18"/>
      <c r="C811" s="18"/>
      <c r="D811" s="18"/>
      <c r="E811" s="18"/>
      <c r="F811" s="18"/>
      <c r="G811" s="18"/>
      <c r="H811" s="20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spans="1:25" x14ac:dyDescent="0.3">
      <c r="A812" s="22"/>
      <c r="B812" s="18"/>
      <c r="C812" s="18"/>
      <c r="D812" s="18"/>
      <c r="E812" s="18"/>
      <c r="F812" s="18"/>
      <c r="G812" s="18"/>
      <c r="H812" s="20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spans="1:25" x14ac:dyDescent="0.3">
      <c r="A813" s="22"/>
      <c r="B813" s="18"/>
      <c r="C813" s="18"/>
      <c r="D813" s="18"/>
      <c r="E813" s="18"/>
      <c r="F813" s="18"/>
      <c r="G813" s="18"/>
      <c r="H813" s="20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spans="1:25" x14ac:dyDescent="0.3">
      <c r="A814" s="22"/>
      <c r="B814" s="18"/>
      <c r="C814" s="18"/>
      <c r="D814" s="18"/>
      <c r="E814" s="18"/>
      <c r="F814" s="18"/>
      <c r="G814" s="18"/>
      <c r="H814" s="20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spans="1:25" x14ac:dyDescent="0.3">
      <c r="A815" s="22"/>
      <c r="B815" s="18"/>
      <c r="C815" s="18"/>
      <c r="D815" s="18"/>
      <c r="E815" s="18"/>
      <c r="F815" s="18"/>
      <c r="G815" s="18"/>
      <c r="H815" s="20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spans="1:25" x14ac:dyDescent="0.3">
      <c r="A816" s="22"/>
      <c r="B816" s="18"/>
      <c r="C816" s="18"/>
      <c r="D816" s="18"/>
      <c r="E816" s="18"/>
      <c r="F816" s="18"/>
      <c r="G816" s="18"/>
      <c r="H816" s="20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spans="1:25" x14ac:dyDescent="0.3">
      <c r="A817" s="22"/>
      <c r="B817" s="18"/>
      <c r="C817" s="18"/>
      <c r="D817" s="18"/>
      <c r="E817" s="18"/>
      <c r="F817" s="18"/>
      <c r="G817" s="18"/>
      <c r="H817" s="20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spans="1:25" x14ac:dyDescent="0.3">
      <c r="A818" s="22"/>
      <c r="B818" s="18"/>
      <c r="C818" s="18"/>
      <c r="D818" s="18"/>
      <c r="E818" s="18"/>
      <c r="F818" s="18"/>
      <c r="G818" s="18"/>
      <c r="H818" s="20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spans="1:25" x14ac:dyDescent="0.3">
      <c r="A819" s="22"/>
      <c r="B819" s="18"/>
      <c r="C819" s="18"/>
      <c r="D819" s="18"/>
      <c r="E819" s="18"/>
      <c r="F819" s="18"/>
      <c r="G819" s="18"/>
      <c r="H819" s="20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spans="1:25" x14ac:dyDescent="0.3">
      <c r="A820" s="22"/>
      <c r="B820" s="18"/>
      <c r="C820" s="18"/>
      <c r="D820" s="18"/>
      <c r="E820" s="18"/>
      <c r="F820" s="18"/>
      <c r="G820" s="18"/>
      <c r="H820" s="20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spans="1:25" x14ac:dyDescent="0.3">
      <c r="A821" s="22"/>
      <c r="B821" s="18"/>
      <c r="C821" s="18"/>
      <c r="D821" s="18"/>
      <c r="E821" s="18"/>
      <c r="F821" s="18"/>
      <c r="G821" s="18"/>
      <c r="H821" s="20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spans="1:25" x14ac:dyDescent="0.3">
      <c r="A822" s="22"/>
      <c r="B822" s="18"/>
      <c r="C822" s="18"/>
      <c r="D822" s="18"/>
      <c r="E822" s="18"/>
      <c r="F822" s="18"/>
      <c r="G822" s="18"/>
      <c r="H822" s="20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spans="1:25" x14ac:dyDescent="0.3">
      <c r="A823" s="22"/>
      <c r="B823" s="18"/>
      <c r="C823" s="18"/>
      <c r="D823" s="18"/>
      <c r="E823" s="18"/>
      <c r="F823" s="18"/>
      <c r="G823" s="18"/>
      <c r="H823" s="20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spans="1:25" x14ac:dyDescent="0.3">
      <c r="A824" s="22"/>
      <c r="B824" s="18"/>
      <c r="C824" s="18"/>
      <c r="D824" s="18"/>
      <c r="E824" s="18"/>
      <c r="F824" s="18"/>
      <c r="G824" s="18"/>
      <c r="H824" s="20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spans="1:25" x14ac:dyDescent="0.3">
      <c r="A825" s="22"/>
      <c r="B825" s="18"/>
      <c r="C825" s="18"/>
      <c r="D825" s="18"/>
      <c r="E825" s="18"/>
      <c r="F825" s="18"/>
      <c r="G825" s="18"/>
      <c r="H825" s="20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spans="1:25" x14ac:dyDescent="0.3">
      <c r="A826" s="22"/>
      <c r="B826" s="18"/>
      <c r="C826" s="18"/>
      <c r="D826" s="18"/>
      <c r="E826" s="18"/>
      <c r="F826" s="18"/>
      <c r="G826" s="18"/>
      <c r="H826" s="20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spans="1:25" x14ac:dyDescent="0.3">
      <c r="A827" s="22"/>
      <c r="B827" s="18"/>
      <c r="C827" s="18"/>
      <c r="D827" s="18"/>
      <c r="E827" s="18"/>
      <c r="F827" s="18"/>
      <c r="G827" s="18"/>
      <c r="H827" s="20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spans="1:25" x14ac:dyDescent="0.3">
      <c r="A828" s="22"/>
      <c r="B828" s="18"/>
      <c r="C828" s="18"/>
      <c r="D828" s="18"/>
      <c r="E828" s="18"/>
      <c r="F828" s="18"/>
      <c r="G828" s="18"/>
      <c r="H828" s="20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spans="1:25" x14ac:dyDescent="0.3">
      <c r="A829" s="22"/>
      <c r="B829" s="18"/>
      <c r="C829" s="18"/>
      <c r="D829" s="18"/>
      <c r="E829" s="18"/>
      <c r="F829" s="18"/>
      <c r="G829" s="18"/>
      <c r="H829" s="20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spans="1:25" x14ac:dyDescent="0.3">
      <c r="A830" s="22"/>
      <c r="B830" s="18"/>
      <c r="C830" s="18"/>
      <c r="D830" s="18"/>
      <c r="E830" s="18"/>
      <c r="F830" s="18"/>
      <c r="G830" s="18"/>
      <c r="H830" s="20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spans="1:25" x14ac:dyDescent="0.3">
      <c r="A831" s="22"/>
      <c r="B831" s="18"/>
      <c r="C831" s="18"/>
      <c r="D831" s="18"/>
      <c r="E831" s="18"/>
      <c r="F831" s="18"/>
      <c r="G831" s="18"/>
      <c r="H831" s="20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spans="1:25" x14ac:dyDescent="0.3">
      <c r="A832" s="22"/>
      <c r="B832" s="18"/>
      <c r="C832" s="18"/>
      <c r="D832" s="18"/>
      <c r="E832" s="18"/>
      <c r="F832" s="18"/>
      <c r="G832" s="18"/>
      <c r="H832" s="20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spans="1:25" x14ac:dyDescent="0.3">
      <c r="A833" s="22"/>
      <c r="B833" s="18"/>
      <c r="C833" s="18"/>
      <c r="D833" s="18"/>
      <c r="E833" s="18"/>
      <c r="F833" s="18"/>
      <c r="G833" s="18"/>
      <c r="H833" s="20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spans="1:25" x14ac:dyDescent="0.3">
      <c r="A834" s="22"/>
      <c r="B834" s="18"/>
      <c r="C834" s="18"/>
      <c r="D834" s="18"/>
      <c r="E834" s="18"/>
      <c r="F834" s="18"/>
      <c r="G834" s="18"/>
      <c r="H834" s="20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spans="1:25" x14ac:dyDescent="0.3">
      <c r="A835" s="22"/>
      <c r="B835" s="18"/>
      <c r="C835" s="18"/>
      <c r="D835" s="18"/>
      <c r="E835" s="18"/>
      <c r="F835" s="18"/>
      <c r="G835" s="18"/>
      <c r="H835" s="20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spans="1:25" x14ac:dyDescent="0.3">
      <c r="A836" s="22"/>
      <c r="B836" s="18"/>
      <c r="C836" s="18"/>
      <c r="D836" s="18"/>
      <c r="E836" s="18"/>
      <c r="F836" s="18"/>
      <c r="G836" s="18"/>
      <c r="H836" s="20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spans="1:25" x14ac:dyDescent="0.3">
      <c r="A837" s="22"/>
      <c r="B837" s="18"/>
      <c r="C837" s="18"/>
      <c r="D837" s="18"/>
      <c r="E837" s="18"/>
      <c r="F837" s="18"/>
      <c r="G837" s="18"/>
      <c r="H837" s="20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spans="1:25" x14ac:dyDescent="0.3">
      <c r="A838" s="22"/>
      <c r="B838" s="18"/>
      <c r="C838" s="18"/>
      <c r="D838" s="18"/>
      <c r="E838" s="18"/>
      <c r="F838" s="18"/>
      <c r="G838" s="18"/>
      <c r="H838" s="20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spans="1:25" x14ac:dyDescent="0.3">
      <c r="A839" s="22"/>
      <c r="B839" s="18"/>
      <c r="C839" s="18"/>
      <c r="D839" s="18"/>
      <c r="E839" s="18"/>
      <c r="F839" s="18"/>
      <c r="G839" s="18"/>
      <c r="H839" s="20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spans="1:25" x14ac:dyDescent="0.3">
      <c r="A840" s="22"/>
      <c r="B840" s="18"/>
      <c r="C840" s="18"/>
      <c r="D840" s="18"/>
      <c r="E840" s="18"/>
      <c r="F840" s="18"/>
      <c r="G840" s="18"/>
      <c r="H840" s="20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spans="1:25" x14ac:dyDescent="0.3">
      <c r="A841" s="22"/>
      <c r="B841" s="18"/>
      <c r="C841" s="18"/>
      <c r="D841" s="18"/>
      <c r="E841" s="18"/>
      <c r="F841" s="18"/>
      <c r="G841" s="18"/>
      <c r="H841" s="20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spans="1:25" x14ac:dyDescent="0.3">
      <c r="A842" s="22"/>
      <c r="B842" s="18"/>
      <c r="C842" s="18"/>
      <c r="D842" s="18"/>
      <c r="E842" s="18"/>
      <c r="F842" s="18"/>
      <c r="G842" s="18"/>
      <c r="H842" s="20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spans="1:25" x14ac:dyDescent="0.3">
      <c r="A843" s="22"/>
      <c r="B843" s="18"/>
      <c r="C843" s="18"/>
      <c r="D843" s="18"/>
      <c r="E843" s="18"/>
      <c r="F843" s="18"/>
      <c r="G843" s="18"/>
      <c r="H843" s="20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spans="1:25" x14ac:dyDescent="0.3">
      <c r="A844" s="22"/>
      <c r="B844" s="18"/>
      <c r="C844" s="18"/>
      <c r="D844" s="18"/>
      <c r="E844" s="18"/>
      <c r="F844" s="18"/>
      <c r="G844" s="18"/>
      <c r="H844" s="20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spans="1:25" x14ac:dyDescent="0.3">
      <c r="A845" s="22"/>
      <c r="B845" s="18"/>
      <c r="C845" s="18"/>
      <c r="D845" s="18"/>
      <c r="E845" s="18"/>
      <c r="F845" s="18"/>
      <c r="G845" s="18"/>
      <c r="H845" s="20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spans="1:25" x14ac:dyDescent="0.3">
      <c r="A846" s="22"/>
      <c r="B846" s="18"/>
      <c r="C846" s="18"/>
      <c r="D846" s="18"/>
      <c r="E846" s="18"/>
      <c r="F846" s="18"/>
      <c r="G846" s="18"/>
      <c r="H846" s="20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spans="1:25" x14ac:dyDescent="0.3">
      <c r="A847" s="22"/>
      <c r="B847" s="18"/>
      <c r="C847" s="18"/>
      <c r="D847" s="18"/>
      <c r="E847" s="18"/>
      <c r="F847" s="18"/>
      <c r="G847" s="18"/>
      <c r="H847" s="20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spans="1:25" x14ac:dyDescent="0.3">
      <c r="A848" s="22"/>
      <c r="B848" s="18"/>
      <c r="C848" s="18"/>
      <c r="D848" s="18"/>
      <c r="E848" s="18"/>
      <c r="F848" s="18"/>
      <c r="G848" s="18"/>
      <c r="H848" s="20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spans="1:25" x14ac:dyDescent="0.3">
      <c r="A849" s="22"/>
      <c r="B849" s="18"/>
      <c r="C849" s="18"/>
      <c r="D849" s="18"/>
      <c r="E849" s="18"/>
      <c r="F849" s="18"/>
      <c r="G849" s="18"/>
      <c r="H849" s="20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spans="1:25" x14ac:dyDescent="0.3">
      <c r="A850" s="22"/>
      <c r="B850" s="18"/>
      <c r="C850" s="18"/>
      <c r="D850" s="18"/>
      <c r="E850" s="18"/>
      <c r="F850" s="18"/>
      <c r="G850" s="18"/>
      <c r="H850" s="20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spans="1:25" x14ac:dyDescent="0.3">
      <c r="A851" s="22"/>
      <c r="B851" s="18"/>
      <c r="C851" s="18"/>
      <c r="D851" s="18"/>
      <c r="E851" s="18"/>
      <c r="F851" s="18"/>
      <c r="G851" s="18"/>
      <c r="H851" s="20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spans="1:25" x14ac:dyDescent="0.3">
      <c r="A852" s="22"/>
      <c r="B852" s="18"/>
      <c r="C852" s="18"/>
      <c r="D852" s="18"/>
      <c r="E852" s="18"/>
      <c r="F852" s="18"/>
      <c r="G852" s="18"/>
      <c r="H852" s="20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spans="1:25" x14ac:dyDescent="0.3">
      <c r="A853" s="22"/>
      <c r="B853" s="18"/>
      <c r="C853" s="18"/>
      <c r="D853" s="18"/>
      <c r="E853" s="18"/>
      <c r="F853" s="18"/>
      <c r="G853" s="18"/>
      <c r="H853" s="20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spans="1:25" x14ac:dyDescent="0.3">
      <c r="A854" s="22"/>
      <c r="B854" s="18"/>
      <c r="C854" s="18"/>
      <c r="D854" s="18"/>
      <c r="E854" s="18"/>
      <c r="F854" s="18"/>
      <c r="G854" s="18"/>
      <c r="H854" s="20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spans="1:25" x14ac:dyDescent="0.3">
      <c r="A855" s="22"/>
      <c r="B855" s="18"/>
      <c r="C855" s="18"/>
      <c r="D855" s="18"/>
      <c r="E855" s="18"/>
      <c r="F855" s="18"/>
      <c r="G855" s="18"/>
      <c r="H855" s="20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spans="1:25" x14ac:dyDescent="0.3">
      <c r="A856" s="22"/>
      <c r="B856" s="18"/>
      <c r="C856" s="18"/>
      <c r="D856" s="18"/>
      <c r="E856" s="18"/>
      <c r="F856" s="18"/>
      <c r="G856" s="18"/>
      <c r="H856" s="20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spans="1:25" x14ac:dyDescent="0.3">
      <c r="A857" s="22"/>
      <c r="B857" s="18"/>
      <c r="C857" s="18"/>
      <c r="D857" s="18"/>
      <c r="E857" s="18"/>
      <c r="F857" s="18"/>
      <c r="G857" s="18"/>
      <c r="H857" s="20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spans="1:25" x14ac:dyDescent="0.3">
      <c r="A858" s="22"/>
      <c r="B858" s="18"/>
      <c r="C858" s="18"/>
      <c r="D858" s="18"/>
      <c r="E858" s="18"/>
      <c r="F858" s="18"/>
      <c r="G858" s="18"/>
      <c r="H858" s="20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spans="1:25" x14ac:dyDescent="0.3">
      <c r="A859" s="22"/>
      <c r="B859" s="18"/>
      <c r="C859" s="18"/>
      <c r="D859" s="18"/>
      <c r="E859" s="18"/>
      <c r="F859" s="18"/>
      <c r="G859" s="18"/>
      <c r="H859" s="20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spans="1:25" x14ac:dyDescent="0.3">
      <c r="A860" s="22"/>
      <c r="B860" s="18"/>
      <c r="C860" s="18"/>
      <c r="D860" s="18"/>
      <c r="E860" s="18"/>
      <c r="F860" s="18"/>
      <c r="G860" s="18"/>
      <c r="H860" s="20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spans="1:25" x14ac:dyDescent="0.3">
      <c r="A861" s="22"/>
      <c r="B861" s="18"/>
      <c r="C861" s="18"/>
      <c r="D861" s="18"/>
      <c r="E861" s="18"/>
      <c r="F861" s="18"/>
      <c r="G861" s="18"/>
      <c r="H861" s="20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spans="1:25" x14ac:dyDescent="0.3">
      <c r="A862" s="22"/>
      <c r="B862" s="18"/>
      <c r="C862" s="18"/>
      <c r="D862" s="18"/>
      <c r="E862" s="18"/>
      <c r="F862" s="18"/>
      <c r="G862" s="18"/>
      <c r="H862" s="20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spans="1:25" x14ac:dyDescent="0.3">
      <c r="A863" s="22"/>
      <c r="B863" s="18"/>
      <c r="C863" s="18"/>
      <c r="D863" s="18"/>
      <c r="E863" s="18"/>
      <c r="F863" s="18"/>
      <c r="G863" s="18"/>
      <c r="H863" s="20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spans="1:25" x14ac:dyDescent="0.3">
      <c r="A864" s="22"/>
      <c r="B864" s="18"/>
      <c r="C864" s="18"/>
      <c r="D864" s="18"/>
      <c r="E864" s="18"/>
      <c r="F864" s="18"/>
      <c r="G864" s="18"/>
      <c r="H864" s="20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spans="1:25" x14ac:dyDescent="0.3">
      <c r="A865" s="22"/>
      <c r="B865" s="18"/>
      <c r="C865" s="18"/>
      <c r="D865" s="18"/>
      <c r="E865" s="18"/>
      <c r="F865" s="18"/>
      <c r="G865" s="18"/>
      <c r="H865" s="20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spans="1:25" x14ac:dyDescent="0.3">
      <c r="A866" s="22"/>
      <c r="B866" s="18"/>
      <c r="C866" s="18"/>
      <c r="D866" s="18"/>
      <c r="E866" s="18"/>
      <c r="F866" s="18"/>
      <c r="G866" s="18"/>
      <c r="H866" s="20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spans="1:25" x14ac:dyDescent="0.3">
      <c r="A867" s="22"/>
      <c r="B867" s="18"/>
      <c r="C867" s="18"/>
      <c r="D867" s="18"/>
      <c r="E867" s="18"/>
      <c r="F867" s="18"/>
      <c r="G867" s="18"/>
      <c r="H867" s="20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spans="1:25" x14ac:dyDescent="0.3">
      <c r="A868" s="22"/>
      <c r="B868" s="18"/>
      <c r="C868" s="18"/>
      <c r="D868" s="18"/>
      <c r="E868" s="18"/>
      <c r="F868" s="18"/>
      <c r="G868" s="18"/>
      <c r="H868" s="20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spans="1:25" x14ac:dyDescent="0.3">
      <c r="A869" s="22"/>
      <c r="B869" s="18"/>
      <c r="C869" s="18"/>
      <c r="D869" s="18"/>
      <c r="E869" s="18"/>
      <c r="F869" s="18"/>
      <c r="G869" s="18"/>
      <c r="H869" s="20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spans="1:25" x14ac:dyDescent="0.3">
      <c r="A870" s="22"/>
      <c r="B870" s="18"/>
      <c r="C870" s="18"/>
      <c r="D870" s="18"/>
      <c r="E870" s="18"/>
      <c r="F870" s="18"/>
      <c r="G870" s="18"/>
      <c r="H870" s="20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spans="1:25" x14ac:dyDescent="0.3">
      <c r="A871" s="22"/>
      <c r="B871" s="18"/>
      <c r="C871" s="18"/>
      <c r="D871" s="18"/>
      <c r="E871" s="18"/>
      <c r="F871" s="18"/>
      <c r="G871" s="18"/>
      <c r="H871" s="20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spans="1:25" x14ac:dyDescent="0.3">
      <c r="A872" s="22"/>
      <c r="B872" s="18"/>
      <c r="C872" s="18"/>
      <c r="D872" s="18"/>
      <c r="E872" s="18"/>
      <c r="F872" s="18"/>
      <c r="G872" s="18"/>
      <c r="H872" s="20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spans="1:25" x14ac:dyDescent="0.3">
      <c r="A873" s="22"/>
      <c r="B873" s="18"/>
      <c r="C873" s="18"/>
      <c r="D873" s="18"/>
      <c r="E873" s="18"/>
      <c r="F873" s="18"/>
      <c r="G873" s="18"/>
      <c r="H873" s="20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spans="1:25" x14ac:dyDescent="0.3">
      <c r="A874" s="22"/>
      <c r="B874" s="18"/>
      <c r="C874" s="18"/>
      <c r="D874" s="18"/>
      <c r="E874" s="18"/>
      <c r="F874" s="18"/>
      <c r="G874" s="18"/>
      <c r="H874" s="20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spans="1:25" x14ac:dyDescent="0.3">
      <c r="A875" s="22"/>
      <c r="B875" s="18"/>
      <c r="C875" s="18"/>
      <c r="D875" s="18"/>
      <c r="E875" s="18"/>
      <c r="F875" s="18"/>
      <c r="G875" s="18"/>
      <c r="H875" s="20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spans="1:25" x14ac:dyDescent="0.3">
      <c r="A876" s="22"/>
      <c r="B876" s="18"/>
      <c r="C876" s="18"/>
      <c r="D876" s="18"/>
      <c r="E876" s="18"/>
      <c r="F876" s="18"/>
      <c r="G876" s="18"/>
      <c r="H876" s="20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spans="1:25" x14ac:dyDescent="0.3">
      <c r="A877" s="22"/>
      <c r="B877" s="18"/>
      <c r="C877" s="18"/>
      <c r="D877" s="18"/>
      <c r="E877" s="18"/>
      <c r="F877" s="18"/>
      <c r="G877" s="18"/>
      <c r="H877" s="20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spans="1:25" x14ac:dyDescent="0.3">
      <c r="A878" s="22"/>
      <c r="B878" s="18"/>
      <c r="C878" s="18"/>
      <c r="D878" s="18"/>
      <c r="E878" s="18"/>
      <c r="F878" s="18"/>
      <c r="G878" s="18"/>
      <c r="H878" s="20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spans="1:25" x14ac:dyDescent="0.3">
      <c r="A879" s="22"/>
      <c r="B879" s="18"/>
      <c r="C879" s="18"/>
      <c r="D879" s="18"/>
      <c r="E879" s="18"/>
      <c r="F879" s="18"/>
      <c r="G879" s="18"/>
      <c r="H879" s="20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spans="1:25" x14ac:dyDescent="0.3">
      <c r="A880" s="22"/>
      <c r="B880" s="18"/>
      <c r="C880" s="18"/>
      <c r="D880" s="18"/>
      <c r="E880" s="18"/>
      <c r="F880" s="18"/>
      <c r="G880" s="18"/>
      <c r="H880" s="20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spans="1:25" x14ac:dyDescent="0.3">
      <c r="A881" s="22"/>
      <c r="B881" s="18"/>
      <c r="C881" s="18"/>
      <c r="D881" s="18"/>
      <c r="E881" s="18"/>
      <c r="F881" s="18"/>
      <c r="G881" s="18"/>
      <c r="H881" s="20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spans="1:25" x14ac:dyDescent="0.3">
      <c r="A882" s="22"/>
      <c r="B882" s="18"/>
      <c r="C882" s="18"/>
      <c r="D882" s="18"/>
      <c r="E882" s="18"/>
      <c r="F882" s="18"/>
      <c r="G882" s="18"/>
      <c r="H882" s="20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spans="1:25" x14ac:dyDescent="0.3">
      <c r="A883" s="22"/>
      <c r="B883" s="18"/>
      <c r="C883" s="18"/>
      <c r="D883" s="18"/>
      <c r="E883" s="18"/>
      <c r="F883" s="18"/>
      <c r="G883" s="18"/>
      <c r="H883" s="20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spans="1:25" x14ac:dyDescent="0.3">
      <c r="A884" s="22"/>
      <c r="B884" s="18"/>
      <c r="C884" s="18"/>
      <c r="D884" s="18"/>
      <c r="E884" s="18"/>
      <c r="F884" s="18"/>
      <c r="G884" s="18"/>
      <c r="H884" s="20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spans="1:25" x14ac:dyDescent="0.3">
      <c r="A885" s="22"/>
      <c r="B885" s="18"/>
      <c r="C885" s="18"/>
      <c r="D885" s="18"/>
      <c r="E885" s="18"/>
      <c r="F885" s="18"/>
      <c r="G885" s="18"/>
      <c r="H885" s="20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spans="1:25" x14ac:dyDescent="0.3">
      <c r="A886" s="22"/>
      <c r="B886" s="18"/>
      <c r="C886" s="18"/>
      <c r="D886" s="18"/>
      <c r="E886" s="18"/>
      <c r="F886" s="18"/>
      <c r="G886" s="18"/>
      <c r="H886" s="20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spans="1:25" x14ac:dyDescent="0.3">
      <c r="A887" s="22"/>
      <c r="B887" s="18"/>
      <c r="C887" s="18"/>
      <c r="D887" s="18"/>
      <c r="E887" s="18"/>
      <c r="F887" s="18"/>
      <c r="G887" s="18"/>
      <c r="H887" s="20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spans="1:25" x14ac:dyDescent="0.3">
      <c r="A888" s="22"/>
      <c r="B888" s="18"/>
      <c r="C888" s="18"/>
      <c r="D888" s="18"/>
      <c r="E888" s="18"/>
      <c r="F888" s="18"/>
      <c r="G888" s="18"/>
      <c r="H888" s="20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spans="1:25" x14ac:dyDescent="0.3">
      <c r="A889" s="22"/>
      <c r="B889" s="18"/>
      <c r="C889" s="18"/>
      <c r="D889" s="18"/>
      <c r="E889" s="18"/>
      <c r="F889" s="18"/>
      <c r="G889" s="18"/>
      <c r="H889" s="20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spans="1:25" x14ac:dyDescent="0.3">
      <c r="A890" s="22"/>
      <c r="B890" s="18"/>
      <c r="C890" s="18"/>
      <c r="D890" s="18"/>
      <c r="E890" s="18"/>
      <c r="F890" s="18"/>
      <c r="G890" s="18"/>
      <c r="H890" s="20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spans="1:25" x14ac:dyDescent="0.3">
      <c r="A891" s="22"/>
      <c r="B891" s="18"/>
      <c r="C891" s="18"/>
      <c r="D891" s="18"/>
      <c r="E891" s="18"/>
      <c r="F891" s="18"/>
      <c r="G891" s="18"/>
      <c r="H891" s="20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spans="1:25" x14ac:dyDescent="0.3">
      <c r="A892" s="22"/>
      <c r="B892" s="18"/>
      <c r="C892" s="18"/>
      <c r="D892" s="18"/>
      <c r="E892" s="18"/>
      <c r="F892" s="18"/>
      <c r="G892" s="18"/>
      <c r="H892" s="20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spans="1:25" x14ac:dyDescent="0.3">
      <c r="A893" s="22"/>
      <c r="B893" s="18"/>
      <c r="C893" s="18"/>
      <c r="D893" s="18"/>
      <c r="E893" s="18"/>
      <c r="F893" s="18"/>
      <c r="G893" s="18"/>
      <c r="H893" s="20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spans="1:25" x14ac:dyDescent="0.3">
      <c r="A894" s="22"/>
      <c r="B894" s="18"/>
      <c r="C894" s="18"/>
      <c r="D894" s="18"/>
      <c r="E894" s="18"/>
      <c r="F894" s="18"/>
      <c r="G894" s="18"/>
      <c r="H894" s="20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spans="1:25" x14ac:dyDescent="0.3">
      <c r="A895" s="22"/>
      <c r="B895" s="18"/>
      <c r="C895" s="18"/>
      <c r="D895" s="18"/>
      <c r="E895" s="18"/>
      <c r="F895" s="18"/>
      <c r="G895" s="18"/>
      <c r="H895" s="20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spans="1:25" x14ac:dyDescent="0.3">
      <c r="A896" s="22"/>
      <c r="B896" s="18"/>
      <c r="C896" s="18"/>
      <c r="D896" s="18"/>
      <c r="E896" s="18"/>
      <c r="F896" s="18"/>
      <c r="G896" s="18"/>
      <c r="H896" s="20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spans="1:25" x14ac:dyDescent="0.3">
      <c r="A897" s="22"/>
      <c r="B897" s="18"/>
      <c r="C897" s="18"/>
      <c r="D897" s="18"/>
      <c r="E897" s="18"/>
      <c r="F897" s="18"/>
      <c r="G897" s="18"/>
      <c r="H897" s="20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spans="1:25" x14ac:dyDescent="0.3">
      <c r="A898" s="22"/>
      <c r="B898" s="18"/>
      <c r="C898" s="18"/>
      <c r="D898" s="18"/>
      <c r="E898" s="18"/>
      <c r="F898" s="18"/>
      <c r="G898" s="18"/>
      <c r="H898" s="20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spans="1:25" x14ac:dyDescent="0.3">
      <c r="A899" s="22"/>
      <c r="B899" s="18"/>
      <c r="C899" s="18"/>
      <c r="D899" s="18"/>
      <c r="E899" s="18"/>
      <c r="F899" s="18"/>
      <c r="G899" s="18"/>
      <c r="H899" s="20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spans="1:25" x14ac:dyDescent="0.3">
      <c r="A900" s="22"/>
      <c r="B900" s="18"/>
      <c r="C900" s="18"/>
      <c r="D900" s="18"/>
      <c r="E900" s="18"/>
      <c r="F900" s="18"/>
      <c r="G900" s="18"/>
      <c r="H900" s="20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spans="1:25" x14ac:dyDescent="0.3">
      <c r="A901" s="22"/>
      <c r="B901" s="18"/>
      <c r="C901" s="18"/>
      <c r="D901" s="18"/>
      <c r="E901" s="18"/>
      <c r="F901" s="18"/>
      <c r="G901" s="18"/>
      <c r="H901" s="20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spans="1:25" x14ac:dyDescent="0.3">
      <c r="A902" s="22"/>
      <c r="B902" s="18"/>
      <c r="C902" s="18"/>
      <c r="D902" s="18"/>
      <c r="E902" s="18"/>
      <c r="F902" s="18"/>
      <c r="G902" s="18"/>
      <c r="H902" s="20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spans="1:25" x14ac:dyDescent="0.3">
      <c r="A903" s="22"/>
      <c r="B903" s="18"/>
      <c r="C903" s="18"/>
      <c r="D903" s="18"/>
      <c r="E903" s="18"/>
      <c r="F903" s="18"/>
      <c r="G903" s="18"/>
      <c r="H903" s="20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spans="1:25" x14ac:dyDescent="0.3">
      <c r="A904" s="22"/>
      <c r="B904" s="18"/>
      <c r="C904" s="18"/>
      <c r="D904" s="18"/>
      <c r="E904" s="18"/>
      <c r="F904" s="18"/>
      <c r="G904" s="18"/>
      <c r="H904" s="20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spans="1:25" x14ac:dyDescent="0.3">
      <c r="A905" s="22"/>
      <c r="B905" s="18"/>
      <c r="C905" s="18"/>
      <c r="D905" s="18"/>
      <c r="E905" s="18"/>
      <c r="F905" s="18"/>
      <c r="G905" s="18"/>
      <c r="H905" s="20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spans="1:25" x14ac:dyDescent="0.3">
      <c r="A906" s="22"/>
      <c r="B906" s="18"/>
      <c r="C906" s="18"/>
      <c r="D906" s="18"/>
      <c r="E906" s="18"/>
      <c r="F906" s="18"/>
      <c r="G906" s="18"/>
      <c r="H906" s="20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spans="1:25" x14ac:dyDescent="0.3">
      <c r="A907" s="22"/>
      <c r="B907" s="18"/>
      <c r="C907" s="18"/>
      <c r="D907" s="18"/>
      <c r="E907" s="18"/>
      <c r="F907" s="18"/>
      <c r="G907" s="18"/>
      <c r="H907" s="20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spans="1:25" x14ac:dyDescent="0.3">
      <c r="A908" s="22"/>
      <c r="B908" s="18"/>
      <c r="C908" s="18"/>
      <c r="D908" s="18"/>
      <c r="E908" s="18"/>
      <c r="F908" s="18"/>
      <c r="G908" s="18"/>
      <c r="H908" s="20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spans="1:25" x14ac:dyDescent="0.3">
      <c r="A909" s="22"/>
      <c r="B909" s="18"/>
      <c r="C909" s="18"/>
      <c r="D909" s="18"/>
      <c r="E909" s="18"/>
      <c r="F909" s="18"/>
      <c r="G909" s="18"/>
      <c r="H909" s="20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spans="1:25" x14ac:dyDescent="0.3">
      <c r="A910" s="22"/>
      <c r="B910" s="18"/>
      <c r="C910" s="18"/>
      <c r="D910" s="18"/>
      <c r="E910" s="18"/>
      <c r="F910" s="18"/>
      <c r="G910" s="18"/>
      <c r="H910" s="20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spans="1:25" x14ac:dyDescent="0.3">
      <c r="A911" s="22"/>
      <c r="B911" s="18"/>
      <c r="C911" s="18"/>
      <c r="D911" s="18"/>
      <c r="E911" s="18"/>
      <c r="F911" s="18"/>
      <c r="G911" s="18"/>
      <c r="H911" s="20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spans="1:25" x14ac:dyDescent="0.3">
      <c r="A912" s="22"/>
      <c r="B912" s="18"/>
      <c r="C912" s="18"/>
      <c r="D912" s="18"/>
      <c r="E912" s="18"/>
      <c r="F912" s="18"/>
      <c r="G912" s="18"/>
      <c r="H912" s="20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spans="1:25" x14ac:dyDescent="0.3">
      <c r="A913" s="22"/>
      <c r="B913" s="18"/>
      <c r="C913" s="18"/>
      <c r="D913" s="18"/>
      <c r="E913" s="18"/>
      <c r="F913" s="18"/>
      <c r="G913" s="18"/>
      <c r="H913" s="20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spans="1:25" x14ac:dyDescent="0.3">
      <c r="A914" s="22"/>
      <c r="B914" s="18"/>
      <c r="C914" s="18"/>
      <c r="D914" s="18"/>
      <c r="E914" s="18"/>
      <c r="F914" s="18"/>
      <c r="G914" s="18"/>
      <c r="H914" s="20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spans="1:25" x14ac:dyDescent="0.3">
      <c r="A915" s="22"/>
      <c r="B915" s="18"/>
      <c r="C915" s="18"/>
      <c r="D915" s="18"/>
      <c r="E915" s="18"/>
      <c r="F915" s="18"/>
      <c r="G915" s="18"/>
      <c r="H915" s="20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spans="1:25" x14ac:dyDescent="0.3">
      <c r="A916" s="22"/>
      <c r="B916" s="18"/>
      <c r="C916" s="18"/>
      <c r="D916" s="18"/>
      <c r="E916" s="18"/>
      <c r="F916" s="18"/>
      <c r="G916" s="18"/>
      <c r="H916" s="20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spans="1:25" x14ac:dyDescent="0.3">
      <c r="A917" s="22"/>
      <c r="B917" s="18"/>
      <c r="C917" s="18"/>
      <c r="D917" s="18"/>
      <c r="E917" s="18"/>
      <c r="F917" s="18"/>
      <c r="G917" s="18"/>
      <c r="H917" s="20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spans="1:25" x14ac:dyDescent="0.3">
      <c r="A918" s="22"/>
      <c r="B918" s="18"/>
      <c r="C918" s="18"/>
      <c r="D918" s="18"/>
      <c r="E918" s="18"/>
      <c r="F918" s="18"/>
      <c r="G918" s="18"/>
      <c r="H918" s="20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spans="1:25" x14ac:dyDescent="0.3">
      <c r="A919" s="22"/>
      <c r="B919" s="18"/>
      <c r="C919" s="18"/>
      <c r="D919" s="18"/>
      <c r="E919" s="18"/>
      <c r="F919" s="18"/>
      <c r="G919" s="18"/>
      <c r="H919" s="20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spans="1:25" x14ac:dyDescent="0.3">
      <c r="A920" s="22"/>
      <c r="B920" s="18"/>
      <c r="C920" s="18"/>
      <c r="D920" s="18"/>
      <c r="E920" s="18"/>
      <c r="F920" s="18"/>
      <c r="G920" s="18"/>
      <c r="H920" s="20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spans="1:25" x14ac:dyDescent="0.3">
      <c r="A921" s="22"/>
      <c r="B921" s="18"/>
      <c r="C921" s="18"/>
      <c r="D921" s="18"/>
      <c r="E921" s="18"/>
      <c r="F921" s="18"/>
      <c r="G921" s="18"/>
      <c r="H921" s="20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spans="1:25" x14ac:dyDescent="0.3">
      <c r="A922" s="22"/>
      <c r="B922" s="18"/>
      <c r="C922" s="18"/>
      <c r="D922" s="18"/>
      <c r="E922" s="18"/>
      <c r="F922" s="18"/>
      <c r="G922" s="18"/>
      <c r="H922" s="20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spans="1:25" x14ac:dyDescent="0.3">
      <c r="A923" s="22"/>
      <c r="B923" s="18"/>
      <c r="C923" s="18"/>
      <c r="D923" s="18"/>
      <c r="E923" s="18"/>
      <c r="F923" s="18"/>
      <c r="G923" s="18"/>
      <c r="H923" s="20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spans="1:25" x14ac:dyDescent="0.3">
      <c r="A924" s="22"/>
      <c r="B924" s="18"/>
      <c r="C924" s="18"/>
      <c r="D924" s="18"/>
      <c r="E924" s="18"/>
      <c r="F924" s="18"/>
      <c r="G924" s="18"/>
      <c r="H924" s="20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spans="1:25" x14ac:dyDescent="0.3">
      <c r="A925" s="22"/>
      <c r="B925" s="18"/>
      <c r="C925" s="18"/>
      <c r="D925" s="18"/>
      <c r="E925" s="18"/>
      <c r="F925" s="18"/>
      <c r="G925" s="18"/>
      <c r="H925" s="20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spans="1:25" x14ac:dyDescent="0.3">
      <c r="A926" s="22"/>
      <c r="B926" s="18"/>
      <c r="C926" s="18"/>
      <c r="D926" s="18"/>
      <c r="E926" s="18"/>
      <c r="F926" s="18"/>
      <c r="G926" s="18"/>
      <c r="H926" s="20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spans="1:25" x14ac:dyDescent="0.3">
      <c r="A927" s="22"/>
      <c r="B927" s="18"/>
      <c r="C927" s="18"/>
      <c r="D927" s="18"/>
      <c r="E927" s="18"/>
      <c r="F927" s="18"/>
      <c r="G927" s="18"/>
      <c r="H927" s="20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spans="1:25" x14ac:dyDescent="0.3">
      <c r="A928" s="22"/>
      <c r="B928" s="18"/>
      <c r="C928" s="18"/>
      <c r="D928" s="18"/>
      <c r="E928" s="18"/>
      <c r="F928" s="18"/>
      <c r="G928" s="18"/>
      <c r="H928" s="20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spans="1:25" x14ac:dyDescent="0.3">
      <c r="A929" s="22"/>
      <c r="B929" s="18"/>
      <c r="C929" s="18"/>
      <c r="D929" s="18"/>
      <c r="E929" s="18"/>
      <c r="F929" s="18"/>
      <c r="G929" s="18"/>
      <c r="H929" s="20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spans="1:25" x14ac:dyDescent="0.3">
      <c r="A930" s="22"/>
      <c r="B930" s="18"/>
      <c r="C930" s="18"/>
      <c r="D930" s="18"/>
      <c r="E930" s="18"/>
      <c r="F930" s="18"/>
      <c r="G930" s="18"/>
      <c r="H930" s="20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spans="1:25" x14ac:dyDescent="0.3">
      <c r="A931" s="22"/>
      <c r="B931" s="18"/>
      <c r="C931" s="18"/>
      <c r="D931" s="18"/>
      <c r="E931" s="18"/>
      <c r="F931" s="18"/>
      <c r="G931" s="18"/>
      <c r="H931" s="20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spans="1:25" x14ac:dyDescent="0.3">
      <c r="A932" s="22"/>
      <c r="B932" s="18"/>
      <c r="C932" s="18"/>
      <c r="D932" s="18"/>
      <c r="E932" s="18"/>
      <c r="F932" s="18"/>
      <c r="G932" s="18"/>
      <c r="H932" s="20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spans="1:25" x14ac:dyDescent="0.3">
      <c r="A933" s="22"/>
      <c r="B933" s="18"/>
      <c r="C933" s="18"/>
      <c r="D933" s="18"/>
      <c r="E933" s="18"/>
      <c r="F933" s="18"/>
      <c r="G933" s="18"/>
      <c r="H933" s="20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spans="1:25" x14ac:dyDescent="0.3">
      <c r="A934" s="22"/>
      <c r="B934" s="18"/>
      <c r="C934" s="18"/>
      <c r="D934" s="18"/>
      <c r="E934" s="18"/>
      <c r="F934" s="18"/>
      <c r="G934" s="18"/>
      <c r="H934" s="20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spans="1:25" x14ac:dyDescent="0.3">
      <c r="A935" s="22"/>
      <c r="B935" s="18"/>
      <c r="C935" s="18"/>
      <c r="D935" s="18"/>
      <c r="E935" s="18"/>
      <c r="F935" s="18"/>
      <c r="G935" s="18"/>
      <c r="H935" s="20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spans="1:25" x14ac:dyDescent="0.3">
      <c r="A936" s="22"/>
      <c r="B936" s="18"/>
      <c r="C936" s="18"/>
      <c r="D936" s="18"/>
      <c r="E936" s="18"/>
      <c r="F936" s="18"/>
      <c r="G936" s="18"/>
      <c r="H936" s="20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spans="1:25" x14ac:dyDescent="0.3">
      <c r="A937" s="22"/>
      <c r="B937" s="18"/>
      <c r="C937" s="18"/>
      <c r="D937" s="18"/>
      <c r="E937" s="18"/>
      <c r="F937" s="18"/>
      <c r="G937" s="18"/>
      <c r="H937" s="20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spans="1:25" x14ac:dyDescent="0.3">
      <c r="A938" s="22"/>
      <c r="B938" s="18"/>
      <c r="C938" s="18"/>
      <c r="D938" s="18"/>
      <c r="E938" s="18"/>
      <c r="F938" s="18"/>
      <c r="G938" s="18"/>
      <c r="H938" s="20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spans="1:25" x14ac:dyDescent="0.3">
      <c r="A939" s="22"/>
      <c r="B939" s="18"/>
      <c r="C939" s="18"/>
      <c r="D939" s="18"/>
      <c r="E939" s="18"/>
      <c r="F939" s="18"/>
      <c r="G939" s="18"/>
      <c r="H939" s="20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spans="1:25" x14ac:dyDescent="0.3">
      <c r="A940" s="22"/>
      <c r="B940" s="18"/>
      <c r="C940" s="18"/>
      <c r="D940" s="18"/>
      <c r="E940" s="18"/>
      <c r="F940" s="18"/>
      <c r="G940" s="18"/>
      <c r="H940" s="20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spans="1:25" x14ac:dyDescent="0.3">
      <c r="A941" s="22"/>
      <c r="B941" s="18"/>
      <c r="C941" s="18"/>
      <c r="D941" s="18"/>
      <c r="E941" s="18"/>
      <c r="F941" s="18"/>
      <c r="G941" s="18"/>
      <c r="H941" s="20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spans="1:25" x14ac:dyDescent="0.3">
      <c r="A942" s="22"/>
      <c r="B942" s="18"/>
      <c r="C942" s="18"/>
      <c r="D942" s="18"/>
      <c r="E942" s="18"/>
      <c r="F942" s="18"/>
      <c r="G942" s="18"/>
      <c r="H942" s="20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spans="1:25" x14ac:dyDescent="0.3">
      <c r="A943" s="22"/>
      <c r="B943" s="18"/>
      <c r="C943" s="18"/>
      <c r="D943" s="18"/>
      <c r="E943" s="18"/>
      <c r="F943" s="18"/>
      <c r="G943" s="18"/>
      <c r="H943" s="20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spans="1:25" x14ac:dyDescent="0.3">
      <c r="A944" s="22"/>
      <c r="B944" s="18"/>
      <c r="C944" s="18"/>
      <c r="D944" s="18"/>
      <c r="E944" s="18"/>
      <c r="F944" s="18"/>
      <c r="G944" s="18"/>
      <c r="H944" s="20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spans="1:25" x14ac:dyDescent="0.3">
      <c r="A945" s="22"/>
      <c r="B945" s="18"/>
      <c r="C945" s="18"/>
      <c r="D945" s="18"/>
      <c r="E945" s="18"/>
      <c r="F945" s="18"/>
      <c r="G945" s="18"/>
      <c r="H945" s="20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spans="1:25" x14ac:dyDescent="0.3">
      <c r="A946" s="22"/>
      <c r="B946" s="18"/>
      <c r="C946" s="18"/>
      <c r="D946" s="18"/>
      <c r="E946" s="18"/>
      <c r="F946" s="18"/>
      <c r="G946" s="18"/>
      <c r="H946" s="20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spans="1:25" x14ac:dyDescent="0.3">
      <c r="A947" s="22"/>
      <c r="B947" s="18"/>
      <c r="C947" s="18"/>
      <c r="D947" s="18"/>
      <c r="E947" s="18"/>
      <c r="F947" s="18"/>
      <c r="G947" s="18"/>
      <c r="H947" s="20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spans="1:25" x14ac:dyDescent="0.3">
      <c r="A948" s="22"/>
      <c r="B948" s="18"/>
      <c r="C948" s="18"/>
      <c r="D948" s="18"/>
      <c r="E948" s="18"/>
      <c r="F948" s="18"/>
      <c r="G948" s="18"/>
      <c r="H948" s="20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spans="1:25" x14ac:dyDescent="0.3">
      <c r="A949" s="22"/>
      <c r="B949" s="18"/>
      <c r="C949" s="18"/>
      <c r="D949" s="18"/>
      <c r="E949" s="18"/>
      <c r="F949" s="18"/>
      <c r="G949" s="18"/>
      <c r="H949" s="20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spans="1:25" x14ac:dyDescent="0.3">
      <c r="A950" s="22"/>
      <c r="B950" s="18"/>
      <c r="C950" s="18"/>
      <c r="D950" s="18"/>
      <c r="E950" s="18"/>
      <c r="F950" s="18"/>
      <c r="G950" s="18"/>
      <c r="H950" s="20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spans="1:25" x14ac:dyDescent="0.3">
      <c r="A951" s="22"/>
      <c r="B951" s="18"/>
      <c r="C951" s="18"/>
      <c r="D951" s="18"/>
      <c r="E951" s="18"/>
      <c r="F951" s="18"/>
      <c r="G951" s="18"/>
      <c r="H951" s="20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spans="1:25" x14ac:dyDescent="0.3">
      <c r="A952" s="22"/>
      <c r="B952" s="18"/>
      <c r="C952" s="18"/>
      <c r="D952" s="18"/>
      <c r="E952" s="18"/>
      <c r="F952" s="18"/>
      <c r="G952" s="18"/>
      <c r="H952" s="20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spans="1:25" x14ac:dyDescent="0.3">
      <c r="A953" s="22"/>
      <c r="B953" s="18"/>
      <c r="C953" s="18"/>
      <c r="D953" s="18"/>
      <c r="E953" s="18"/>
      <c r="F953" s="18"/>
      <c r="G953" s="18"/>
      <c r="H953" s="20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spans="1:25" x14ac:dyDescent="0.3">
      <c r="A954" s="22"/>
      <c r="B954" s="18"/>
      <c r="C954" s="18"/>
      <c r="D954" s="18"/>
      <c r="E954" s="18"/>
      <c r="F954" s="18"/>
      <c r="G954" s="18"/>
      <c r="H954" s="20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spans="1:25" x14ac:dyDescent="0.3">
      <c r="A955" s="22"/>
      <c r="B955" s="18"/>
      <c r="C955" s="18"/>
      <c r="D955" s="18"/>
      <c r="E955" s="18"/>
      <c r="F955" s="18"/>
      <c r="G955" s="18"/>
      <c r="H955" s="20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spans="1:25" x14ac:dyDescent="0.3">
      <c r="A956" s="22"/>
      <c r="B956" s="18"/>
      <c r="C956" s="18"/>
      <c r="D956" s="18"/>
      <c r="E956" s="18"/>
      <c r="F956" s="18"/>
      <c r="G956" s="18"/>
      <c r="H956" s="20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spans="1:25" x14ac:dyDescent="0.3">
      <c r="A957" s="22"/>
      <c r="B957" s="18"/>
      <c r="C957" s="18"/>
      <c r="D957" s="18"/>
      <c r="E957" s="18"/>
      <c r="F957" s="18"/>
      <c r="G957" s="18"/>
      <c r="H957" s="20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spans="1:25" x14ac:dyDescent="0.3">
      <c r="A958" s="22"/>
      <c r="B958" s="18"/>
      <c r="C958" s="18"/>
      <c r="D958" s="18"/>
      <c r="E958" s="18"/>
      <c r="F958" s="18"/>
      <c r="G958" s="18"/>
      <c r="H958" s="20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spans="1:25" x14ac:dyDescent="0.3">
      <c r="A959" s="22"/>
      <c r="B959" s="18"/>
      <c r="C959" s="18"/>
      <c r="D959" s="18"/>
      <c r="E959" s="18"/>
      <c r="F959" s="18"/>
      <c r="G959" s="18"/>
      <c r="H959" s="20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spans="1:25" x14ac:dyDescent="0.3">
      <c r="A960" s="22"/>
      <c r="B960" s="18"/>
      <c r="C960" s="18"/>
      <c r="D960" s="18"/>
      <c r="E960" s="18"/>
      <c r="F960" s="18"/>
      <c r="G960" s="18"/>
      <c r="H960" s="20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spans="1:25" x14ac:dyDescent="0.3">
      <c r="A961" s="22"/>
      <c r="B961" s="18"/>
      <c r="C961" s="18"/>
      <c r="D961" s="18"/>
      <c r="E961" s="18"/>
      <c r="F961" s="18"/>
      <c r="G961" s="18"/>
      <c r="H961" s="20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spans="1:25" x14ac:dyDescent="0.3">
      <c r="A962" s="22"/>
      <c r="B962" s="18"/>
      <c r="C962" s="18"/>
      <c r="D962" s="18"/>
      <c r="E962" s="18"/>
      <c r="F962" s="18"/>
      <c r="G962" s="18"/>
      <c r="H962" s="20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spans="1:25" x14ac:dyDescent="0.3">
      <c r="A963" s="22"/>
      <c r="B963" s="18"/>
      <c r="C963" s="18"/>
      <c r="D963" s="18"/>
      <c r="E963" s="18"/>
      <c r="F963" s="18"/>
      <c r="G963" s="18"/>
      <c r="H963" s="20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spans="1:25" x14ac:dyDescent="0.3">
      <c r="A964" s="22"/>
      <c r="B964" s="18"/>
      <c r="C964" s="18"/>
      <c r="D964" s="18"/>
      <c r="E964" s="18"/>
      <c r="F964" s="18"/>
      <c r="G964" s="18"/>
      <c r="H964" s="20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spans="1:25" x14ac:dyDescent="0.3">
      <c r="A965" s="22"/>
      <c r="B965" s="18"/>
      <c r="C965" s="18"/>
      <c r="D965" s="18"/>
      <c r="E965" s="18"/>
      <c r="F965" s="18"/>
      <c r="G965" s="18"/>
      <c r="H965" s="20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spans="1:25" x14ac:dyDescent="0.3">
      <c r="A966" s="22"/>
      <c r="B966" s="18"/>
      <c r="C966" s="18"/>
      <c r="D966" s="18"/>
      <c r="E966" s="18"/>
      <c r="F966" s="18"/>
      <c r="G966" s="18"/>
      <c r="H966" s="20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spans="1:25" x14ac:dyDescent="0.3">
      <c r="A967" s="22"/>
      <c r="B967" s="18"/>
      <c r="C967" s="18"/>
      <c r="D967" s="18"/>
      <c r="E967" s="18"/>
      <c r="F967" s="18"/>
      <c r="G967" s="18"/>
      <c r="H967" s="20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spans="1:25" x14ac:dyDescent="0.3">
      <c r="A968" s="22"/>
      <c r="B968" s="18"/>
      <c r="C968" s="18"/>
      <c r="D968" s="18"/>
      <c r="E968" s="18"/>
      <c r="F968" s="18"/>
      <c r="G968" s="18"/>
      <c r="H968" s="20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spans="1:25" x14ac:dyDescent="0.3">
      <c r="A969" s="22"/>
      <c r="B969" s="18"/>
      <c r="C969" s="18"/>
      <c r="D969" s="18"/>
      <c r="E969" s="18"/>
      <c r="F969" s="18"/>
      <c r="G969" s="18"/>
      <c r="H969" s="20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spans="1:25" x14ac:dyDescent="0.3">
      <c r="A970" s="22"/>
      <c r="B970" s="18"/>
      <c r="C970" s="18"/>
      <c r="D970" s="18"/>
      <c r="E970" s="18"/>
      <c r="F970" s="18"/>
      <c r="G970" s="18"/>
      <c r="H970" s="20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spans="1:25" x14ac:dyDescent="0.3">
      <c r="A971" s="22"/>
      <c r="B971" s="18"/>
      <c r="C971" s="18"/>
      <c r="D971" s="18"/>
      <c r="E971" s="18"/>
      <c r="F971" s="18"/>
      <c r="G971" s="18"/>
      <c r="H971" s="20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spans="1:25" x14ac:dyDescent="0.3">
      <c r="A972" s="22"/>
      <c r="B972" s="18"/>
      <c r="C972" s="18"/>
      <c r="D972" s="18"/>
      <c r="E972" s="18"/>
      <c r="F972" s="18"/>
      <c r="G972" s="18"/>
      <c r="H972" s="20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spans="1:25" x14ac:dyDescent="0.3">
      <c r="A973" s="22"/>
      <c r="B973" s="18"/>
      <c r="C973" s="18"/>
      <c r="D973" s="18"/>
      <c r="E973" s="18"/>
      <c r="F973" s="18"/>
      <c r="G973" s="18"/>
      <c r="H973" s="20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spans="1:25" x14ac:dyDescent="0.3">
      <c r="A974" s="22"/>
      <c r="B974" s="18"/>
      <c r="C974" s="18"/>
      <c r="D974" s="18"/>
      <c r="E974" s="18"/>
      <c r="F974" s="18"/>
      <c r="G974" s="18"/>
      <c r="H974" s="20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spans="1:25" x14ac:dyDescent="0.3">
      <c r="A975" s="22"/>
      <c r="B975" s="18"/>
      <c r="C975" s="18"/>
      <c r="D975" s="18"/>
      <c r="E975" s="18"/>
      <c r="F975" s="18"/>
      <c r="G975" s="18"/>
      <c r="H975" s="20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spans="1:25" x14ac:dyDescent="0.3">
      <c r="A976" s="22"/>
      <c r="B976" s="18"/>
      <c r="C976" s="18"/>
      <c r="D976" s="18"/>
      <c r="E976" s="18"/>
      <c r="F976" s="18"/>
      <c r="G976" s="18"/>
      <c r="H976" s="20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spans="1:25" x14ac:dyDescent="0.3">
      <c r="A977" s="22"/>
      <c r="B977" s="18"/>
      <c r="C977" s="18"/>
      <c r="D977" s="18"/>
      <c r="E977" s="18"/>
      <c r="F977" s="18"/>
      <c r="G977" s="18"/>
      <c r="H977" s="20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spans="1:25" x14ac:dyDescent="0.3">
      <c r="A978" s="22"/>
      <c r="B978" s="18"/>
      <c r="C978" s="18"/>
      <c r="D978" s="18"/>
      <c r="E978" s="18"/>
      <c r="F978" s="18"/>
      <c r="G978" s="18"/>
      <c r="H978" s="20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spans="1:25" x14ac:dyDescent="0.3">
      <c r="A979" s="22"/>
      <c r="B979" s="18"/>
      <c r="C979" s="18"/>
      <c r="D979" s="18"/>
      <c r="E979" s="18"/>
      <c r="F979" s="18"/>
      <c r="G979" s="18"/>
      <c r="H979" s="20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spans="1:25" x14ac:dyDescent="0.3">
      <c r="A980" s="22"/>
      <c r="B980" s="18"/>
      <c r="C980" s="18"/>
      <c r="D980" s="18"/>
      <c r="E980" s="18"/>
      <c r="F980" s="18"/>
      <c r="G980" s="18"/>
      <c r="H980" s="20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spans="1:25" x14ac:dyDescent="0.3">
      <c r="A981" s="22"/>
      <c r="B981" s="18"/>
      <c r="C981" s="18"/>
      <c r="D981" s="18"/>
      <c r="E981" s="18"/>
      <c r="F981" s="18"/>
      <c r="G981" s="18"/>
      <c r="H981" s="20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spans="1:25" x14ac:dyDescent="0.3">
      <c r="A982" s="22"/>
      <c r="B982" s="18"/>
      <c r="C982" s="18"/>
      <c r="D982" s="18"/>
      <c r="E982" s="18"/>
      <c r="F982" s="18"/>
      <c r="G982" s="18"/>
      <c r="H982" s="20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spans="1:25" x14ac:dyDescent="0.3">
      <c r="A983" s="22"/>
      <c r="B983" s="18"/>
      <c r="C983" s="18"/>
      <c r="D983" s="18"/>
      <c r="E983" s="18"/>
      <c r="F983" s="18"/>
      <c r="G983" s="18"/>
      <c r="H983" s="20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spans="1:25" x14ac:dyDescent="0.3">
      <c r="A984" s="22"/>
      <c r="B984" s="18"/>
      <c r="C984" s="18"/>
      <c r="D984" s="18"/>
      <c r="E984" s="18"/>
      <c r="F984" s="18"/>
      <c r="G984" s="18"/>
      <c r="H984" s="20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spans="1:25" x14ac:dyDescent="0.3">
      <c r="A985" s="22"/>
      <c r="B985" s="18"/>
      <c r="C985" s="18"/>
      <c r="D985" s="18"/>
      <c r="E985" s="18"/>
      <c r="F985" s="18"/>
      <c r="G985" s="18"/>
      <c r="H985" s="20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spans="1:25" x14ac:dyDescent="0.3">
      <c r="A986" s="22"/>
      <c r="B986" s="18"/>
      <c r="C986" s="18"/>
      <c r="D986" s="18"/>
      <c r="E986" s="18"/>
      <c r="F986" s="18"/>
      <c r="G986" s="18"/>
      <c r="H986" s="20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spans="1:25" x14ac:dyDescent="0.3">
      <c r="A987" s="22"/>
      <c r="B987" s="18"/>
      <c r="C987" s="18"/>
      <c r="D987" s="18"/>
      <c r="E987" s="18"/>
      <c r="F987" s="18"/>
      <c r="G987" s="18"/>
      <c r="H987" s="20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spans="1:25" x14ac:dyDescent="0.3">
      <c r="A988" s="22"/>
      <c r="B988" s="18"/>
      <c r="C988" s="18"/>
      <c r="D988" s="18"/>
      <c r="E988" s="18"/>
      <c r="F988" s="18"/>
      <c r="G988" s="18"/>
      <c r="H988" s="20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spans="1:25" x14ac:dyDescent="0.3">
      <c r="A989" s="22"/>
      <c r="B989" s="18"/>
      <c r="C989" s="18"/>
      <c r="D989" s="18"/>
      <c r="E989" s="18"/>
      <c r="F989" s="18"/>
      <c r="G989" s="18"/>
      <c r="H989" s="20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spans="1:25" x14ac:dyDescent="0.3">
      <c r="A990" s="22"/>
      <c r="B990" s="18"/>
      <c r="C990" s="18"/>
      <c r="D990" s="18"/>
      <c r="E990" s="18"/>
      <c r="F990" s="18"/>
      <c r="G990" s="18"/>
      <c r="H990" s="20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spans="1:25" x14ac:dyDescent="0.3">
      <c r="A991" s="22"/>
      <c r="B991" s="18"/>
      <c r="C991" s="18"/>
      <c r="D991" s="18"/>
      <c r="E991" s="18"/>
      <c r="F991" s="18"/>
      <c r="G991" s="18"/>
      <c r="H991" s="20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spans="1:25" x14ac:dyDescent="0.3">
      <c r="A992" s="22"/>
      <c r="B992" s="18"/>
      <c r="C992" s="18"/>
      <c r="D992" s="18"/>
      <c r="E992" s="18"/>
      <c r="F992" s="18"/>
      <c r="G992" s="18"/>
      <c r="H992" s="20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spans="1:25" x14ac:dyDescent="0.3">
      <c r="A993" s="22"/>
      <c r="B993" s="18"/>
      <c r="C993" s="18"/>
      <c r="D993" s="18"/>
      <c r="E993" s="18"/>
      <c r="F993" s="18"/>
      <c r="G993" s="18"/>
      <c r="H993" s="20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spans="1:25" x14ac:dyDescent="0.3">
      <c r="A994" s="22"/>
      <c r="B994" s="18"/>
      <c r="C994" s="18"/>
      <c r="D994" s="18"/>
      <c r="E994" s="18"/>
      <c r="F994" s="18"/>
      <c r="G994" s="18"/>
      <c r="H994" s="20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spans="1:25" x14ac:dyDescent="0.3">
      <c r="A995" s="22"/>
      <c r="B995" s="18"/>
      <c r="C995" s="18"/>
      <c r="D995" s="18"/>
      <c r="E995" s="18"/>
      <c r="F995" s="18"/>
      <c r="G995" s="18"/>
      <c r="H995" s="20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spans="1:25" x14ac:dyDescent="0.3">
      <c r="A996" s="22"/>
      <c r="B996" s="18"/>
      <c r="C996" s="18"/>
      <c r="D996" s="18"/>
      <c r="E996" s="18"/>
      <c r="F996" s="18"/>
      <c r="G996" s="18"/>
      <c r="H996" s="20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spans="1:25" x14ac:dyDescent="0.3">
      <c r="A997" s="22"/>
      <c r="B997" s="18"/>
      <c r="C997" s="18"/>
      <c r="D997" s="18"/>
      <c r="E997" s="18"/>
      <c r="F997" s="18"/>
      <c r="G997" s="18"/>
      <c r="H997" s="20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spans="1:25" x14ac:dyDescent="0.3">
      <c r="A998" s="22"/>
      <c r="B998" s="18"/>
      <c r="C998" s="18"/>
      <c r="D998" s="18"/>
      <c r="E998" s="18"/>
      <c r="F998" s="18"/>
      <c r="G998" s="18"/>
      <c r="H998" s="20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 spans="1:25" x14ac:dyDescent="0.3">
      <c r="A999" s="22"/>
      <c r="B999" s="18"/>
      <c r="C999" s="18"/>
      <c r="D999" s="18"/>
      <c r="E999" s="18"/>
      <c r="F999" s="18"/>
      <c r="G999" s="18"/>
      <c r="H999" s="20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 spans="1:25" x14ac:dyDescent="0.3">
      <c r="A1000" s="22"/>
      <c r="B1000" s="18"/>
      <c r="C1000" s="18"/>
      <c r="D1000" s="18"/>
      <c r="E1000" s="18"/>
      <c r="F1000" s="18"/>
      <c r="G1000" s="18"/>
      <c r="H1000" s="20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  <row r="1001" spans="1:25" x14ac:dyDescent="0.3">
      <c r="A1001" s="22"/>
      <c r="B1001" s="18"/>
      <c r="C1001" s="18"/>
      <c r="D1001" s="18"/>
      <c r="E1001" s="18"/>
      <c r="F1001" s="18"/>
      <c r="G1001" s="18"/>
      <c r="H1001" s="20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</row>
  </sheetData>
  <mergeCells count="2">
    <mergeCell ref="A2:A3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20</vt:i4>
      </vt:variant>
    </vt:vector>
  </HeadingPairs>
  <TitlesOfParts>
    <vt:vector size="20" baseType="lpstr">
      <vt:lpstr>tongchitieu</vt:lpstr>
      <vt:lpstr>cancuoc</vt:lpstr>
      <vt:lpstr>dinhdanh14</vt:lpstr>
      <vt:lpstr>dinhdanh6</vt:lpstr>
      <vt:lpstr>dinhdanhcq</vt:lpstr>
      <vt:lpstr>suckhoedientu</vt:lpstr>
      <vt:lpstr>baohiemxahoi</vt:lpstr>
      <vt:lpstr>ansinhxahoi</vt:lpstr>
      <vt:lpstr>datdai</vt:lpstr>
      <vt:lpstr>dvccc</vt:lpstr>
      <vt:lpstr>dvcct</vt:lpstr>
      <vt:lpstr>ct10</vt:lpstr>
      <vt:lpstr>hosocancuoc</vt:lpstr>
      <vt:lpstr>hosocutru</vt:lpstr>
      <vt:lpstr>bdhvs</vt:lpstr>
      <vt:lpstr>lamsachdc01</vt:lpstr>
      <vt:lpstr>huyso</vt:lpstr>
      <vt:lpstr>treem</vt:lpstr>
      <vt:lpstr>giaypheplaixe</vt:lpstr>
      <vt:lpstr>dangkyxe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</cp:lastModifiedBy>
  <cp:lastPrinted>2026-01-30T01:14:13Z</cp:lastPrinted>
  <dcterms:modified xsi:type="dcterms:W3CDTF">2026-04-09T15:27:38Z</dcterms:modified>
</cp:coreProperties>
</file>